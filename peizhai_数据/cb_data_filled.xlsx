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Sheet1!$A$1:$AJ$1135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<sst xmlns="http://schemas.openxmlformats.org/spreadsheetml/2006/main" count="23067" uniqueCount="5232">
  <si>
    <t>可转债代码</t>
  </si>
  <si>
    <t>可转债名称</t>
  </si>
  <si>
    <t>股票代码</t>
  </si>
  <si>
    <t>股票名称</t>
  </si>
  <si>
    <t>发行规模（亿元）</t>
  </si>
  <si>
    <t>信用评级</t>
  </si>
  <si>
    <t>当前方案进展时间</t>
  </si>
  <si>
    <t>当前方案进展</t>
  </si>
  <si>
    <t>董事会预案时间</t>
  </si>
  <si>
    <t>股东大会批准时间</t>
  </si>
  <si>
    <t>交易所受理时间</t>
  </si>
  <si>
    <t>交易所受理时间_收盘价</t>
  </si>
  <si>
    <t>交易所受理时间_大盘收盘价</t>
  </si>
  <si>
    <t>上市委通过时间</t>
  </si>
  <si>
    <t>上市委通过时间_收盘价</t>
  </si>
  <si>
    <t>上市委通过时间_大盘收盘价</t>
  </si>
  <si>
    <t>同意注册时间</t>
  </si>
  <si>
    <t>同意注册时间_收盘价</t>
  </si>
  <si>
    <t>同意注册时间_大盘收盘价</t>
  </si>
  <si>
    <t>申购时间</t>
  </si>
  <si>
    <t>申购时间_收盘价</t>
  </si>
  <si>
    <t>申购时间_大盘收盘价</t>
  </si>
  <si>
    <t>上市日期</t>
  </si>
  <si>
    <t>上市日期_收盘价</t>
  </si>
  <si>
    <t>上市日期_大盘收盘价</t>
  </si>
  <si>
    <t>到期日期</t>
  </si>
  <si>
    <t>退市日期</t>
  </si>
  <si>
    <t>退市原因</t>
  </si>
  <si>
    <t>普联转债</t>
  </si>
  <si>
    <t>普联软件</t>
  </si>
  <si>
    <t>2.430</t>
  </si>
  <si>
    <t>A+</t>
  </si>
  <si>
    <t>2025-12-22</t>
  </si>
  <si>
    <t>上市</t>
  </si>
  <si>
    <t>2025-02-25</t>
  </si>
  <si>
    <t>2025-03-12</t>
  </si>
  <si>
    <t>2025-04-25</t>
  </si>
  <si>
    <t>2025-09-25</t>
  </si>
  <si>
    <t>2025-11-18</t>
  </si>
  <si>
    <t>2025-12-05</t>
  </si>
  <si>
    <t>2031-12-05</t>
  </si>
  <si>
    <t/>
  </si>
  <si>
    <t>茂莱转债</t>
  </si>
  <si>
    <t>茂莱光学</t>
  </si>
  <si>
    <t>5.625</t>
  </si>
  <si>
    <t>2025-12-10</t>
  </si>
  <si>
    <t>2025-01-27</t>
  </si>
  <si>
    <t>2025-02-14</t>
  </si>
  <si>
    <t>2025-04-30</t>
  </si>
  <si>
    <t>2025-09-27</t>
  </si>
  <si>
    <t>2025-11-09</t>
  </si>
  <si>
    <t>2025-11-21</t>
  </si>
  <si>
    <t>2031-11-20</t>
  </si>
  <si>
    <t>瑞可转债</t>
  </si>
  <si>
    <t>瑞可达</t>
  </si>
  <si>
    <t>10.000</t>
  </si>
  <si>
    <t>AA-</t>
  </si>
  <si>
    <t>2025-11-14</t>
  </si>
  <si>
    <t>2025-04-29</t>
  </si>
  <si>
    <t>2025-05-13</t>
  </si>
  <si>
    <t>2025-07-10</t>
  </si>
  <si>
    <t>2025-09-17</t>
  </si>
  <si>
    <t>2025-11-01</t>
  </si>
  <si>
    <t>2025-12-12</t>
  </si>
  <si>
    <t>2031-11-13</t>
  </si>
  <si>
    <t>联瑞新材</t>
  </si>
  <si>
    <t>6.950</t>
  </si>
  <si>
    <t>2025-11-25</t>
  </si>
  <si>
    <t>同意注册</t>
  </si>
  <si>
    <t>2025-05-17</t>
  </si>
  <si>
    <t>2025-06-10</t>
  </si>
  <si>
    <t>2025-08-20</t>
  </si>
  <si>
    <t>2025-10-22</t>
  </si>
  <si>
    <t>龙建股份</t>
  </si>
  <si>
    <t>2025-07-23</t>
  </si>
  <si>
    <t>2022-10-29</t>
  </si>
  <si>
    <t>2022-11-17</t>
  </si>
  <si>
    <t>2023-03-24</t>
  </si>
  <si>
    <t>2025-05-29</t>
  </si>
  <si>
    <t>上声电子</t>
  </si>
  <si>
    <t>3.300</t>
  </si>
  <si>
    <t>2026-01-01</t>
  </si>
  <si>
    <t>2025-07-09</t>
  </si>
  <si>
    <t>2025-08-26</t>
  </si>
  <si>
    <t>2025-11-24</t>
  </si>
  <si>
    <t>春风动力</t>
  </si>
  <si>
    <t>21.790</t>
  </si>
  <si>
    <t>2025-12-31</t>
  </si>
  <si>
    <t>2025-06-28</t>
  </si>
  <si>
    <t>2025-08-05</t>
  </si>
  <si>
    <t>2025-11-20</t>
  </si>
  <si>
    <t>华峰测控</t>
  </si>
  <si>
    <t>7.490</t>
  </si>
  <si>
    <t>2025-01-25</t>
  </si>
  <si>
    <t>2025-03-01</t>
  </si>
  <si>
    <t>金05转债</t>
  </si>
  <si>
    <t>金盘科技</t>
  </si>
  <si>
    <t>16.710</t>
  </si>
  <si>
    <t>AA+</t>
  </si>
  <si>
    <t>2025-12-25</t>
  </si>
  <si>
    <t>2025-12-25申购 申购代码 718676</t>
  </si>
  <si>
    <t>2025-05-10</t>
  </si>
  <si>
    <t>2025-05-28</t>
  </si>
  <si>
    <t>2025-11-07</t>
  </si>
  <si>
    <t>2025-12-15</t>
  </si>
  <si>
    <t>2031-12-24</t>
  </si>
  <si>
    <t>尚太科技</t>
  </si>
  <si>
    <t>17.340</t>
  </si>
  <si>
    <t>2025-12-18</t>
  </si>
  <si>
    <t>2025-01-11</t>
  </si>
  <si>
    <t>2025-02-11</t>
  </si>
  <si>
    <t>2025-04-28</t>
  </si>
  <si>
    <t>2025-11-06</t>
  </si>
  <si>
    <t>双乐转债</t>
  </si>
  <si>
    <t>双乐股份</t>
  </si>
  <si>
    <t>8.000</t>
  </si>
  <si>
    <t>2025-12-26</t>
  </si>
  <si>
    <t>2025-12-26申购 申购代码 371036</t>
  </si>
  <si>
    <t>2025-03-26</t>
  </si>
  <si>
    <t>2025-04-15</t>
  </si>
  <si>
    <t>2025-10-30</t>
  </si>
  <si>
    <t>2025-12-08</t>
  </si>
  <si>
    <t>2031-12-25</t>
  </si>
  <si>
    <t>爱科科技</t>
  </si>
  <si>
    <t>3.110</t>
  </si>
  <si>
    <t>2025-11-26</t>
  </si>
  <si>
    <t>交易所受理</t>
  </si>
  <si>
    <t>2025-09-12</t>
  </si>
  <si>
    <t>2025-09-30</t>
  </si>
  <si>
    <t>海天股份</t>
  </si>
  <si>
    <t>8.010</t>
  </si>
  <si>
    <t>2025-12-17</t>
  </si>
  <si>
    <t>上市委通过</t>
  </si>
  <si>
    <t>2025-10-16</t>
  </si>
  <si>
    <t>金三江</t>
  </si>
  <si>
    <t>2.900</t>
  </si>
  <si>
    <t>2025-10-31</t>
  </si>
  <si>
    <t>2025-08-18</t>
  </si>
  <si>
    <t>2025-09-03</t>
  </si>
  <si>
    <t>祥和实业</t>
  </si>
  <si>
    <t>4.000</t>
  </si>
  <si>
    <t>2025-12-09</t>
  </si>
  <si>
    <t>2024-06-19</t>
  </si>
  <si>
    <t>2024-07-06</t>
  </si>
  <si>
    <t>珂玛科技</t>
  </si>
  <si>
    <t>7.500</t>
  </si>
  <si>
    <t>2025-09-10</t>
  </si>
  <si>
    <t>圣泉集团</t>
  </si>
  <si>
    <t>25.000</t>
  </si>
  <si>
    <t>2025-08-19</t>
  </si>
  <si>
    <t>2025-09-05</t>
  </si>
  <si>
    <t>中仑新材</t>
  </si>
  <si>
    <t>10.680</t>
  </si>
  <si>
    <t>2025-09-29</t>
  </si>
  <si>
    <t>斯达半导</t>
  </si>
  <si>
    <t>15.000</t>
  </si>
  <si>
    <t>2025-07-15</t>
  </si>
  <si>
    <t>常青科技</t>
  </si>
  <si>
    <t>2025-09-04</t>
  </si>
  <si>
    <t>2025-09-20</t>
  </si>
  <si>
    <t>盛德鑫泰</t>
  </si>
  <si>
    <t>4.400</t>
  </si>
  <si>
    <t>2025-09-23</t>
  </si>
  <si>
    <t>2025-10-10</t>
  </si>
  <si>
    <t>三鑫医疗</t>
  </si>
  <si>
    <t>5.300</t>
  </si>
  <si>
    <t>2025-10-29</t>
  </si>
  <si>
    <t>2025-08-09</t>
  </si>
  <si>
    <t>2025-08-27</t>
  </si>
  <si>
    <t>维科精密</t>
  </si>
  <si>
    <t>6.300</t>
  </si>
  <si>
    <t>2025-10-28</t>
  </si>
  <si>
    <t>2025-08-30</t>
  </si>
  <si>
    <t>2025-09-16</t>
  </si>
  <si>
    <t>通合科技</t>
  </si>
  <si>
    <t>5.220</t>
  </si>
  <si>
    <t>2025-09-15</t>
  </si>
  <si>
    <t>汇创达</t>
  </si>
  <si>
    <t>6.500</t>
  </si>
  <si>
    <t>2025-10-27</t>
  </si>
  <si>
    <t>金杨精密</t>
  </si>
  <si>
    <t>9.800</t>
  </si>
  <si>
    <t>2025-10-23</t>
  </si>
  <si>
    <t>2025-06-24</t>
  </si>
  <si>
    <t>玉禾田</t>
  </si>
  <si>
    <t>2025-10-20</t>
  </si>
  <si>
    <t>2024-08-30</t>
  </si>
  <si>
    <t>2024-09-18</t>
  </si>
  <si>
    <t>艾为电子</t>
  </si>
  <si>
    <t>19.010</t>
  </si>
  <si>
    <t>2025-07-29</t>
  </si>
  <si>
    <t>2025-08-15</t>
  </si>
  <si>
    <t>2025-10-17</t>
  </si>
  <si>
    <t>申能股份</t>
  </si>
  <si>
    <t>20.000</t>
  </si>
  <si>
    <t>2025-08-16</t>
  </si>
  <si>
    <t>奥士康</t>
  </si>
  <si>
    <t>2025-10-11</t>
  </si>
  <si>
    <t>2025-08-01</t>
  </si>
  <si>
    <t>特变电工</t>
  </si>
  <si>
    <t>80.000</t>
  </si>
  <si>
    <t>信安世纪</t>
  </si>
  <si>
    <t>4.980</t>
  </si>
  <si>
    <t>2025-08-28</t>
  </si>
  <si>
    <t>2024-11-06</t>
  </si>
  <si>
    <t>2024-11-29</t>
  </si>
  <si>
    <t>长高电新</t>
  </si>
  <si>
    <t>7.590</t>
  </si>
  <si>
    <t>2025-12-19</t>
  </si>
  <si>
    <t>2024-01-13</t>
  </si>
  <si>
    <t>2024-01-31</t>
  </si>
  <si>
    <t>炬申股份</t>
  </si>
  <si>
    <t>3.800</t>
  </si>
  <si>
    <t>国科天成</t>
  </si>
  <si>
    <t>8.800</t>
  </si>
  <si>
    <t>2025-07-25</t>
  </si>
  <si>
    <t>2025-05-15</t>
  </si>
  <si>
    <t>美力科技</t>
  </si>
  <si>
    <t>3.000</t>
  </si>
  <si>
    <t>2025-07-21</t>
  </si>
  <si>
    <t>2025-03-29</t>
  </si>
  <si>
    <t>2025-04-22</t>
  </si>
  <si>
    <t>耐普矿机</t>
  </si>
  <si>
    <t>4.500</t>
  </si>
  <si>
    <t>2025-12-04</t>
  </si>
  <si>
    <t>2025-04-10</t>
  </si>
  <si>
    <t>2025-06-23</t>
  </si>
  <si>
    <t>博士眼镜</t>
  </si>
  <si>
    <t>3.750</t>
  </si>
  <si>
    <t>2025-02-07</t>
  </si>
  <si>
    <t>2025-04-09</t>
  </si>
  <si>
    <t>南华期货</t>
  </si>
  <si>
    <t>12.000</t>
  </si>
  <si>
    <t>2023-05-18</t>
  </si>
  <si>
    <t>2023-03-11</t>
  </si>
  <si>
    <t>2023-04-01</t>
  </si>
  <si>
    <t>瑞丰银行</t>
  </si>
  <si>
    <t>50.000</t>
  </si>
  <si>
    <t>2023-01-20</t>
  </si>
  <si>
    <t>2022-03-31</t>
  </si>
  <si>
    <t>2022-04-21</t>
  </si>
  <si>
    <t>长沙银行</t>
  </si>
  <si>
    <t>110.000</t>
  </si>
  <si>
    <t>2022-09-28</t>
  </si>
  <si>
    <t>2022-06-09</t>
  </si>
  <si>
    <t>2022-06-30</t>
  </si>
  <si>
    <t>厦门银行</t>
  </si>
  <si>
    <t>2022-09-27</t>
  </si>
  <si>
    <t>2022-05-11</t>
  </si>
  <si>
    <t>2022-06-03</t>
  </si>
  <si>
    <t>统联精密</t>
  </si>
  <si>
    <t>5.760</t>
  </si>
  <si>
    <t>2025-12-13</t>
  </si>
  <si>
    <t>2025-07-17</t>
  </si>
  <si>
    <t>2025-10-13</t>
  </si>
  <si>
    <t>---</t>
  </si>
  <si>
    <t>莱特光电</t>
  </si>
  <si>
    <t>7.660</t>
  </si>
  <si>
    <t>2025-12-02</t>
  </si>
  <si>
    <t>股东大会通过</t>
  </si>
  <si>
    <t>2025-11-15</t>
  </si>
  <si>
    <t>松原安全</t>
  </si>
  <si>
    <t>2.750</t>
  </si>
  <si>
    <t>2025-11-27</t>
  </si>
  <si>
    <t>2024-12-04</t>
  </si>
  <si>
    <t>豪能股份</t>
  </si>
  <si>
    <t>18.000</t>
  </si>
  <si>
    <t>2025-11-22</t>
  </si>
  <si>
    <t>丰茂股份</t>
  </si>
  <si>
    <t>6.100</t>
  </si>
  <si>
    <t>2026-01-05</t>
  </si>
  <si>
    <t>2025-11-05</t>
  </si>
  <si>
    <t>迪威尔</t>
  </si>
  <si>
    <t>9.080</t>
  </si>
  <si>
    <t>2025-11-19</t>
  </si>
  <si>
    <t>金帝股份</t>
  </si>
  <si>
    <t>科博达</t>
  </si>
  <si>
    <t>14.910</t>
  </si>
  <si>
    <t>2025-10-24</t>
  </si>
  <si>
    <t>苏州天脉</t>
  </si>
  <si>
    <t>7.860</t>
  </si>
  <si>
    <t>2025-12-11</t>
  </si>
  <si>
    <t>2025-11-13</t>
  </si>
  <si>
    <t>华通线缆</t>
  </si>
  <si>
    <t>2025-10-14</t>
  </si>
  <si>
    <t>中汽股份</t>
  </si>
  <si>
    <t>10.390</t>
  </si>
  <si>
    <t>2025-10-18</t>
  </si>
  <si>
    <t>2025-11-03</t>
  </si>
  <si>
    <t>满坤科技</t>
  </si>
  <si>
    <t>7.600</t>
  </si>
  <si>
    <t>华翔股份</t>
  </si>
  <si>
    <t>13.080</t>
  </si>
  <si>
    <t>2025-09-19</t>
  </si>
  <si>
    <t>商络电子</t>
  </si>
  <si>
    <t>2025-10-09</t>
  </si>
  <si>
    <t>南芯科技</t>
  </si>
  <si>
    <t>19.330</t>
  </si>
  <si>
    <t>2025-09-08</t>
  </si>
  <si>
    <t>江苏雷利</t>
  </si>
  <si>
    <t>12.860</t>
  </si>
  <si>
    <t>三联锻造</t>
  </si>
  <si>
    <t>2025-09-13</t>
  </si>
  <si>
    <t>隆华新材</t>
  </si>
  <si>
    <t>9.600</t>
  </si>
  <si>
    <t>2025-08-23</t>
  </si>
  <si>
    <t>久吾高科</t>
  </si>
  <si>
    <t>5.040</t>
  </si>
  <si>
    <t>精研科技</t>
  </si>
  <si>
    <t>5.780</t>
  </si>
  <si>
    <t>2025-08-02</t>
  </si>
  <si>
    <t>宝钛股份</t>
  </si>
  <si>
    <t>35.000</t>
  </si>
  <si>
    <t>2025-04-01</t>
  </si>
  <si>
    <t>2025-07-31</t>
  </si>
  <si>
    <t>本川智能</t>
  </si>
  <si>
    <t>4.690</t>
  </si>
  <si>
    <t>2025-06-20</t>
  </si>
  <si>
    <t>2025-05-07</t>
  </si>
  <si>
    <t>迈为股份</t>
  </si>
  <si>
    <t>19.670</t>
  </si>
  <si>
    <t>2025-06-16</t>
  </si>
  <si>
    <t>2025-05-31</t>
  </si>
  <si>
    <t>西安银行</t>
  </si>
  <si>
    <t>五洲交通</t>
  </si>
  <si>
    <t>30.000</t>
  </si>
  <si>
    <t>2025-05-09</t>
  </si>
  <si>
    <t>华纬科技</t>
  </si>
  <si>
    <t>7.150</t>
  </si>
  <si>
    <t>2025-05-08</t>
  </si>
  <si>
    <t>瑞鹄模具</t>
  </si>
  <si>
    <t>2025-03-25</t>
  </si>
  <si>
    <t>千红制药</t>
  </si>
  <si>
    <t>2024-12-11</t>
  </si>
  <si>
    <t>2024-11-22</t>
  </si>
  <si>
    <t>富临精工</t>
  </si>
  <si>
    <t>12.520</t>
  </si>
  <si>
    <t>2024-12-06</t>
  </si>
  <si>
    <t>2024-11-20</t>
  </si>
  <si>
    <t>百龙创园</t>
  </si>
  <si>
    <t>7.480</t>
  </si>
  <si>
    <t>2024-10-12</t>
  </si>
  <si>
    <t>2024-09-21</t>
  </si>
  <si>
    <t>新易盛</t>
  </si>
  <si>
    <t>18.800</t>
  </si>
  <si>
    <t>2024-08-12</t>
  </si>
  <si>
    <t>2024-05-31</t>
  </si>
  <si>
    <t>江山股份</t>
  </si>
  <si>
    <t>2024-04-20</t>
  </si>
  <si>
    <t>2023-12-30</t>
  </si>
  <si>
    <t>鼎际得</t>
  </si>
  <si>
    <t>2024-01-30</t>
  </si>
  <si>
    <t>2023-12-20</t>
  </si>
  <si>
    <t>中鼎股份</t>
  </si>
  <si>
    <t>2025-12-03</t>
  </si>
  <si>
    <t>佐力药业</t>
  </si>
  <si>
    <t>15.560</t>
  </si>
  <si>
    <t>申菱环境</t>
  </si>
  <si>
    <t>董事会预案</t>
  </si>
  <si>
    <t>肇民科技</t>
  </si>
  <si>
    <t>5.900</t>
  </si>
  <si>
    <t>赛恩斯</t>
  </si>
  <si>
    <t>5.650</t>
  </si>
  <si>
    <t>湖北宜化</t>
  </si>
  <si>
    <t>33.000</t>
  </si>
  <si>
    <t>2025-12-29</t>
  </si>
  <si>
    <t>2025-10-25</t>
  </si>
  <si>
    <t>青岛银行</t>
  </si>
  <si>
    <t>48.000</t>
  </si>
  <si>
    <t>2025-08-29</t>
  </si>
  <si>
    <t>电工合金</t>
  </si>
  <si>
    <t>5.450</t>
  </si>
  <si>
    <t>润禾材料</t>
  </si>
  <si>
    <t>杭氧股份</t>
  </si>
  <si>
    <t>16.300</t>
  </si>
  <si>
    <t>2025-03-04</t>
  </si>
  <si>
    <t>浩通科技</t>
  </si>
  <si>
    <t>5.420</t>
  </si>
  <si>
    <t>氯碱化工</t>
  </si>
  <si>
    <t>40.000</t>
  </si>
  <si>
    <t>2024-08-05</t>
  </si>
  <si>
    <t>四方科技</t>
  </si>
  <si>
    <t>10.230</t>
  </si>
  <si>
    <t>卓镁转债</t>
  </si>
  <si>
    <t>星源卓镁</t>
  </si>
  <si>
    <t>2025-08-22</t>
  </si>
  <si>
    <t>2025-10-15</t>
  </si>
  <si>
    <t>2031-11-06</t>
  </si>
  <si>
    <t>颀中转债</t>
  </si>
  <si>
    <t>颀中科技</t>
  </si>
  <si>
    <t>8.500</t>
  </si>
  <si>
    <t>2025-06-26</t>
  </si>
  <si>
    <t>2025-09-11</t>
  </si>
  <si>
    <t>2031-11-03</t>
  </si>
  <si>
    <t>锦浪转02</t>
  </si>
  <si>
    <t>锦浪科技</t>
  </si>
  <si>
    <t>16.770</t>
  </si>
  <si>
    <t>AA</t>
  </si>
  <si>
    <t>2025-04-08</t>
  </si>
  <si>
    <t>2031-10-16</t>
  </si>
  <si>
    <t>福能转债</t>
  </si>
  <si>
    <t>福能股份</t>
  </si>
  <si>
    <t>38.020</t>
  </si>
  <si>
    <t>2024-10-29</t>
  </si>
  <si>
    <t>2031-10-13</t>
  </si>
  <si>
    <t>金25转债</t>
  </si>
  <si>
    <t>金诚信</t>
  </si>
  <si>
    <t>2025-09-26</t>
  </si>
  <si>
    <t>2031-09-25</t>
  </si>
  <si>
    <t>应流转债</t>
  </si>
  <si>
    <t>应流股份</t>
  </si>
  <si>
    <t>2025-04-24</t>
  </si>
  <si>
    <t>2025-07-24</t>
  </si>
  <si>
    <t>2031-09-18</t>
  </si>
  <si>
    <t>胜蓝转02</t>
  </si>
  <si>
    <t>胜蓝股份</t>
  </si>
  <si>
    <t>2025-06-05</t>
  </si>
  <si>
    <t>2025-07-30</t>
  </si>
  <si>
    <t>2031-08-27</t>
  </si>
  <si>
    <t>金威转债</t>
  </si>
  <si>
    <t>金达威</t>
  </si>
  <si>
    <t>12.920</t>
  </si>
  <si>
    <t>2023-12-21</t>
  </si>
  <si>
    <t>2024-09-27</t>
  </si>
  <si>
    <t>2024-11-19</t>
  </si>
  <si>
    <t>2031-08-19</t>
  </si>
  <si>
    <t>凯众转债</t>
  </si>
  <si>
    <t>凯众股份</t>
  </si>
  <si>
    <t>3.080</t>
  </si>
  <si>
    <t>2024-10-24</t>
  </si>
  <si>
    <t>2025-04-18</t>
  </si>
  <si>
    <t>2025-06-14</t>
  </si>
  <si>
    <t>2031-08-14</t>
  </si>
  <si>
    <t>微导转债</t>
  </si>
  <si>
    <t>微导纳米</t>
  </si>
  <si>
    <t>11.700</t>
  </si>
  <si>
    <t>2025-08-06</t>
  </si>
  <si>
    <t>2024-11-15</t>
  </si>
  <si>
    <t>2025-05-23</t>
  </si>
  <si>
    <t>2025-07-04</t>
  </si>
  <si>
    <t>2031-08-05</t>
  </si>
  <si>
    <t>广核转债</t>
  </si>
  <si>
    <t>中国广核</t>
  </si>
  <si>
    <t>49.000</t>
  </si>
  <si>
    <t>AAA</t>
  </si>
  <si>
    <t>2024-10-19</t>
  </si>
  <si>
    <t>2025-02-13</t>
  </si>
  <si>
    <t>2025-03-19</t>
  </si>
  <si>
    <t>2031-07-08</t>
  </si>
  <si>
    <t>利柏转债</t>
  </si>
  <si>
    <t>利柏特</t>
  </si>
  <si>
    <t>2025-07-03</t>
  </si>
  <si>
    <t>2024-09-25</t>
  </si>
  <si>
    <t>2025-04-21</t>
  </si>
  <si>
    <t>2025-05-30</t>
  </si>
  <si>
    <t>2025-07-22</t>
  </si>
  <si>
    <t>2031-07-03</t>
  </si>
  <si>
    <t>伯25转债</t>
  </si>
  <si>
    <t>伯特利</t>
  </si>
  <si>
    <t>28.020</t>
  </si>
  <si>
    <t>2025-07-01</t>
  </si>
  <si>
    <t>2024-07-31</t>
  </si>
  <si>
    <t>2025-02-24</t>
  </si>
  <si>
    <t>2025-03-27</t>
  </si>
  <si>
    <t>2025-07-28</t>
  </si>
  <si>
    <t>2031-07-01</t>
  </si>
  <si>
    <t>甬矽转债</t>
  </si>
  <si>
    <t>甬矽电子</t>
  </si>
  <si>
    <t>11.650</t>
  </si>
  <si>
    <t>2024-09-24</t>
  </si>
  <si>
    <t>2025-04-07</t>
  </si>
  <si>
    <t>2025-05-16</t>
  </si>
  <si>
    <t>2025-07-16</t>
  </si>
  <si>
    <t>2031-06-26</t>
  </si>
  <si>
    <t>华辰转债</t>
  </si>
  <si>
    <t>江苏华辰</t>
  </si>
  <si>
    <t>4.600</t>
  </si>
  <si>
    <t>2024-09-29</t>
  </si>
  <si>
    <t>2025-03-18</t>
  </si>
  <si>
    <t>2025-05-06</t>
  </si>
  <si>
    <t>2031-06-20</t>
  </si>
  <si>
    <t>锡振转债</t>
  </si>
  <si>
    <t>无锡振华</t>
  </si>
  <si>
    <t>5.200</t>
  </si>
  <si>
    <t>2025-06-18</t>
  </si>
  <si>
    <t>2024-09-05</t>
  </si>
  <si>
    <t>2025-07-14</t>
  </si>
  <si>
    <t>2031-06-18</t>
  </si>
  <si>
    <t>安克转债</t>
  </si>
  <si>
    <t>安克创新</t>
  </si>
  <si>
    <t>11.050</t>
  </si>
  <si>
    <t>2023-08-17</t>
  </si>
  <si>
    <t>2024-11-14</t>
  </si>
  <si>
    <t>2025-02-05</t>
  </si>
  <si>
    <t>2031-06-16</t>
  </si>
  <si>
    <t>电化转债</t>
  </si>
  <si>
    <t>湘潭电化</t>
  </si>
  <si>
    <t>4.870</t>
  </si>
  <si>
    <t>2023-11-09</t>
  </si>
  <si>
    <t>2025-03-07</t>
  </si>
  <si>
    <t>路维转债</t>
  </si>
  <si>
    <t>路维光电</t>
  </si>
  <si>
    <t>6.150</t>
  </si>
  <si>
    <t>2025-06-11</t>
  </si>
  <si>
    <t>2024-10-21</t>
  </si>
  <si>
    <t>2025-03-21</t>
  </si>
  <si>
    <t>2031-06-11</t>
  </si>
  <si>
    <t>恒帅转债</t>
  </si>
  <si>
    <t>恒帅股份</t>
  </si>
  <si>
    <t>3.280</t>
  </si>
  <si>
    <t>2023-07-11</t>
  </si>
  <si>
    <t>2025-06-17</t>
  </si>
  <si>
    <t>2031-05-29</t>
  </si>
  <si>
    <t>伟测转债</t>
  </si>
  <si>
    <t>伟测科技</t>
  </si>
  <si>
    <t>11.750</t>
  </si>
  <si>
    <t>2024-08-06</t>
  </si>
  <si>
    <t>2024-12-09</t>
  </si>
  <si>
    <t>2025-01-23</t>
  </si>
  <si>
    <t>2031-04-09</t>
  </si>
  <si>
    <t>清源转债</t>
  </si>
  <si>
    <t>清源股份</t>
  </si>
  <si>
    <t>5.000</t>
  </si>
  <si>
    <t>2023-11-29</t>
  </si>
  <si>
    <t>2024-11-21</t>
  </si>
  <si>
    <t>2025-01-24</t>
  </si>
  <si>
    <t>2031-04-08</t>
  </si>
  <si>
    <t>安集转债</t>
  </si>
  <si>
    <t>安集科技</t>
  </si>
  <si>
    <t>8.300</t>
  </si>
  <si>
    <t>2023-08-21</t>
  </si>
  <si>
    <t>2024-09-12</t>
  </si>
  <si>
    <t>2024-11-04</t>
  </si>
  <si>
    <t>2031-04-07</t>
  </si>
  <si>
    <t>鼎龙转债</t>
  </si>
  <si>
    <t>鼎龙股份</t>
  </si>
  <si>
    <t>9.100</t>
  </si>
  <si>
    <t>2025-04-02</t>
  </si>
  <si>
    <t>2024-08-16</t>
  </si>
  <si>
    <t>2025-04-23</t>
  </si>
  <si>
    <t>2031-04-02</t>
  </si>
  <si>
    <t>太能转债</t>
  </si>
  <si>
    <t>太阳能</t>
  </si>
  <si>
    <t>29.500</t>
  </si>
  <si>
    <t>2025-03-28</t>
  </si>
  <si>
    <t>2023-08-11</t>
  </si>
  <si>
    <t>2025-01-16</t>
  </si>
  <si>
    <t>2025-04-16</t>
  </si>
  <si>
    <t>2031-03-28</t>
  </si>
  <si>
    <t>亿纬转债</t>
  </si>
  <si>
    <t>亿纬锂能</t>
  </si>
  <si>
    <t>2025-03-24</t>
  </si>
  <si>
    <t>2023-05-25</t>
  </si>
  <si>
    <t>2024-11-08</t>
  </si>
  <si>
    <t>2024-12-31</t>
  </si>
  <si>
    <t>2025-04-11</t>
  </si>
  <si>
    <t>2031-03-24</t>
  </si>
  <si>
    <t>正帆转债</t>
  </si>
  <si>
    <t>正帆科技</t>
  </si>
  <si>
    <t>10.410</t>
  </si>
  <si>
    <t>2024-03-29</t>
  </si>
  <si>
    <t>2025-01-10</t>
  </si>
  <si>
    <t>2025-04-03</t>
  </si>
  <si>
    <t>2031-03-18</t>
  </si>
  <si>
    <t>志邦转债</t>
  </si>
  <si>
    <t>志邦家居</t>
  </si>
  <si>
    <t>6.700</t>
  </si>
  <si>
    <t>2023-08-25</t>
  </si>
  <si>
    <t>2024-12-25</t>
  </si>
  <si>
    <t>2025-02-08</t>
  </si>
  <si>
    <t>永贵转债</t>
  </si>
  <si>
    <t>永贵电器</t>
  </si>
  <si>
    <t>2025-03-13</t>
  </si>
  <si>
    <t>2024-08-24</t>
  </si>
  <si>
    <t>2024-12-05</t>
  </si>
  <si>
    <t>2031-03-13</t>
  </si>
  <si>
    <t>浩瀚转债</t>
  </si>
  <si>
    <t>浩瀚深度</t>
  </si>
  <si>
    <t>3.540</t>
  </si>
  <si>
    <t>2023-12-22</t>
  </si>
  <si>
    <t>2024-11-12</t>
  </si>
  <si>
    <t>2025-01-13</t>
  </si>
  <si>
    <t>渝水转债</t>
  </si>
  <si>
    <t>重庆水务</t>
  </si>
  <si>
    <t>19.000</t>
  </si>
  <si>
    <t>2025-01-09</t>
  </si>
  <si>
    <t>2023-07-19</t>
  </si>
  <si>
    <t>2024-06-21</t>
  </si>
  <si>
    <t>2024-09-13</t>
  </si>
  <si>
    <t>2031-01-09</t>
  </si>
  <si>
    <t>银邦转债</t>
  </si>
  <si>
    <t>银邦股份</t>
  </si>
  <si>
    <t>7.850</t>
  </si>
  <si>
    <t>2025-01-07</t>
  </si>
  <si>
    <t>2024-10-25</t>
  </si>
  <si>
    <t>2024-12-02</t>
  </si>
  <si>
    <t>2031-01-06</t>
  </si>
  <si>
    <t>南药转债</t>
  </si>
  <si>
    <t>南京医药</t>
  </si>
  <si>
    <t>10.810</t>
  </si>
  <si>
    <t>2024-01-17</t>
  </si>
  <si>
    <t>2024-10-16</t>
  </si>
  <si>
    <t>2025-01-20</t>
  </si>
  <si>
    <t>2030-12-25</t>
  </si>
  <si>
    <t>华医转债</t>
  </si>
  <si>
    <t>华康洁净</t>
  </si>
  <si>
    <t>2024-12-23</t>
  </si>
  <si>
    <t>2023-12-08</t>
  </si>
  <si>
    <t>2024-02-06</t>
  </si>
  <si>
    <t>2030-12-23</t>
  </si>
  <si>
    <t>皓元转债</t>
  </si>
  <si>
    <t>皓元医药</t>
  </si>
  <si>
    <t>8.220</t>
  </si>
  <si>
    <t>2024-11-28</t>
  </si>
  <si>
    <t>2024-08-13</t>
  </si>
  <si>
    <t>2024-12-19</t>
  </si>
  <si>
    <t>2030-11-28</t>
  </si>
  <si>
    <t>领益转债</t>
  </si>
  <si>
    <t>领益智造</t>
  </si>
  <si>
    <t>21.370</t>
  </si>
  <si>
    <t>2024-11-18</t>
  </si>
  <si>
    <t>退市</t>
  </si>
  <si>
    <t>2023-07-04</t>
  </si>
  <si>
    <t>2024-01-26</t>
  </si>
  <si>
    <t>2030-11-18</t>
  </si>
  <si>
    <t>强赎</t>
  </si>
  <si>
    <t>嘉益转债</t>
  </si>
  <si>
    <t>嘉益股份</t>
  </si>
  <si>
    <t>3.980</t>
  </si>
  <si>
    <t>2024-11-07</t>
  </si>
  <si>
    <t>2023-06-28</t>
  </si>
  <si>
    <t>2023-10-20</t>
  </si>
  <si>
    <t>2023-12-15</t>
  </si>
  <si>
    <t>2024-11-26</t>
  </si>
  <si>
    <t>2030-11-07</t>
  </si>
  <si>
    <t>保隆转债</t>
  </si>
  <si>
    <t>保隆科技</t>
  </si>
  <si>
    <t>13.900</t>
  </si>
  <si>
    <t>2024-10-31</t>
  </si>
  <si>
    <t>2023-08-04</t>
  </si>
  <si>
    <t>2024-05-16</t>
  </si>
  <si>
    <t>2024-08-20</t>
  </si>
  <si>
    <t>2024-11-27</t>
  </si>
  <si>
    <t>2030-10-31</t>
  </si>
  <si>
    <t>和邦转债</t>
  </si>
  <si>
    <t>和邦生物</t>
  </si>
  <si>
    <t>46.000</t>
  </si>
  <si>
    <t>2024-10-28</t>
  </si>
  <si>
    <t>2023-03-04</t>
  </si>
  <si>
    <t>2023-06-20</t>
  </si>
  <si>
    <t>2030-10-28</t>
  </si>
  <si>
    <t>英搏转债</t>
  </si>
  <si>
    <t>英搏尔</t>
  </si>
  <si>
    <t>8.170</t>
  </si>
  <si>
    <t>2023-06-06</t>
  </si>
  <si>
    <t>2024-08-07</t>
  </si>
  <si>
    <t>2024-09-04</t>
  </si>
  <si>
    <t>2024-11-11</t>
  </si>
  <si>
    <t>2030-10-24</t>
  </si>
  <si>
    <t>2025-12-30</t>
  </si>
  <si>
    <t>天润转债</t>
  </si>
  <si>
    <t>天润乳业</t>
  </si>
  <si>
    <t>9.900</t>
  </si>
  <si>
    <t>2023-07-13</t>
  </si>
  <si>
    <t>2023-12-05</t>
  </si>
  <si>
    <t>2024-06-05</t>
  </si>
  <si>
    <t>豪24转债</t>
  </si>
  <si>
    <t>5.500</t>
  </si>
  <si>
    <t>2024-10-23</t>
  </si>
  <si>
    <t>2023-12-01</t>
  </si>
  <si>
    <t>2024-03-07</t>
  </si>
  <si>
    <t>2030-10-23</t>
  </si>
  <si>
    <t>国检转债</t>
  </si>
  <si>
    <t>国检集团</t>
  </si>
  <si>
    <t>2024-10-17</t>
  </si>
  <si>
    <t>2023-10-09</t>
  </si>
  <si>
    <t>2024-08-29</t>
  </si>
  <si>
    <t>2030-10-17</t>
  </si>
  <si>
    <t>洛凯转债</t>
  </si>
  <si>
    <t>洛凯股份</t>
  </si>
  <si>
    <t>4.030</t>
  </si>
  <si>
    <t>2023-07-07</t>
  </si>
  <si>
    <t>2024-01-19</t>
  </si>
  <si>
    <t>2024-08-23</t>
  </si>
  <si>
    <t>2025-11-17</t>
  </si>
  <si>
    <t>恒辉转债</t>
  </si>
  <si>
    <t>恒辉安防</t>
  </si>
  <si>
    <t>2024-08-21</t>
  </si>
  <si>
    <t>2024-01-05</t>
  </si>
  <si>
    <t>2024-06-14</t>
  </si>
  <si>
    <t>2024-08-02</t>
  </si>
  <si>
    <t>2030-08-21</t>
  </si>
  <si>
    <t>航宇转债</t>
  </si>
  <si>
    <t>航宇科技</t>
  </si>
  <si>
    <t>6.670</t>
  </si>
  <si>
    <t>2023-08-18</t>
  </si>
  <si>
    <t>2024-06-07</t>
  </si>
  <si>
    <t>2024-07-22</t>
  </si>
  <si>
    <t>2024-09-10</t>
  </si>
  <si>
    <t>万凯转债</t>
  </si>
  <si>
    <t>万凯新材</t>
  </si>
  <si>
    <t>27.000</t>
  </si>
  <si>
    <t>2023-04-25</t>
  </si>
  <si>
    <t>2024-06-24</t>
  </si>
  <si>
    <t>2030-08-16</t>
  </si>
  <si>
    <t>远信转债</t>
  </si>
  <si>
    <t>远信工业</t>
  </si>
  <si>
    <t>2.860</t>
  </si>
  <si>
    <t>A</t>
  </si>
  <si>
    <t>2023-06-07</t>
  </si>
  <si>
    <t>2023-11-17</t>
  </si>
  <si>
    <t>2024-09-03</t>
  </si>
  <si>
    <t>集智转债</t>
  </si>
  <si>
    <t>集智股份</t>
  </si>
  <si>
    <t>2.550</t>
  </si>
  <si>
    <t>2024-08-14</t>
  </si>
  <si>
    <t>2023-08-24</t>
  </si>
  <si>
    <t>2023-10-27</t>
  </si>
  <si>
    <t>2024-08-28</t>
  </si>
  <si>
    <t>2030-08-14</t>
  </si>
  <si>
    <t>伟隆转债</t>
  </si>
  <si>
    <t>伟隆股份</t>
  </si>
  <si>
    <t>2.700</t>
  </si>
  <si>
    <t>2024-07-09</t>
  </si>
  <si>
    <t>2030-08-13</t>
  </si>
  <si>
    <t>豫光转债</t>
  </si>
  <si>
    <t>豫光金铅</t>
  </si>
  <si>
    <t>7.100</t>
  </si>
  <si>
    <t>2023-03-03</t>
  </si>
  <si>
    <t>2024-01-29</t>
  </si>
  <si>
    <t>2024-06-04</t>
  </si>
  <si>
    <t>2030-08-12</t>
  </si>
  <si>
    <t>汇成转债</t>
  </si>
  <si>
    <t>汇成股份</t>
  </si>
  <si>
    <t>11.490</t>
  </si>
  <si>
    <t>2023-08-09</t>
  </si>
  <si>
    <t>2024-01-22</t>
  </si>
  <si>
    <t>2024-09-02</t>
  </si>
  <si>
    <t>2030-08-07</t>
  </si>
  <si>
    <t>松原转债</t>
  </si>
  <si>
    <t>4.100</t>
  </si>
  <si>
    <t>2024-08-01</t>
  </si>
  <si>
    <t>2024-08-22</t>
  </si>
  <si>
    <t>2030-08-01</t>
  </si>
  <si>
    <t>2025-09-24</t>
  </si>
  <si>
    <t>奥锐转债</t>
  </si>
  <si>
    <t>奥锐特</t>
  </si>
  <si>
    <t>8.120</t>
  </si>
  <si>
    <t>2024-07-26</t>
  </si>
  <si>
    <t>2023-06-29</t>
  </si>
  <si>
    <t>2024-01-23</t>
  </si>
  <si>
    <t>2024-06-17</t>
  </si>
  <si>
    <t>2024-08-15</t>
  </si>
  <si>
    <t>2030-07-26</t>
  </si>
  <si>
    <t>合顺转债</t>
  </si>
  <si>
    <t>聚合顺</t>
  </si>
  <si>
    <t>3.380</t>
  </si>
  <si>
    <t>2023-03-02</t>
  </si>
  <si>
    <t>2024-05-30</t>
  </si>
  <si>
    <t>2030-07-22</t>
  </si>
  <si>
    <t>振华转债</t>
  </si>
  <si>
    <t>振华股份</t>
  </si>
  <si>
    <t>4.060</t>
  </si>
  <si>
    <t>2024-07-12</t>
  </si>
  <si>
    <t>2023-06-26</t>
  </si>
  <si>
    <t>2024-01-24</t>
  </si>
  <si>
    <t>2030-07-12</t>
  </si>
  <si>
    <t>严牌转债</t>
  </si>
  <si>
    <t>严牌股份</t>
  </si>
  <si>
    <t>4.680</t>
  </si>
  <si>
    <t>2024-07-10</t>
  </si>
  <si>
    <t>2023-06-08</t>
  </si>
  <si>
    <t>2024-01-12</t>
  </si>
  <si>
    <t>2030-07-10</t>
  </si>
  <si>
    <t>赛龙转债</t>
  </si>
  <si>
    <t>聚赛龙</t>
  </si>
  <si>
    <t>2.500</t>
  </si>
  <si>
    <t>2024-07-08</t>
  </si>
  <si>
    <t>2023-06-13</t>
  </si>
  <si>
    <t>2023-12-29</t>
  </si>
  <si>
    <t>2024-07-29</t>
  </si>
  <si>
    <t>2030-07-08</t>
  </si>
  <si>
    <t>欧通转债</t>
  </si>
  <si>
    <t>欧陆通</t>
  </si>
  <si>
    <t>6.450</t>
  </si>
  <si>
    <t>2024-07-05</t>
  </si>
  <si>
    <t>2023-08-02</t>
  </si>
  <si>
    <t>2030-07-05</t>
  </si>
  <si>
    <t>泰瑞转债</t>
  </si>
  <si>
    <t>泰瑞机器</t>
  </si>
  <si>
    <t>2024-07-02</t>
  </si>
  <si>
    <t>2023-08-15</t>
  </si>
  <si>
    <t>2024-02-02</t>
  </si>
  <si>
    <t>2024-05-14</t>
  </si>
  <si>
    <t>2024-07-24</t>
  </si>
  <si>
    <t>2030-07-02</t>
  </si>
  <si>
    <t>利扬转债</t>
  </si>
  <si>
    <t>利扬芯片</t>
  </si>
  <si>
    <t>2023-04-27</t>
  </si>
  <si>
    <t>2023-12-14</t>
  </si>
  <si>
    <t>2024-02-05</t>
  </si>
  <si>
    <t>2024-07-19</t>
  </si>
  <si>
    <t>升24转债</t>
  </si>
  <si>
    <t>旭升集团</t>
  </si>
  <si>
    <t>28.000</t>
  </si>
  <si>
    <t>2023-04-04</t>
  </si>
  <si>
    <t>2024-05-11</t>
  </si>
  <si>
    <t>2030-06-14</t>
  </si>
  <si>
    <t>2025-11-10</t>
  </si>
  <si>
    <t>宏柏转债</t>
  </si>
  <si>
    <t>宏柏新材</t>
  </si>
  <si>
    <t>2024-04-17</t>
  </si>
  <si>
    <t>2023-04-24</t>
  </si>
  <si>
    <t>2030-04-17</t>
  </si>
  <si>
    <t>湘泵转债</t>
  </si>
  <si>
    <t>美湖股份</t>
  </si>
  <si>
    <t>5.770</t>
  </si>
  <si>
    <t>2024-04-01</t>
  </si>
  <si>
    <t>2023-04-20</t>
  </si>
  <si>
    <t>2023-11-24</t>
  </si>
  <si>
    <t>2024-04-29</t>
  </si>
  <si>
    <t>2030-04-01</t>
  </si>
  <si>
    <t>伟24转债</t>
  </si>
  <si>
    <t>伟明环保</t>
  </si>
  <si>
    <t>2.850</t>
  </si>
  <si>
    <t>2024-03-28</t>
  </si>
  <si>
    <t>2023-02-28</t>
  </si>
  <si>
    <t>2023-12-13</t>
  </si>
  <si>
    <t>2024-04-22</t>
  </si>
  <si>
    <t>2030-03-28</t>
  </si>
  <si>
    <t>益丰转债</t>
  </si>
  <si>
    <t>益丰药房</t>
  </si>
  <si>
    <t>17.970</t>
  </si>
  <si>
    <t>2024-03-04</t>
  </si>
  <si>
    <t>2024-03-27</t>
  </si>
  <si>
    <t>2030-03-04</t>
  </si>
  <si>
    <t>龙星转债</t>
  </si>
  <si>
    <t>龙星科技</t>
  </si>
  <si>
    <t>7.550</t>
  </si>
  <si>
    <t>2024-02-01</t>
  </si>
  <si>
    <t>2024-03-06</t>
  </si>
  <si>
    <t>2030-01-31</t>
  </si>
  <si>
    <t>楚天转债</t>
  </si>
  <si>
    <t>楚天科技</t>
  </si>
  <si>
    <t>2023-11-23</t>
  </si>
  <si>
    <t>2024-02-29</t>
  </si>
  <si>
    <t>2030-01-30</t>
  </si>
  <si>
    <t>2025-12-16</t>
  </si>
  <si>
    <t>姚记转债</t>
  </si>
  <si>
    <t>姚记科技</t>
  </si>
  <si>
    <t>5.830</t>
  </si>
  <si>
    <t>2024-01-25</t>
  </si>
  <si>
    <t>2023-02-27</t>
  </si>
  <si>
    <t>2023-04-12</t>
  </si>
  <si>
    <t>2023-05-24</t>
  </si>
  <si>
    <t>2024-02-26</t>
  </si>
  <si>
    <t>2030-01-24</t>
  </si>
  <si>
    <t>锋工转债</t>
  </si>
  <si>
    <t>恒锋工具</t>
  </si>
  <si>
    <t>6.200</t>
  </si>
  <si>
    <t>2023-08-03</t>
  </si>
  <si>
    <t>2024-02-22</t>
  </si>
  <si>
    <t>2030-01-18</t>
  </si>
  <si>
    <t>卡倍转02</t>
  </si>
  <si>
    <t>卡倍亿</t>
  </si>
  <si>
    <t>5.290</t>
  </si>
  <si>
    <t>2024-01-11</t>
  </si>
  <si>
    <t>2023-12-12</t>
  </si>
  <si>
    <t>2030-01-11</t>
  </si>
  <si>
    <t>佳禾转债</t>
  </si>
  <si>
    <t>佳禾智能</t>
  </si>
  <si>
    <t>10.040</t>
  </si>
  <si>
    <t>2024-01-04</t>
  </si>
  <si>
    <t>2022-08-05</t>
  </si>
  <si>
    <t>2022-12-12</t>
  </si>
  <si>
    <t>2023-02-13</t>
  </si>
  <si>
    <t>2030-01-04</t>
  </si>
  <si>
    <t>东南转债</t>
  </si>
  <si>
    <t>东南网架</t>
  </si>
  <si>
    <t>2024-01-03</t>
  </si>
  <si>
    <t>2023-03-01</t>
  </si>
  <si>
    <t>2023-06-15</t>
  </si>
  <si>
    <t>2030-01-03</t>
  </si>
  <si>
    <t>镇洋转债</t>
  </si>
  <si>
    <t>镇洋发展</t>
  </si>
  <si>
    <t>6.600</t>
  </si>
  <si>
    <t>2023-03-20</t>
  </si>
  <si>
    <t>2023-08-16</t>
  </si>
  <si>
    <t>2023-10-24</t>
  </si>
  <si>
    <t>2029-12-29</t>
  </si>
  <si>
    <t>浙建转债</t>
  </si>
  <si>
    <t>浙江建投</t>
  </si>
  <si>
    <t>2023-12-25</t>
  </si>
  <si>
    <t>2023-07-21</t>
  </si>
  <si>
    <t>2023-09-15</t>
  </si>
  <si>
    <t>2024-01-16</t>
  </si>
  <si>
    <t>2029-12-25</t>
  </si>
  <si>
    <t>华康转债</t>
  </si>
  <si>
    <t>华康股份</t>
  </si>
  <si>
    <t>13.030</t>
  </si>
  <si>
    <t>2023-04-21</t>
  </si>
  <si>
    <t>2023-12-04</t>
  </si>
  <si>
    <t>2024-01-15</t>
  </si>
  <si>
    <t>博23转债</t>
  </si>
  <si>
    <t>博威合金</t>
  </si>
  <si>
    <t>17.000</t>
  </si>
  <si>
    <t>2023-08-23</t>
  </si>
  <si>
    <t>2023-11-07</t>
  </si>
  <si>
    <t>2024-01-18</t>
  </si>
  <si>
    <t>2028-12-22</t>
  </si>
  <si>
    <t>豪鹏转债</t>
  </si>
  <si>
    <t>豪鹏科技</t>
  </si>
  <si>
    <t>11.000</t>
  </si>
  <si>
    <t>2023-09-06</t>
  </si>
  <si>
    <t>2029-12-22</t>
  </si>
  <si>
    <t>2025-08-25</t>
  </si>
  <si>
    <t>家联转债</t>
  </si>
  <si>
    <t>家联科技</t>
  </si>
  <si>
    <t>2023-05-15</t>
  </si>
  <si>
    <t>2023-11-21</t>
  </si>
  <si>
    <t>亿田转债</t>
  </si>
  <si>
    <t>亿田智能</t>
  </si>
  <si>
    <t>2029-12-21</t>
  </si>
  <si>
    <t>神码转债</t>
  </si>
  <si>
    <t>神州数码</t>
  </si>
  <si>
    <t>13.390</t>
  </si>
  <si>
    <t>2023-08-31</t>
  </si>
  <si>
    <t>2023-11-16</t>
  </si>
  <si>
    <t>诺泰转债</t>
  </si>
  <si>
    <t>ST诺泰</t>
  </si>
  <si>
    <t>4.340</t>
  </si>
  <si>
    <t>2023-03-07</t>
  </si>
  <si>
    <t>2029-12-15</t>
  </si>
  <si>
    <t>中能转债</t>
  </si>
  <si>
    <t>中能电气</t>
  </si>
  <si>
    <t>2023-12-11</t>
  </si>
  <si>
    <t>2029-12-11</t>
  </si>
  <si>
    <t>盛航转债</t>
  </si>
  <si>
    <t>盛航股份</t>
  </si>
  <si>
    <t>7.400</t>
  </si>
  <si>
    <t>2023-12-06</t>
  </si>
  <si>
    <t>2023-12-28</t>
  </si>
  <si>
    <t>2029-12-06</t>
  </si>
  <si>
    <t>凯盛转债</t>
  </si>
  <si>
    <t>凯盛新材</t>
  </si>
  <si>
    <t>2023-02-24</t>
  </si>
  <si>
    <t>2023-08-29</t>
  </si>
  <si>
    <t>2029-11-29</t>
  </si>
  <si>
    <t>金现转债</t>
  </si>
  <si>
    <t>金现代</t>
  </si>
  <si>
    <t>2.030</t>
  </si>
  <si>
    <t>2023-11-27</t>
  </si>
  <si>
    <t>2023-04-11</t>
  </si>
  <si>
    <t>2023-06-30</t>
  </si>
  <si>
    <t>2023-12-19</t>
  </si>
  <si>
    <t>2029-11-27</t>
  </si>
  <si>
    <t>2025-09-18</t>
  </si>
  <si>
    <t>欧晶转债</t>
  </si>
  <si>
    <t>欧晶科技</t>
  </si>
  <si>
    <t>4.700</t>
  </si>
  <si>
    <t>2023-05-31</t>
  </si>
  <si>
    <t>2023-07-28</t>
  </si>
  <si>
    <t>2029-11-24</t>
  </si>
  <si>
    <t>丽岛转债</t>
  </si>
  <si>
    <t>丽岛新材</t>
  </si>
  <si>
    <t>2023-11-15</t>
  </si>
  <si>
    <t>2029-11-15</t>
  </si>
  <si>
    <t>信测转债</t>
  </si>
  <si>
    <t>信测标准</t>
  </si>
  <si>
    <t>2023-04-03</t>
  </si>
  <si>
    <t>2029-11-09</t>
  </si>
  <si>
    <t>2025-09-02</t>
  </si>
  <si>
    <t>金钟转债</t>
  </si>
  <si>
    <t>金钟股份</t>
  </si>
  <si>
    <t>3.500</t>
  </si>
  <si>
    <t>2023-07-14</t>
  </si>
  <si>
    <t>芯能转债</t>
  </si>
  <si>
    <t>芯能科技</t>
  </si>
  <si>
    <t>2023-10-26</t>
  </si>
  <si>
    <t>2023-04-26</t>
  </si>
  <si>
    <t>2023-09-13</t>
  </si>
  <si>
    <t>2029-10-26</t>
  </si>
  <si>
    <t>三羊转债</t>
  </si>
  <si>
    <t>三羊马</t>
  </si>
  <si>
    <t>2.100</t>
  </si>
  <si>
    <t>2023-06-21</t>
  </si>
  <si>
    <t>泰坦转债</t>
  </si>
  <si>
    <t>泰坦股份</t>
  </si>
  <si>
    <t>2.960</t>
  </si>
  <si>
    <t>2023-10-25</t>
  </si>
  <si>
    <t>2029-10-25</t>
  </si>
  <si>
    <t>艾录转债</t>
  </si>
  <si>
    <t>上海艾录</t>
  </si>
  <si>
    <t>2023-10-23</t>
  </si>
  <si>
    <t>2023-11-20</t>
  </si>
  <si>
    <t>2029-10-23</t>
  </si>
  <si>
    <t>震裕转债</t>
  </si>
  <si>
    <t>震裕科技</t>
  </si>
  <si>
    <t>11.950</t>
  </si>
  <si>
    <t>2029-10-20</t>
  </si>
  <si>
    <t>2025-04-17</t>
  </si>
  <si>
    <t>雅创转债</t>
  </si>
  <si>
    <t>雅创电子</t>
  </si>
  <si>
    <t>3.630</t>
  </si>
  <si>
    <t>2023-03-06</t>
  </si>
  <si>
    <t>2023-09-01</t>
  </si>
  <si>
    <t>2023-11-10</t>
  </si>
  <si>
    <t>中贝转债</t>
  </si>
  <si>
    <t>中贝通信</t>
  </si>
  <si>
    <t>5.170</t>
  </si>
  <si>
    <t>2023-10-19</t>
  </si>
  <si>
    <t>2023-06-27</t>
  </si>
  <si>
    <t>2029-10-19</t>
  </si>
  <si>
    <t>广泰转债</t>
  </si>
  <si>
    <t>威海广泰</t>
  </si>
  <si>
    <t>7.000</t>
  </si>
  <si>
    <t>2023-10-18</t>
  </si>
  <si>
    <t>2023-03-28</t>
  </si>
  <si>
    <t>2029-10-18</t>
  </si>
  <si>
    <t>红墙转债</t>
  </si>
  <si>
    <t>红墙股份</t>
  </si>
  <si>
    <t>3.160</t>
  </si>
  <si>
    <t>2023-11-08</t>
  </si>
  <si>
    <t>章鼓转债</t>
  </si>
  <si>
    <t>山东章鼓</t>
  </si>
  <si>
    <t>2023-10-17</t>
  </si>
  <si>
    <t>2023-04-06</t>
  </si>
  <si>
    <t>2023-11-03</t>
  </si>
  <si>
    <t>2029-10-17</t>
  </si>
  <si>
    <t>中富转债</t>
  </si>
  <si>
    <t>中富电路</t>
  </si>
  <si>
    <t>2023-10-16</t>
  </si>
  <si>
    <t>2023-03-30</t>
  </si>
  <si>
    <t>翔丰转债</t>
  </si>
  <si>
    <t>翔丰华</t>
  </si>
  <si>
    <t>2023-10-10</t>
  </si>
  <si>
    <t>2023-05-08</t>
  </si>
  <si>
    <t>2029-10-10</t>
  </si>
  <si>
    <t>运机转债</t>
  </si>
  <si>
    <t>运机集团</t>
  </si>
  <si>
    <t>7.300</t>
  </si>
  <si>
    <t>2023-09-21</t>
  </si>
  <si>
    <t>2023-05-19</t>
  </si>
  <si>
    <t>2029-09-21</t>
  </si>
  <si>
    <t>宇邦转债</t>
  </si>
  <si>
    <t>宇邦新材</t>
  </si>
  <si>
    <t>2023-09-19</t>
  </si>
  <si>
    <t>2023-04-13</t>
  </si>
  <si>
    <t>2029-09-19</t>
  </si>
  <si>
    <t>九典转02</t>
  </si>
  <si>
    <t>九典制药</t>
  </si>
  <si>
    <t>3.600</t>
  </si>
  <si>
    <t>2022-09-22</t>
  </si>
  <si>
    <t>2022-12-23</t>
  </si>
  <si>
    <t>2023-03-16</t>
  </si>
  <si>
    <t>2023-10-13</t>
  </si>
  <si>
    <t>2029-09-15</t>
  </si>
  <si>
    <t>华懋转债</t>
  </si>
  <si>
    <t>华懋科技</t>
  </si>
  <si>
    <t>10.500</t>
  </si>
  <si>
    <t>2023-09-14</t>
  </si>
  <si>
    <t>2023-10-12</t>
  </si>
  <si>
    <t>2029-09-14</t>
  </si>
  <si>
    <t>盟升转债</t>
  </si>
  <si>
    <t>盟升电子</t>
  </si>
  <si>
    <t>2023-09-12</t>
  </si>
  <si>
    <t>2023-05-05</t>
  </si>
  <si>
    <t>2023-06-19</t>
  </si>
  <si>
    <t>2029-09-12</t>
  </si>
  <si>
    <t>赛特转债</t>
  </si>
  <si>
    <t>赛特新材</t>
  </si>
  <si>
    <t>4.420</t>
  </si>
  <si>
    <t>2023-09-11</t>
  </si>
  <si>
    <t>2022-06-27</t>
  </si>
  <si>
    <t>2022-11-04</t>
  </si>
  <si>
    <t>2029-09-11</t>
  </si>
  <si>
    <t>博俊转债</t>
  </si>
  <si>
    <t>博俊科技</t>
  </si>
  <si>
    <t>2023-09-08</t>
  </si>
  <si>
    <t>2022-12-27</t>
  </si>
  <si>
    <t>2023-04-07</t>
  </si>
  <si>
    <t>2023-05-16</t>
  </si>
  <si>
    <t>2023-09-28</t>
  </si>
  <si>
    <t>2029-09-08</t>
  </si>
  <si>
    <t>力诺转债</t>
  </si>
  <si>
    <t>力诺药包</t>
  </si>
  <si>
    <t>2023-01-31</t>
  </si>
  <si>
    <t>2023-06-16</t>
  </si>
  <si>
    <t>2029-08-23</t>
  </si>
  <si>
    <t>科数转债</t>
  </si>
  <si>
    <t>科华数据</t>
  </si>
  <si>
    <t>14.920</t>
  </si>
  <si>
    <t>2023-08-10</t>
  </si>
  <si>
    <t>荣23转债</t>
  </si>
  <si>
    <t>荣晟环保</t>
  </si>
  <si>
    <t>2023-05-22</t>
  </si>
  <si>
    <t>2023-06-25</t>
  </si>
  <si>
    <t>2029-08-18</t>
  </si>
  <si>
    <t>易瑞转债</t>
  </si>
  <si>
    <t>易瑞生物</t>
  </si>
  <si>
    <t>2022-08-19</t>
  </si>
  <si>
    <t>蓝天转债</t>
  </si>
  <si>
    <t>蓝天燃气</t>
  </si>
  <si>
    <t>8.700</t>
  </si>
  <si>
    <t>2023-07-26</t>
  </si>
  <si>
    <t>2029-08-15</t>
  </si>
  <si>
    <t>福立转债</t>
  </si>
  <si>
    <t>福立旺</t>
  </si>
  <si>
    <t>2023-08-14</t>
  </si>
  <si>
    <t>2023-01-19</t>
  </si>
  <si>
    <t>2023-06-12</t>
  </si>
  <si>
    <t>2029-08-14</t>
  </si>
  <si>
    <t>宇瞳转债</t>
  </si>
  <si>
    <t>宇瞳光学</t>
  </si>
  <si>
    <t>6.000</t>
  </si>
  <si>
    <t>2022-08-25</t>
  </si>
  <si>
    <t>2029-08-11</t>
  </si>
  <si>
    <t>2024-12-13</t>
  </si>
  <si>
    <t>新23转债</t>
  </si>
  <si>
    <t>新泉股份</t>
  </si>
  <si>
    <t>11.600</t>
  </si>
  <si>
    <t>2023-03-22</t>
  </si>
  <si>
    <t>2023-07-20</t>
  </si>
  <si>
    <t>2023-09-05</t>
  </si>
  <si>
    <t>宏昌转债</t>
  </si>
  <si>
    <t>宏昌科技</t>
  </si>
  <si>
    <t>2023-01-30</t>
  </si>
  <si>
    <t>2023-08-30</t>
  </si>
  <si>
    <t>2029-08-10</t>
  </si>
  <si>
    <t>奥维转债</t>
  </si>
  <si>
    <t>奥特维</t>
  </si>
  <si>
    <t>11.400</t>
  </si>
  <si>
    <t>2023-07-10</t>
  </si>
  <si>
    <t>富仕转债</t>
  </si>
  <si>
    <t>四会富仕</t>
  </si>
  <si>
    <t>5.700</t>
  </si>
  <si>
    <t>2023-08-08</t>
  </si>
  <si>
    <t>2023-06-09</t>
  </si>
  <si>
    <t>2029-08-08</t>
  </si>
  <si>
    <t>双良转债</t>
  </si>
  <si>
    <t>双良节能</t>
  </si>
  <si>
    <t>26.000</t>
  </si>
  <si>
    <t>科顺转债</t>
  </si>
  <si>
    <t>科顺股份</t>
  </si>
  <si>
    <t>21.980</t>
  </si>
  <si>
    <t>2022-07-28</t>
  </si>
  <si>
    <t>2023-04-19</t>
  </si>
  <si>
    <t>2029-08-04</t>
  </si>
  <si>
    <t>铭利转债</t>
  </si>
  <si>
    <t>铭利达</t>
  </si>
  <si>
    <t>2029-08-03</t>
  </si>
  <si>
    <t>星球转债</t>
  </si>
  <si>
    <t>星球石墨</t>
  </si>
  <si>
    <t>2023-07-31</t>
  </si>
  <si>
    <t>2023-01-04</t>
  </si>
  <si>
    <t>2023-08-22</t>
  </si>
  <si>
    <t>2029-07-31</t>
  </si>
  <si>
    <t>东宝转债</t>
  </si>
  <si>
    <t>东宝生物</t>
  </si>
  <si>
    <t>4.550</t>
  </si>
  <si>
    <t>金铜转债</t>
  </si>
  <si>
    <t>金田股份</t>
  </si>
  <si>
    <t>14.500</t>
  </si>
  <si>
    <t>2023-08-28</t>
  </si>
  <si>
    <t>2029-07-28</t>
  </si>
  <si>
    <t>天源转债</t>
  </si>
  <si>
    <t>武汉天源</t>
  </si>
  <si>
    <t>2023-02-10</t>
  </si>
  <si>
    <t>2023-05-11</t>
  </si>
  <si>
    <t>信服转债</t>
  </si>
  <si>
    <t>深信服</t>
  </si>
  <si>
    <t>12.150</t>
  </si>
  <si>
    <t>2023-07-27</t>
  </si>
  <si>
    <t>2022-07-22</t>
  </si>
  <si>
    <t>2029-07-27</t>
  </si>
  <si>
    <t>阳谷转债</t>
  </si>
  <si>
    <t>阳谷华泰</t>
  </si>
  <si>
    <t>2023-01-05</t>
  </si>
  <si>
    <t>2023-06-02</t>
  </si>
  <si>
    <t>燃23转债</t>
  </si>
  <si>
    <t>深圳燃气</t>
  </si>
  <si>
    <t>立中转债</t>
  </si>
  <si>
    <t>立中集团</t>
  </si>
  <si>
    <t>9.000</t>
  </si>
  <si>
    <t>2022-10-26</t>
  </si>
  <si>
    <t>2023-07-06</t>
  </si>
  <si>
    <t>聚隆转债</t>
  </si>
  <si>
    <t>南京聚隆</t>
  </si>
  <si>
    <t>2.190</t>
  </si>
  <si>
    <t>2022-10-28</t>
  </si>
  <si>
    <t>2029-07-26</t>
  </si>
  <si>
    <t>宏微转债</t>
  </si>
  <si>
    <t>宏微科技</t>
  </si>
  <si>
    <t>4.300</t>
  </si>
  <si>
    <t>2023-07-25</t>
  </si>
  <si>
    <t>2029-07-25</t>
  </si>
  <si>
    <t>神通转债</t>
  </si>
  <si>
    <t>神通科技</t>
  </si>
  <si>
    <t>孩王转债</t>
  </si>
  <si>
    <t>孩子王</t>
  </si>
  <si>
    <t>2023-07-24</t>
  </si>
  <si>
    <t>2022-08-23</t>
  </si>
  <si>
    <t>2029-07-24</t>
  </si>
  <si>
    <t>兴瑞转债</t>
  </si>
  <si>
    <t>兴瑞科技</t>
  </si>
  <si>
    <t>4.620</t>
  </si>
  <si>
    <t>冠中转债</t>
  </si>
  <si>
    <t>冠中生态</t>
  </si>
  <si>
    <t>A-</t>
  </si>
  <si>
    <t>2023-01-18</t>
  </si>
  <si>
    <t>2029-07-21</t>
  </si>
  <si>
    <t>华设转债</t>
  </si>
  <si>
    <t>华设集团</t>
  </si>
  <si>
    <t>2023-06-17</t>
  </si>
  <si>
    <t>开能转债</t>
  </si>
  <si>
    <t>开能健康</t>
  </si>
  <si>
    <t>2023-02-09</t>
  </si>
  <si>
    <t>2023-07-03</t>
  </si>
  <si>
    <t>2029-07-20</t>
  </si>
  <si>
    <t>煜邦转债</t>
  </si>
  <si>
    <t>煜邦电力</t>
  </si>
  <si>
    <t>4.110</t>
  </si>
  <si>
    <t>2023-02-01</t>
  </si>
  <si>
    <t>2023-05-29</t>
  </si>
  <si>
    <t>晶澳转债</t>
  </si>
  <si>
    <t>晶澳科技</t>
  </si>
  <si>
    <t>89.600</t>
  </si>
  <si>
    <t>2023-07-18</t>
  </si>
  <si>
    <t>2029-07-18</t>
  </si>
  <si>
    <t>岱美转债</t>
  </si>
  <si>
    <t>岱美股份</t>
  </si>
  <si>
    <t>福蓉转债</t>
  </si>
  <si>
    <t>福蓉科技</t>
  </si>
  <si>
    <t>6.400</t>
  </si>
  <si>
    <t>众和转债</t>
  </si>
  <si>
    <t>新疆众和</t>
  </si>
  <si>
    <t>13.750</t>
  </si>
  <si>
    <t>2023-05-17</t>
  </si>
  <si>
    <t>大叶转债</t>
  </si>
  <si>
    <t>大叶股份</t>
  </si>
  <si>
    <t>4.760</t>
  </si>
  <si>
    <t>2023-07-17</t>
  </si>
  <si>
    <t>2022-07-06</t>
  </si>
  <si>
    <t>2022-11-10</t>
  </si>
  <si>
    <t>2029-07-17</t>
  </si>
  <si>
    <t>金宏转债</t>
  </si>
  <si>
    <t>金宏气体</t>
  </si>
  <si>
    <t>10.160</t>
  </si>
  <si>
    <t>2022-12-08</t>
  </si>
  <si>
    <t>2023-04-10</t>
  </si>
  <si>
    <t>金丹转债</t>
  </si>
  <si>
    <t>金丹科技</t>
  </si>
  <si>
    <t>2022-10-10</t>
  </si>
  <si>
    <t>2023-03-23</t>
  </si>
  <si>
    <t>2029-07-13</t>
  </si>
  <si>
    <t>2025-07-07</t>
  </si>
  <si>
    <t>武进转债</t>
  </si>
  <si>
    <t>武进不锈</t>
  </si>
  <si>
    <t>3.100</t>
  </si>
  <si>
    <t>2029-07-10</t>
  </si>
  <si>
    <t>东亚转债</t>
  </si>
  <si>
    <t>东亚药业</t>
  </si>
  <si>
    <t>6.900</t>
  </si>
  <si>
    <t>2023-05-26</t>
  </si>
  <si>
    <t>2029-07-06</t>
  </si>
  <si>
    <t>上声转债</t>
  </si>
  <si>
    <t>2023-04-17</t>
  </si>
  <si>
    <t>2023-08-01</t>
  </si>
  <si>
    <t>祥源转债</t>
  </si>
  <si>
    <t>祥源新材</t>
  </si>
  <si>
    <t>2029-07-03</t>
  </si>
  <si>
    <t>2024-12-20</t>
  </si>
  <si>
    <t>明电转02</t>
  </si>
  <si>
    <t>明阳电路</t>
  </si>
  <si>
    <t>4.490</t>
  </si>
  <si>
    <t>赫达转债</t>
  </si>
  <si>
    <t>山东赫达</t>
  </si>
  <si>
    <t>力合转债</t>
  </si>
  <si>
    <t>力合微</t>
  </si>
  <si>
    <t>2022-09-30</t>
  </si>
  <si>
    <t>2023-05-12</t>
  </si>
  <si>
    <t>2029-06-28</t>
  </si>
  <si>
    <t>海泰转债</t>
  </si>
  <si>
    <t>海泰科</t>
  </si>
  <si>
    <t>3.970</t>
  </si>
  <si>
    <t>2029-06-27</t>
  </si>
  <si>
    <t>纽泰转债</t>
  </si>
  <si>
    <t>纽泰格</t>
  </si>
  <si>
    <t>李子转债</t>
  </si>
  <si>
    <t>李子园</t>
  </si>
  <si>
    <t>2029-06-20</t>
  </si>
  <si>
    <t>星帅转2</t>
  </si>
  <si>
    <t>星帅尔</t>
  </si>
  <si>
    <t>4.630</t>
  </si>
  <si>
    <t>2023-06-14</t>
  </si>
  <si>
    <t>2029-06-14</t>
  </si>
  <si>
    <t>国力转债</t>
  </si>
  <si>
    <t>国力电子</t>
  </si>
  <si>
    <t>4.800</t>
  </si>
  <si>
    <t>2022-12-15</t>
  </si>
  <si>
    <t>2023-03-21</t>
  </si>
  <si>
    <t>2029-06-12</t>
  </si>
  <si>
    <t>恒邦转债</t>
  </si>
  <si>
    <t>恒邦股份</t>
  </si>
  <si>
    <t>31.600</t>
  </si>
  <si>
    <t>2023-04-14</t>
  </si>
  <si>
    <t>山河转债</t>
  </si>
  <si>
    <t>山河药辅</t>
  </si>
  <si>
    <t>3.200</t>
  </si>
  <si>
    <t>2022-12-22</t>
  </si>
  <si>
    <t>金埔转债</t>
  </si>
  <si>
    <t>金埔园林</t>
  </si>
  <si>
    <t>2022-10-25</t>
  </si>
  <si>
    <t>2029-06-08</t>
  </si>
  <si>
    <t>光力转债</t>
  </si>
  <si>
    <t>光力科技</t>
  </si>
  <si>
    <t>2022-04-25</t>
  </si>
  <si>
    <t>2022-09-02</t>
  </si>
  <si>
    <t>2022-11-14</t>
  </si>
  <si>
    <t>2029-05-08</t>
  </si>
  <si>
    <t>晶能转债</t>
  </si>
  <si>
    <t>晶科能源</t>
  </si>
  <si>
    <t>100.000</t>
  </si>
  <si>
    <t>2029-04-20</t>
  </si>
  <si>
    <t>正元转02</t>
  </si>
  <si>
    <t>正元智慧</t>
  </si>
  <si>
    <t>3.510</t>
  </si>
  <si>
    <t>2023-04-18</t>
  </si>
  <si>
    <t>2022-07-07</t>
  </si>
  <si>
    <t>2022-11-16</t>
  </si>
  <si>
    <t>2023-03-17</t>
  </si>
  <si>
    <t>2029-04-18</t>
  </si>
  <si>
    <t>金23转债</t>
  </si>
  <si>
    <t>金牌家居</t>
  </si>
  <si>
    <t>7.700</t>
  </si>
  <si>
    <t>2029-04-17</t>
  </si>
  <si>
    <t>蓝晓转02</t>
  </si>
  <si>
    <t>蓝晓科技</t>
  </si>
  <si>
    <t>5.460</t>
  </si>
  <si>
    <t>2022-11-23</t>
  </si>
  <si>
    <t>百洋转债</t>
  </si>
  <si>
    <t>百洋医药</t>
  </si>
  <si>
    <t>8.600</t>
  </si>
  <si>
    <t>2022-03-14</t>
  </si>
  <si>
    <t>2029-04-14</t>
  </si>
  <si>
    <t>科思转债</t>
  </si>
  <si>
    <t>科思股份</t>
  </si>
  <si>
    <t>7.250</t>
  </si>
  <si>
    <t>2022-10-27</t>
  </si>
  <si>
    <t>2029-04-13</t>
  </si>
  <si>
    <t>海能转债</t>
  </si>
  <si>
    <t>海能实业</t>
  </si>
  <si>
    <t>2022-08-26</t>
  </si>
  <si>
    <t>2022-11-25</t>
  </si>
  <si>
    <t>2023-05-09</t>
  </si>
  <si>
    <t>韵达转债</t>
  </si>
  <si>
    <t>韵达股份</t>
  </si>
  <si>
    <t>24.500</t>
  </si>
  <si>
    <t>2023-05-23</t>
  </si>
  <si>
    <t>2029-04-11</t>
  </si>
  <si>
    <t>智尚转债</t>
  </si>
  <si>
    <t>南山智尚</t>
  </si>
  <si>
    <t>2022-09-26</t>
  </si>
  <si>
    <t>2023-01-12</t>
  </si>
  <si>
    <t>2023-04-28</t>
  </si>
  <si>
    <t>2029-04-10</t>
  </si>
  <si>
    <t>2025-03-20</t>
  </si>
  <si>
    <t>道氏转02</t>
  </si>
  <si>
    <t>道氏技术</t>
  </si>
  <si>
    <t>2022-08-09</t>
  </si>
  <si>
    <t>2022-12-16</t>
  </si>
  <si>
    <t>2029-04-07</t>
  </si>
  <si>
    <t>晓鸣转债</t>
  </si>
  <si>
    <t>晓鸣股份</t>
  </si>
  <si>
    <t>3.290</t>
  </si>
  <si>
    <t>2022-06-01</t>
  </si>
  <si>
    <t>2022-09-07</t>
  </si>
  <si>
    <t>2023-02-16</t>
  </si>
  <si>
    <t>2029-04-06</t>
  </si>
  <si>
    <t>超达转债</t>
  </si>
  <si>
    <t>超达装备</t>
  </si>
  <si>
    <t>2029-04-04</t>
  </si>
  <si>
    <t>景23转债</t>
  </si>
  <si>
    <t>景旺电子</t>
  </si>
  <si>
    <t>11.540</t>
  </si>
  <si>
    <t>水羊转债</t>
  </si>
  <si>
    <t>水羊股份</t>
  </si>
  <si>
    <t>2022-09-19</t>
  </si>
  <si>
    <t>志特转债</t>
  </si>
  <si>
    <t>志特新材</t>
  </si>
  <si>
    <t>6.140</t>
  </si>
  <si>
    <t>2023-03-31</t>
  </si>
  <si>
    <t>2022-09-09</t>
  </si>
  <si>
    <t>2023-02-17</t>
  </si>
  <si>
    <t>2029-03-31</t>
  </si>
  <si>
    <t>2025-08-04</t>
  </si>
  <si>
    <t>能辉转债</t>
  </si>
  <si>
    <t>能辉科技</t>
  </si>
  <si>
    <t>3.480</t>
  </si>
  <si>
    <t>2022-12-30</t>
  </si>
  <si>
    <t>柳工转2</t>
  </si>
  <si>
    <t>柳工</t>
  </si>
  <si>
    <t>2023-03-27</t>
  </si>
  <si>
    <t>2029-03-27</t>
  </si>
  <si>
    <t>鹿山转债</t>
  </si>
  <si>
    <t>鹿山新材</t>
  </si>
  <si>
    <t>5.240</t>
  </si>
  <si>
    <t>山路转债</t>
  </si>
  <si>
    <t>山东路桥</t>
  </si>
  <si>
    <t>48.360</t>
  </si>
  <si>
    <t>2029-03-24</t>
  </si>
  <si>
    <t>天阳转债</t>
  </si>
  <si>
    <t>天阳科技</t>
  </si>
  <si>
    <t>9.750</t>
  </si>
  <si>
    <t>2022-08-02</t>
  </si>
  <si>
    <t>2029-03-23</t>
  </si>
  <si>
    <t>海顺转债</t>
  </si>
  <si>
    <t>海顺新材</t>
  </si>
  <si>
    <t>6.330</t>
  </si>
  <si>
    <t>2022-07-13</t>
  </si>
  <si>
    <t>广联转债</t>
  </si>
  <si>
    <t>广联航空</t>
  </si>
  <si>
    <t>2022-08-22</t>
  </si>
  <si>
    <t>2029-03-22</t>
  </si>
  <si>
    <t>华特转债</t>
  </si>
  <si>
    <t>华特气体</t>
  </si>
  <si>
    <t>6.460</t>
  </si>
  <si>
    <t>2022-11-24</t>
  </si>
  <si>
    <t>2029-03-21</t>
  </si>
  <si>
    <t>亚康转债</t>
  </si>
  <si>
    <t>亚康股份</t>
  </si>
  <si>
    <t>2.610</t>
  </si>
  <si>
    <t>2022-07-27</t>
  </si>
  <si>
    <t>2022-12-01</t>
  </si>
  <si>
    <t>春23转债</t>
  </si>
  <si>
    <t>春秋电子</t>
  </si>
  <si>
    <t>2029-03-17</t>
  </si>
  <si>
    <t>神马转债</t>
  </si>
  <si>
    <t>神马股份</t>
  </si>
  <si>
    <t>2029-03-16</t>
  </si>
  <si>
    <t>平煤转债</t>
  </si>
  <si>
    <t>平煤股份</t>
  </si>
  <si>
    <t>29.000</t>
  </si>
  <si>
    <t>浙矿转债</t>
  </si>
  <si>
    <t>浙矿股份</t>
  </si>
  <si>
    <t>2023-03-09</t>
  </si>
  <si>
    <t>2022-08-18</t>
  </si>
  <si>
    <t>2029-03-09</t>
  </si>
  <si>
    <t>亚科转债</t>
  </si>
  <si>
    <t>亚太科技</t>
  </si>
  <si>
    <t>11.590</t>
  </si>
  <si>
    <t>建龙转债</t>
  </si>
  <si>
    <t>建龙微纳</t>
  </si>
  <si>
    <t>2023-03-08</t>
  </si>
  <si>
    <t>2022-11-15</t>
  </si>
  <si>
    <t>2023-02-07</t>
  </si>
  <si>
    <t>2029-03-08</t>
  </si>
  <si>
    <t>新港转债</t>
  </si>
  <si>
    <t>新中港</t>
  </si>
  <si>
    <t>3.690</t>
  </si>
  <si>
    <t>立高转债</t>
  </si>
  <si>
    <t>立高食品</t>
  </si>
  <si>
    <t>9.500</t>
  </si>
  <si>
    <t>2029-03-07</t>
  </si>
  <si>
    <t>花园转债</t>
  </si>
  <si>
    <t>花园生物</t>
  </si>
  <si>
    <t>2022-08-11</t>
  </si>
  <si>
    <t>2029-03-06</t>
  </si>
  <si>
    <t>中旗转债</t>
  </si>
  <si>
    <t>中旗新材</t>
  </si>
  <si>
    <t>5.400</t>
  </si>
  <si>
    <t>2029-03-03</t>
  </si>
  <si>
    <t>测绘转债</t>
  </si>
  <si>
    <t>测绘股份</t>
  </si>
  <si>
    <t>4.070</t>
  </si>
  <si>
    <t>2029-03-02</t>
  </si>
  <si>
    <t>精测转2</t>
  </si>
  <si>
    <t>精测电子</t>
  </si>
  <si>
    <t>12.760</t>
  </si>
  <si>
    <t>爱玛转债</t>
  </si>
  <si>
    <t>爱玛科技</t>
  </si>
  <si>
    <t>2023-02-23</t>
  </si>
  <si>
    <t>2029-02-23</t>
  </si>
  <si>
    <t>百畅转债</t>
  </si>
  <si>
    <t>百川畅银</t>
  </si>
  <si>
    <t>4.200</t>
  </si>
  <si>
    <t>2023-02-22</t>
  </si>
  <si>
    <t>2022-04-07</t>
  </si>
  <si>
    <t>2029-02-22</t>
  </si>
  <si>
    <t>精锻转债</t>
  </si>
  <si>
    <t>精锻科技</t>
  </si>
  <si>
    <t>2023-02-15</t>
  </si>
  <si>
    <t>2022-07-15</t>
  </si>
  <si>
    <t>2029-02-15</t>
  </si>
  <si>
    <t>天23转债</t>
  </si>
  <si>
    <t>天合光能</t>
  </si>
  <si>
    <t>88.650</t>
  </si>
  <si>
    <t>2022-07-29</t>
  </si>
  <si>
    <t>2023-03-15</t>
  </si>
  <si>
    <t>2029-02-13</t>
  </si>
  <si>
    <t>三房转债</t>
  </si>
  <si>
    <t>三房巷</t>
  </si>
  <si>
    <t>2023-01-06</t>
  </si>
  <si>
    <t>2029-01-06</t>
  </si>
  <si>
    <t>福新转债</t>
  </si>
  <si>
    <t>福莱新材</t>
  </si>
  <si>
    <t>4.290</t>
  </si>
  <si>
    <t>2029-01-04</t>
  </si>
  <si>
    <t>冠盛转债</t>
  </si>
  <si>
    <t>冠盛股份</t>
  </si>
  <si>
    <t>6.020</t>
  </si>
  <si>
    <t>2023-01-03</t>
  </si>
  <si>
    <t>2023-02-06</t>
  </si>
  <si>
    <t>2029-01-03</t>
  </si>
  <si>
    <t>声迅转债</t>
  </si>
  <si>
    <t>*ST声迅</t>
  </si>
  <si>
    <t>2.800</t>
  </si>
  <si>
    <t>2028-12-30</t>
  </si>
  <si>
    <t>睿创转债</t>
  </si>
  <si>
    <t>睿创微纳</t>
  </si>
  <si>
    <t>15.650</t>
  </si>
  <si>
    <t>2022-09-29</t>
  </si>
  <si>
    <t>2022-11-09</t>
  </si>
  <si>
    <t>恒锋转债</t>
  </si>
  <si>
    <t>恒锋信息</t>
  </si>
  <si>
    <t>2.420</t>
  </si>
  <si>
    <t>2021-12-29</t>
  </si>
  <si>
    <t>2022-10-17</t>
  </si>
  <si>
    <t>2023-02-08</t>
  </si>
  <si>
    <t>华亚转债</t>
  </si>
  <si>
    <t>华亚智能</t>
  </si>
  <si>
    <t>3.400</t>
  </si>
  <si>
    <t>2023-01-16</t>
  </si>
  <si>
    <t>2028-12-16</t>
  </si>
  <si>
    <t>汇通转债</t>
  </si>
  <si>
    <t>汇通集团</t>
  </si>
  <si>
    <t>2023-01-11</t>
  </si>
  <si>
    <t>2028-12-15</t>
  </si>
  <si>
    <t>富淼转债</t>
  </si>
  <si>
    <t>富淼科技</t>
  </si>
  <si>
    <t>2022-04-26</t>
  </si>
  <si>
    <t>2022-09-21</t>
  </si>
  <si>
    <t>2022-11-07</t>
  </si>
  <si>
    <t>2023-01-09</t>
  </si>
  <si>
    <t>漱玉转债</t>
  </si>
  <si>
    <t>漱玉平民</t>
  </si>
  <si>
    <t>2022-07-04</t>
  </si>
  <si>
    <t>2022-11-18</t>
  </si>
  <si>
    <t>优彩转债</t>
  </si>
  <si>
    <t>优彩资源</t>
  </si>
  <si>
    <t>2022-12-14</t>
  </si>
  <si>
    <t>2028-12-14</t>
  </si>
  <si>
    <t>合力转债</t>
  </si>
  <si>
    <t>安徽合力</t>
  </si>
  <si>
    <t>20.480</t>
  </si>
  <si>
    <t>2022-12-13</t>
  </si>
  <si>
    <t>2028-12-13</t>
  </si>
  <si>
    <t>2024-06-28</t>
  </si>
  <si>
    <t>会通转债</t>
  </si>
  <si>
    <t>会通股份</t>
  </si>
  <si>
    <t>2022-12-06</t>
  </si>
  <si>
    <t>2021-08-06</t>
  </si>
  <si>
    <t>2021-12-02</t>
  </si>
  <si>
    <t>2022-03-04</t>
  </si>
  <si>
    <t>2028-12-06</t>
  </si>
  <si>
    <t>大元转债</t>
  </si>
  <si>
    <t>大元泵业</t>
  </si>
  <si>
    <t>2022-12-05</t>
  </si>
  <si>
    <t>2028-12-05</t>
  </si>
  <si>
    <t>华宏转债</t>
  </si>
  <si>
    <t>华宏科技</t>
  </si>
  <si>
    <t>5.150</t>
  </si>
  <si>
    <t>2022-12-02</t>
  </si>
  <si>
    <t>2023-01-10</t>
  </si>
  <si>
    <t>2028-12-02</t>
  </si>
  <si>
    <t>齐鲁转债</t>
  </si>
  <si>
    <t>齐鲁银行</t>
  </si>
  <si>
    <t>2022-11-29</t>
  </si>
  <si>
    <t>2022-12-19</t>
  </si>
  <si>
    <t>2028-11-29</t>
  </si>
  <si>
    <t>2025-08-08</t>
  </si>
  <si>
    <t>宏图转债</t>
  </si>
  <si>
    <t>航天宏图</t>
  </si>
  <si>
    <t>10.090</t>
  </si>
  <si>
    <t>BBB</t>
  </si>
  <si>
    <t>2022-11-28</t>
  </si>
  <si>
    <t>2022-06-24</t>
  </si>
  <si>
    <t>2022-09-15</t>
  </si>
  <si>
    <t>2028-11-28</t>
  </si>
  <si>
    <t>新化转债</t>
  </si>
  <si>
    <t>新化股份</t>
  </si>
  <si>
    <t>共同转债</t>
  </si>
  <si>
    <t>共同药业</t>
  </si>
  <si>
    <t>2022-09-16</t>
  </si>
  <si>
    <t>豪能转债</t>
  </si>
  <si>
    <t>2028-11-25</t>
  </si>
  <si>
    <t>南电转债</t>
  </si>
  <si>
    <t>南大光电</t>
  </si>
  <si>
    <t>2022-04-27</t>
  </si>
  <si>
    <t>2022-07-20</t>
  </si>
  <si>
    <t>2028-11-24</t>
  </si>
  <si>
    <t>惠云转债</t>
  </si>
  <si>
    <t>惠云钛业</t>
  </si>
  <si>
    <t>4.900</t>
  </si>
  <si>
    <t>2022-04-22</t>
  </si>
  <si>
    <t>2028-11-23</t>
  </si>
  <si>
    <t>正海转债</t>
  </si>
  <si>
    <t>正海磁材</t>
  </si>
  <si>
    <t>14.000</t>
  </si>
  <si>
    <t>2022-07-21</t>
  </si>
  <si>
    <t>福22转债</t>
  </si>
  <si>
    <t>福斯特</t>
  </si>
  <si>
    <t>30.300</t>
  </si>
  <si>
    <t>2022-11-22</t>
  </si>
  <si>
    <t>2028-11-22</t>
  </si>
  <si>
    <t>商络转债</t>
  </si>
  <si>
    <t>3.960</t>
  </si>
  <si>
    <t>2022-01-28</t>
  </si>
  <si>
    <t>2022-08-03</t>
  </si>
  <si>
    <t>2022-12-09</t>
  </si>
  <si>
    <t>2028-11-17</t>
  </si>
  <si>
    <t>2024-04-19</t>
  </si>
  <si>
    <t>寿22转债</t>
  </si>
  <si>
    <t>寿仙谷</t>
  </si>
  <si>
    <t>东材转债</t>
  </si>
  <si>
    <t>东材科技</t>
  </si>
  <si>
    <t>2028-11-16</t>
  </si>
  <si>
    <t>立昂转债</t>
  </si>
  <si>
    <t>立昂微</t>
  </si>
  <si>
    <t>33.900</t>
  </si>
  <si>
    <t>2022-12-07</t>
  </si>
  <si>
    <t>2028-11-14</t>
  </si>
  <si>
    <t>盛泰转债</t>
  </si>
  <si>
    <t>盛泰集团</t>
  </si>
  <si>
    <t>7.010</t>
  </si>
  <si>
    <t>2028-11-07</t>
  </si>
  <si>
    <t>蒙泰转债</t>
  </si>
  <si>
    <t>蒙泰高新</t>
  </si>
  <si>
    <t>2022-11-02</t>
  </si>
  <si>
    <t>2028-11-02</t>
  </si>
  <si>
    <t>沿浦转债</t>
  </si>
  <si>
    <t>上海沿浦</t>
  </si>
  <si>
    <t>3.840</t>
  </si>
  <si>
    <t>赛轮转债</t>
  </si>
  <si>
    <t>赛轮轮胎</t>
  </si>
  <si>
    <t>20.090</t>
  </si>
  <si>
    <t>2024-02-19</t>
  </si>
  <si>
    <t>回天转债</t>
  </si>
  <si>
    <t>回天新材</t>
  </si>
  <si>
    <t>2022-06-15</t>
  </si>
  <si>
    <t>2028-10-27</t>
  </si>
  <si>
    <t>中宠转2</t>
  </si>
  <si>
    <t>中宠股份</t>
  </si>
  <si>
    <t>7.690</t>
  </si>
  <si>
    <t>2022-11-21</t>
  </si>
  <si>
    <t>2028-10-25</t>
  </si>
  <si>
    <t>利元转债</t>
  </si>
  <si>
    <t>利元亨</t>
  </si>
  <si>
    <t>2022-10-24</t>
  </si>
  <si>
    <t>2022-03-18</t>
  </si>
  <si>
    <t>2022-09-08</t>
  </si>
  <si>
    <t>2028-10-24</t>
  </si>
  <si>
    <t>冠宇转债</t>
  </si>
  <si>
    <t>珠海冠宇</t>
  </si>
  <si>
    <t>30.890</t>
  </si>
  <si>
    <t>2022-05-17</t>
  </si>
  <si>
    <t>奕瑞转债</t>
  </si>
  <si>
    <t>奕瑞科技</t>
  </si>
  <si>
    <t>14.350</t>
  </si>
  <si>
    <t>2022-04-28</t>
  </si>
  <si>
    <t>法本转债</t>
  </si>
  <si>
    <t>法本信息</t>
  </si>
  <si>
    <t>6.010</t>
  </si>
  <si>
    <t>2022-10-21</t>
  </si>
  <si>
    <t>2022-04-01</t>
  </si>
  <si>
    <t>2028-10-21</t>
  </si>
  <si>
    <t>百川转2</t>
  </si>
  <si>
    <t>百川股份</t>
  </si>
  <si>
    <t>9.780</t>
  </si>
  <si>
    <t>2022-10-19</t>
  </si>
  <si>
    <t>2028-10-19</t>
  </si>
  <si>
    <t>东杰转债</t>
  </si>
  <si>
    <t>东杰智能</t>
  </si>
  <si>
    <t>2022-10-14</t>
  </si>
  <si>
    <t>2021-08-04</t>
  </si>
  <si>
    <t>2028-10-14</t>
  </si>
  <si>
    <t>2025-09-22</t>
  </si>
  <si>
    <t>金沃转债</t>
  </si>
  <si>
    <t>金沃股份</t>
  </si>
  <si>
    <t>2022-06-16</t>
  </si>
  <si>
    <t>莱克转债</t>
  </si>
  <si>
    <t>莱克电气</t>
  </si>
  <si>
    <t>广大转债</t>
  </si>
  <si>
    <t>广大特材</t>
  </si>
  <si>
    <t>15.500</t>
  </si>
  <si>
    <t>2022-10-13</t>
  </si>
  <si>
    <t>2028-10-13</t>
  </si>
  <si>
    <t>麦米转2</t>
  </si>
  <si>
    <t>麦格米特</t>
  </si>
  <si>
    <t>12.200</t>
  </si>
  <si>
    <t>永和转债</t>
  </si>
  <si>
    <t>永和股份</t>
  </si>
  <si>
    <t>2022-10-11</t>
  </si>
  <si>
    <t>2022-11-01</t>
  </si>
  <si>
    <t>2028-10-11</t>
  </si>
  <si>
    <t>强联转债</t>
  </si>
  <si>
    <t>新强联</t>
  </si>
  <si>
    <t>12.100</t>
  </si>
  <si>
    <t>2022-03-11</t>
  </si>
  <si>
    <t>锂科转债</t>
  </si>
  <si>
    <t>五矿新能</t>
  </si>
  <si>
    <t>32.500</t>
  </si>
  <si>
    <t>2022-04-15</t>
  </si>
  <si>
    <t>2022-07-05</t>
  </si>
  <si>
    <t>2022-08-12</t>
  </si>
  <si>
    <t>再22转债</t>
  </si>
  <si>
    <t>再升科技</t>
  </si>
  <si>
    <t>5.100</t>
  </si>
  <si>
    <t>2028-09-29</t>
  </si>
  <si>
    <t>泰福转债</t>
  </si>
  <si>
    <t>泰福泵业</t>
  </si>
  <si>
    <t>3.350</t>
  </si>
  <si>
    <t>2022-03-29</t>
  </si>
  <si>
    <t>2028-09-28</t>
  </si>
  <si>
    <t>崧盛转债</t>
  </si>
  <si>
    <t>崧盛股份</t>
  </si>
  <si>
    <t>2.940</t>
  </si>
  <si>
    <t>2022-02-08</t>
  </si>
  <si>
    <t>2022-06-17</t>
  </si>
  <si>
    <t>2028-09-27</t>
  </si>
  <si>
    <t>新致转债</t>
  </si>
  <si>
    <t>新致软件</t>
  </si>
  <si>
    <t>4.850</t>
  </si>
  <si>
    <t>2022-02-09</t>
  </si>
  <si>
    <t>宙邦转债</t>
  </si>
  <si>
    <t>新宙邦</t>
  </si>
  <si>
    <t>19.700</t>
  </si>
  <si>
    <t>2028-09-26</t>
  </si>
  <si>
    <t>天赐转债</t>
  </si>
  <si>
    <t>天赐材料</t>
  </si>
  <si>
    <t>34.100</t>
  </si>
  <si>
    <t>2022-09-23</t>
  </si>
  <si>
    <t>2027-09-23</t>
  </si>
  <si>
    <t>爱迪转债</t>
  </si>
  <si>
    <t>爱柯迪</t>
  </si>
  <si>
    <t>15.700</t>
  </si>
  <si>
    <t>2028-09-23</t>
  </si>
  <si>
    <t>芳源转债</t>
  </si>
  <si>
    <t>芳源股份</t>
  </si>
  <si>
    <t>6.420</t>
  </si>
  <si>
    <t>2022-03-25</t>
  </si>
  <si>
    <t>2022-07-08</t>
  </si>
  <si>
    <t>兴发转债</t>
  </si>
  <si>
    <t>兴发集团</t>
  </si>
  <si>
    <t>2022-10-31</t>
  </si>
  <si>
    <t>2028-09-22</t>
  </si>
  <si>
    <t>博实转债</t>
  </si>
  <si>
    <t>博实股份</t>
  </si>
  <si>
    <t>2022-11-03</t>
  </si>
  <si>
    <t>金盘转债</t>
  </si>
  <si>
    <t>9.770</t>
  </si>
  <si>
    <t>2028-09-16</t>
  </si>
  <si>
    <t>2024-05-22</t>
  </si>
  <si>
    <t>密卫转债</t>
  </si>
  <si>
    <t>密尔克卫</t>
  </si>
  <si>
    <t>8.720</t>
  </si>
  <si>
    <t>2027-09-16</t>
  </si>
  <si>
    <t>常银转债</t>
  </si>
  <si>
    <t>常熟银行</t>
  </si>
  <si>
    <t>60.000</t>
  </si>
  <si>
    <t>2028-09-15</t>
  </si>
  <si>
    <t>淮22转债</t>
  </si>
  <si>
    <t>淮北矿业</t>
  </si>
  <si>
    <t>2022-09-14</t>
  </si>
  <si>
    <t>2022-10-20</t>
  </si>
  <si>
    <t>2028-09-14</t>
  </si>
  <si>
    <t>嘉诚转债</t>
  </si>
  <si>
    <t>嘉诚国际</t>
  </si>
  <si>
    <t>2022-09-01</t>
  </si>
  <si>
    <t>2022-10-12</t>
  </si>
  <si>
    <t>2028-09-01</t>
  </si>
  <si>
    <t>科蓝转债</t>
  </si>
  <si>
    <t>科蓝软件</t>
  </si>
  <si>
    <t>4.950</t>
  </si>
  <si>
    <t>2022-08-30</t>
  </si>
  <si>
    <t>2021-06-28</t>
  </si>
  <si>
    <t>2022-09-20</t>
  </si>
  <si>
    <t>2028-08-30</t>
  </si>
  <si>
    <t>天箭转债</t>
  </si>
  <si>
    <t>中天火箭</t>
  </si>
  <si>
    <t>2028-08-22</t>
  </si>
  <si>
    <t>瑞科转债</t>
  </si>
  <si>
    <t>瑞华泰</t>
  </si>
  <si>
    <t>2022-03-22</t>
  </si>
  <si>
    <t>2022-07-18</t>
  </si>
  <si>
    <t>2028-08-18</t>
  </si>
  <si>
    <t>大中转债</t>
  </si>
  <si>
    <t>大中矿业</t>
  </si>
  <si>
    <t>15.200</t>
  </si>
  <si>
    <t>2022-08-17</t>
  </si>
  <si>
    <t>2028-08-17</t>
  </si>
  <si>
    <t>博汇转债</t>
  </si>
  <si>
    <t>博汇股份</t>
  </si>
  <si>
    <t>2022-08-16</t>
  </si>
  <si>
    <t>2022-05-27</t>
  </si>
  <si>
    <t>2028-08-16</t>
  </si>
  <si>
    <t>2025-08-14</t>
  </si>
  <si>
    <t>小熊转债</t>
  </si>
  <si>
    <t>小熊电器</t>
  </si>
  <si>
    <t>5.360</t>
  </si>
  <si>
    <t>2028-08-12</t>
  </si>
  <si>
    <t>中陆转债</t>
  </si>
  <si>
    <t>中环海陆</t>
  </si>
  <si>
    <t>2022-08-31</t>
  </si>
  <si>
    <t>顺博转债</t>
  </si>
  <si>
    <t>顺博合金</t>
  </si>
  <si>
    <t>嵘泰转债</t>
  </si>
  <si>
    <t>嵘泰股份</t>
  </si>
  <si>
    <t>6.510</t>
  </si>
  <si>
    <t>2028-08-11</t>
  </si>
  <si>
    <t>2023-05-04</t>
  </si>
  <si>
    <t>深科转债</t>
  </si>
  <si>
    <t>深科达</t>
  </si>
  <si>
    <t>2022-08-08</t>
  </si>
  <si>
    <t>2021-12-27</t>
  </si>
  <si>
    <t>2022-05-12</t>
  </si>
  <si>
    <t>2022-06-13</t>
  </si>
  <si>
    <t>2022-08-29</t>
  </si>
  <si>
    <t>2028-08-08</t>
  </si>
  <si>
    <t>火星转债</t>
  </si>
  <si>
    <t>火星人</t>
  </si>
  <si>
    <t>2022-01-26</t>
  </si>
  <si>
    <t>2022-04-08</t>
  </si>
  <si>
    <t>2028-08-05</t>
  </si>
  <si>
    <t>欧22转债</t>
  </si>
  <si>
    <t>欧派家居</t>
  </si>
  <si>
    <t>京源转债</t>
  </si>
  <si>
    <t>京源环保</t>
  </si>
  <si>
    <t>3.330</t>
  </si>
  <si>
    <t>2021-08-25</t>
  </si>
  <si>
    <t>2021-12-22</t>
  </si>
  <si>
    <t>永02转债</t>
  </si>
  <si>
    <t>永创智能</t>
  </si>
  <si>
    <t>6.110</t>
  </si>
  <si>
    <t>2022-08-04</t>
  </si>
  <si>
    <t>2028-08-04</t>
  </si>
  <si>
    <t>永22转债</t>
  </si>
  <si>
    <t>永冠新材</t>
  </si>
  <si>
    <t>2028-07-28</t>
  </si>
  <si>
    <t>伟22转债</t>
  </si>
  <si>
    <t>14.770</t>
  </si>
  <si>
    <t>2028-07-22</t>
  </si>
  <si>
    <t>恒逸转2</t>
  </si>
  <si>
    <t>恒逸石化</t>
  </si>
  <si>
    <t>2028-07-21</t>
  </si>
  <si>
    <t>芯海转债</t>
  </si>
  <si>
    <t>芯海科技</t>
  </si>
  <si>
    <t>2021-08-24</t>
  </si>
  <si>
    <t>2021-12-24</t>
  </si>
  <si>
    <t>英力转债</t>
  </si>
  <si>
    <t>英力股份</t>
  </si>
  <si>
    <t>2021-12-01</t>
  </si>
  <si>
    <t>2022-01-25</t>
  </si>
  <si>
    <t>2024-07-15</t>
  </si>
  <si>
    <t>润禾转债</t>
  </si>
  <si>
    <t>2.920</t>
  </si>
  <si>
    <t>2022-01-18</t>
  </si>
  <si>
    <t>2022-06-22</t>
  </si>
  <si>
    <t>松霖转债</t>
  </si>
  <si>
    <t>松霖科技</t>
  </si>
  <si>
    <t>2028-07-20</t>
  </si>
  <si>
    <t>高测转债</t>
  </si>
  <si>
    <t>高测股份</t>
  </si>
  <si>
    <t>4.830</t>
  </si>
  <si>
    <t>2021-10-28</t>
  </si>
  <si>
    <t>2028-07-18</t>
  </si>
  <si>
    <t>拓普转债</t>
  </si>
  <si>
    <t>拓普集团</t>
  </si>
  <si>
    <t>2022-07-14</t>
  </si>
  <si>
    <t>2028-07-14</t>
  </si>
  <si>
    <t>2025-03-10</t>
  </si>
  <si>
    <t>道通转债</t>
  </si>
  <si>
    <t>道通科技</t>
  </si>
  <si>
    <t>12.800</t>
  </si>
  <si>
    <t>2022-04-24</t>
  </si>
  <si>
    <t>2028-07-08</t>
  </si>
  <si>
    <t>科利转债</t>
  </si>
  <si>
    <t>科达利</t>
  </si>
  <si>
    <t>15.340</t>
  </si>
  <si>
    <t>微芯转债</t>
  </si>
  <si>
    <t>微芯生物</t>
  </si>
  <si>
    <t>2021-10-29</t>
  </si>
  <si>
    <t>2022-02-17</t>
  </si>
  <si>
    <t>2028-07-05</t>
  </si>
  <si>
    <t>银微转债</t>
  </si>
  <si>
    <t>银河微电</t>
  </si>
  <si>
    <t>2021-12-31</t>
  </si>
  <si>
    <t>2022-05-10</t>
  </si>
  <si>
    <t>2022-06-07</t>
  </si>
  <si>
    <t>2028-07-04</t>
  </si>
  <si>
    <t>康医转债</t>
  </si>
  <si>
    <t>康泰医学</t>
  </si>
  <si>
    <t>2022-07-01</t>
  </si>
  <si>
    <t>2021-10-25</t>
  </si>
  <si>
    <t>2022-01-21</t>
  </si>
  <si>
    <t>2022-05-19</t>
  </si>
  <si>
    <t>2028-07-01</t>
  </si>
  <si>
    <t>博22转债</t>
  </si>
  <si>
    <t>苏博特</t>
  </si>
  <si>
    <t>九强转债</t>
  </si>
  <si>
    <t>九强生物</t>
  </si>
  <si>
    <t>11.390</t>
  </si>
  <si>
    <t>2021-12-09</t>
  </si>
  <si>
    <t>2022-06-06</t>
  </si>
  <si>
    <t>2028-06-30</t>
  </si>
  <si>
    <t>洁特转债</t>
  </si>
  <si>
    <t>洁特生物</t>
  </si>
  <si>
    <t>2022-06-28</t>
  </si>
  <si>
    <t>2021-10-26</t>
  </si>
  <si>
    <t>2022-03-02</t>
  </si>
  <si>
    <t>2028-06-28</t>
  </si>
  <si>
    <t>丰山转债</t>
  </si>
  <si>
    <t>丰山集团</t>
  </si>
  <si>
    <t>2028-06-27</t>
  </si>
  <si>
    <t>华锐转债</t>
  </si>
  <si>
    <t>华锐精密</t>
  </si>
  <si>
    <t>2021-10-18</t>
  </si>
  <si>
    <t>2022-02-22</t>
  </si>
  <si>
    <t>2022-04-20</t>
  </si>
  <si>
    <t>2028-06-24</t>
  </si>
  <si>
    <t>海优转债</t>
  </si>
  <si>
    <t>海优新材</t>
  </si>
  <si>
    <t>6.940</t>
  </si>
  <si>
    <t>2022-06-23</t>
  </si>
  <si>
    <t>2022-03-23</t>
  </si>
  <si>
    <t>2028-06-23</t>
  </si>
  <si>
    <t>富春转债</t>
  </si>
  <si>
    <t>富春染织</t>
  </si>
  <si>
    <t>2022-07-25</t>
  </si>
  <si>
    <t>天业转债</t>
  </si>
  <si>
    <t>新疆天业</t>
  </si>
  <si>
    <t>2022-07-19</t>
  </si>
  <si>
    <t>瑞鹄转债</t>
  </si>
  <si>
    <t>2028-06-22</t>
  </si>
  <si>
    <t>2024-03-26</t>
  </si>
  <si>
    <t>通裕转债</t>
  </si>
  <si>
    <t>通裕重工</t>
  </si>
  <si>
    <t>14.850</t>
  </si>
  <si>
    <t>2022-06-20</t>
  </si>
  <si>
    <t>2022-03-10</t>
  </si>
  <si>
    <t>2028-06-20</t>
  </si>
  <si>
    <t>浙22转债</t>
  </si>
  <si>
    <t>浙商证券</t>
  </si>
  <si>
    <t>70.000</t>
  </si>
  <si>
    <t>2022-06-14</t>
  </si>
  <si>
    <t>2028-06-14</t>
  </si>
  <si>
    <t>上能转债</t>
  </si>
  <si>
    <t>上能电气</t>
  </si>
  <si>
    <t>2021-12-28</t>
  </si>
  <si>
    <t>中辰转债</t>
  </si>
  <si>
    <t>中辰股份</t>
  </si>
  <si>
    <t>5.710</t>
  </si>
  <si>
    <t>2022-05-31</t>
  </si>
  <si>
    <t>2021-09-15</t>
  </si>
  <si>
    <t>2022-04-18</t>
  </si>
  <si>
    <t>2022-06-21</t>
  </si>
  <si>
    <t>2028-05-31</t>
  </si>
  <si>
    <t>福莱转债</t>
  </si>
  <si>
    <t>福莱特</t>
  </si>
  <si>
    <t>2022-05-20</t>
  </si>
  <si>
    <t>2028-05-20</t>
  </si>
  <si>
    <t>杭氧转债</t>
  </si>
  <si>
    <t>11.370</t>
  </si>
  <si>
    <t>2028-05-19</t>
  </si>
  <si>
    <t>中环转2</t>
  </si>
  <si>
    <t>中环环保</t>
  </si>
  <si>
    <t>8.640</t>
  </si>
  <si>
    <t>2022-05-06</t>
  </si>
  <si>
    <t>2021-08-11</t>
  </si>
  <si>
    <t>2021-11-18</t>
  </si>
  <si>
    <t>2022-01-14</t>
  </si>
  <si>
    <t>2022-05-26</t>
  </si>
  <si>
    <t>2028-05-06</t>
  </si>
  <si>
    <t>巨星转债</t>
  </si>
  <si>
    <t>巨星农牧</t>
  </si>
  <si>
    <t>2028-04-25</t>
  </si>
  <si>
    <t>精工转债</t>
  </si>
  <si>
    <t>精工钢构</t>
  </si>
  <si>
    <t>2022-05-23</t>
  </si>
  <si>
    <t>2028-04-22</t>
  </si>
  <si>
    <t>禾丰转债</t>
  </si>
  <si>
    <t>禾丰股份</t>
  </si>
  <si>
    <t>2022-05-18</t>
  </si>
  <si>
    <t>贵轮转债</t>
  </si>
  <si>
    <t>贵州轮胎</t>
  </si>
  <si>
    <t>2022-05-30</t>
  </si>
  <si>
    <t>垒知转债</t>
  </si>
  <si>
    <t>垒知集团</t>
  </si>
  <si>
    <t>2028-04-21</t>
  </si>
  <si>
    <t>药石转债</t>
  </si>
  <si>
    <t>药石科技</t>
  </si>
  <si>
    <t>11.500</t>
  </si>
  <si>
    <t>2021-09-01</t>
  </si>
  <si>
    <t>2021-11-25</t>
  </si>
  <si>
    <t>2028-04-20</t>
  </si>
  <si>
    <t>美锦转债</t>
  </si>
  <si>
    <t>美锦能源</t>
  </si>
  <si>
    <t>35.900</t>
  </si>
  <si>
    <t>湘佳转债</t>
  </si>
  <si>
    <t>湘佳股份</t>
  </si>
  <si>
    <t>2022-04-19</t>
  </si>
  <si>
    <t>2022-06-10</t>
  </si>
  <si>
    <t>2028-04-19</t>
  </si>
  <si>
    <t>艾迪转债</t>
  </si>
  <si>
    <t>艾迪精密</t>
  </si>
  <si>
    <t>2028-04-15</t>
  </si>
  <si>
    <t>永吉转债</t>
  </si>
  <si>
    <t>永吉股份</t>
  </si>
  <si>
    <t>1.460</t>
  </si>
  <si>
    <t>2022-04-14</t>
  </si>
  <si>
    <t>2028-04-14</t>
  </si>
  <si>
    <t>裕兴转债</t>
  </si>
  <si>
    <t>裕兴股份</t>
  </si>
  <si>
    <t>2022-04-11</t>
  </si>
  <si>
    <t>2021-10-09</t>
  </si>
  <si>
    <t>2022-03-16</t>
  </si>
  <si>
    <t>2028-04-11</t>
  </si>
  <si>
    <t>永东转2</t>
  </si>
  <si>
    <t>永东股份</t>
  </si>
  <si>
    <t>2022-05-16</t>
  </si>
  <si>
    <t>2028-04-08</t>
  </si>
  <si>
    <t>胜蓝转债</t>
  </si>
  <si>
    <t>2028-03-31</t>
  </si>
  <si>
    <t>明新转债</t>
  </si>
  <si>
    <t>明新旭腾</t>
  </si>
  <si>
    <t>6.730</t>
  </si>
  <si>
    <t>2022-03-30</t>
  </si>
  <si>
    <t>2028-03-30</t>
  </si>
  <si>
    <t>友发转债</t>
  </si>
  <si>
    <t>友发集团</t>
  </si>
  <si>
    <t>风语转债</t>
  </si>
  <si>
    <t>风语筑</t>
  </si>
  <si>
    <t>2028-03-25</t>
  </si>
  <si>
    <t>中银转债</t>
  </si>
  <si>
    <t>中国银河</t>
  </si>
  <si>
    <t>78.000</t>
  </si>
  <si>
    <t>2022-03-24</t>
  </si>
  <si>
    <t>2028-03-24</t>
  </si>
  <si>
    <t>重银转债</t>
  </si>
  <si>
    <t>重庆银行</t>
  </si>
  <si>
    <t>130.000</t>
  </si>
  <si>
    <t>2028-03-23</t>
  </si>
  <si>
    <t>山石转债</t>
  </si>
  <si>
    <t>山石网科</t>
  </si>
  <si>
    <t>2.670</t>
  </si>
  <si>
    <t>2021-02-08</t>
  </si>
  <si>
    <t>2021-09-07</t>
  </si>
  <si>
    <t>2021-12-20</t>
  </si>
  <si>
    <t>2028-03-22</t>
  </si>
  <si>
    <t>申昊转债</t>
  </si>
  <si>
    <t>申昊科技</t>
  </si>
  <si>
    <t>2021-08-13</t>
  </si>
  <si>
    <t>2022-02-18</t>
  </si>
  <si>
    <t>2028-03-18</t>
  </si>
  <si>
    <t>科伦转债</t>
  </si>
  <si>
    <t>科伦药业</t>
  </si>
  <si>
    <t>阿拉转债</t>
  </si>
  <si>
    <t>阿拉丁</t>
  </si>
  <si>
    <t>3.870</t>
  </si>
  <si>
    <t>2022-03-15</t>
  </si>
  <si>
    <t>2021-08-20</t>
  </si>
  <si>
    <t>2021-12-21</t>
  </si>
  <si>
    <t>2022-01-11</t>
  </si>
  <si>
    <t>2022-04-12</t>
  </si>
  <si>
    <t>2028-03-15</t>
  </si>
  <si>
    <t>宏丰转债</t>
  </si>
  <si>
    <t>温州宏丰</t>
  </si>
  <si>
    <t>3.210</t>
  </si>
  <si>
    <t>2021-10-20</t>
  </si>
  <si>
    <t>天地转债</t>
  </si>
  <si>
    <t>天地数码</t>
  </si>
  <si>
    <t>1.720</t>
  </si>
  <si>
    <t>2021-08-23</t>
  </si>
  <si>
    <t>2021-11-05</t>
  </si>
  <si>
    <t>2021-12-30</t>
  </si>
  <si>
    <t>2028-03-14</t>
  </si>
  <si>
    <t>2023-10-31</t>
  </si>
  <si>
    <t>铂科转债</t>
  </si>
  <si>
    <t>铂科新材</t>
  </si>
  <si>
    <t>2021-08-09</t>
  </si>
  <si>
    <t>2021-12-17</t>
  </si>
  <si>
    <t>2028-03-11</t>
  </si>
  <si>
    <t>聚合转债</t>
  </si>
  <si>
    <t>2.040</t>
  </si>
  <si>
    <t>2022-03-07</t>
  </si>
  <si>
    <t>2028-03-07</t>
  </si>
  <si>
    <t>盘龙转债</t>
  </si>
  <si>
    <t>盘龙药业</t>
  </si>
  <si>
    <t>2.760</t>
  </si>
  <si>
    <t>2022-03-03</t>
  </si>
  <si>
    <t>2028-03-03</t>
  </si>
  <si>
    <t>成银转债</t>
  </si>
  <si>
    <t>成都银行</t>
  </si>
  <si>
    <t>2022-04-06</t>
  </si>
  <si>
    <t>丝路转债</t>
  </si>
  <si>
    <t>丝路视觉</t>
  </si>
  <si>
    <t>2.400</t>
  </si>
  <si>
    <t>2021-04-07</t>
  </si>
  <si>
    <t>2021-08-12</t>
  </si>
  <si>
    <t>2021-12-10</t>
  </si>
  <si>
    <t>2028-03-02</t>
  </si>
  <si>
    <t>上22转债</t>
  </si>
  <si>
    <t>弘元绿能</t>
  </si>
  <si>
    <t>24.700</t>
  </si>
  <si>
    <t>2022-03-01</t>
  </si>
  <si>
    <t>2028-03-01</t>
  </si>
  <si>
    <t>中特转债</t>
  </si>
  <si>
    <t>中信特钢</t>
  </si>
  <si>
    <t>2022-02-25</t>
  </si>
  <si>
    <t>2028-02-25</t>
  </si>
  <si>
    <t>绿动转债</t>
  </si>
  <si>
    <t>绿色动力</t>
  </si>
  <si>
    <t>23.600</t>
  </si>
  <si>
    <t>通22转债</t>
  </si>
  <si>
    <t>通威股份</t>
  </si>
  <si>
    <t>120.000</t>
  </si>
  <si>
    <t>2022-02-24</t>
  </si>
  <si>
    <t>2028-02-24</t>
  </si>
  <si>
    <t>华友转债</t>
  </si>
  <si>
    <t>华友钴业</t>
  </si>
  <si>
    <t>76.000</t>
  </si>
  <si>
    <t>精装转债</t>
  </si>
  <si>
    <t>中天精装</t>
  </si>
  <si>
    <t>2028-02-22</t>
  </si>
  <si>
    <t>苏利转债</t>
  </si>
  <si>
    <t>苏利股份</t>
  </si>
  <si>
    <t>9.570</t>
  </si>
  <si>
    <t>2022-02-16</t>
  </si>
  <si>
    <t>2028-02-16</t>
  </si>
  <si>
    <t>双箭转债</t>
  </si>
  <si>
    <t>双箭股份</t>
  </si>
  <si>
    <t>5.140</t>
  </si>
  <si>
    <t>2022-02-11</t>
  </si>
  <si>
    <t>2028-02-11</t>
  </si>
  <si>
    <t>锦浪转债</t>
  </si>
  <si>
    <t>8.970</t>
  </si>
  <si>
    <t>2022-02-10</t>
  </si>
  <si>
    <t>2028-02-10</t>
  </si>
  <si>
    <t>天奈转债</t>
  </si>
  <si>
    <t>天奈科技</t>
  </si>
  <si>
    <t>2022-01-27</t>
  </si>
  <si>
    <t>2021-06-17</t>
  </si>
  <si>
    <t>2028-01-27</t>
  </si>
  <si>
    <t>豪美转债</t>
  </si>
  <si>
    <t>豪美新材</t>
  </si>
  <si>
    <t>8.240</t>
  </si>
  <si>
    <t>2022-01-24</t>
  </si>
  <si>
    <t>2028-01-24</t>
  </si>
  <si>
    <t>华正转债</t>
  </si>
  <si>
    <t>华正新材</t>
  </si>
  <si>
    <t>城市转债</t>
  </si>
  <si>
    <t>新城市</t>
  </si>
  <si>
    <t>2020-10-22</t>
  </si>
  <si>
    <t>2021-01-26</t>
  </si>
  <si>
    <t>2021-04-15</t>
  </si>
  <si>
    <t>2022-02-15</t>
  </si>
  <si>
    <t>2028-01-21</t>
  </si>
  <si>
    <t>隆22转债</t>
  </si>
  <si>
    <t>隆基绿能</t>
  </si>
  <si>
    <t>2022-01-05</t>
  </si>
  <si>
    <t>2028-01-05</t>
  </si>
  <si>
    <t>博瑞转债</t>
  </si>
  <si>
    <t>博瑞医药</t>
  </si>
  <si>
    <t>4.650</t>
  </si>
  <si>
    <t>2022-01-04</t>
  </si>
  <si>
    <t>2021-07-05</t>
  </si>
  <si>
    <t>2021-10-12</t>
  </si>
  <si>
    <t>2021-11-09</t>
  </si>
  <si>
    <t>2028-01-04</t>
  </si>
  <si>
    <t>台21转债</t>
  </si>
  <si>
    <t>台华新材</t>
  </si>
  <si>
    <t>2027-12-29</t>
  </si>
  <si>
    <t>泰林转债</t>
  </si>
  <si>
    <t>泰林生物</t>
  </si>
  <si>
    <t>2021-02-02</t>
  </si>
  <si>
    <t>2021-05-27</t>
  </si>
  <si>
    <t>2021-07-02</t>
  </si>
  <si>
    <t>2022-01-19</t>
  </si>
  <si>
    <t>2027-12-28</t>
  </si>
  <si>
    <t>贵燃转债</t>
  </si>
  <si>
    <t>贵州燃气</t>
  </si>
  <si>
    <t>2027-12-27</t>
  </si>
  <si>
    <t>卡倍转债</t>
  </si>
  <si>
    <t>2.790</t>
  </si>
  <si>
    <t>兴业转债</t>
  </si>
  <si>
    <t>兴业银行</t>
  </si>
  <si>
    <t>500.000</t>
  </si>
  <si>
    <t>西子转债</t>
  </si>
  <si>
    <t>西子洁能</t>
  </si>
  <si>
    <t>11.100</t>
  </si>
  <si>
    <t>2027-12-24</t>
  </si>
  <si>
    <t>华翔转债</t>
  </si>
  <si>
    <t>2022-01-20</t>
  </si>
  <si>
    <t>2027-12-22</t>
  </si>
  <si>
    <t>2025-06-06</t>
  </si>
  <si>
    <t>佩蒂转债</t>
  </si>
  <si>
    <t>佩蒂股份</t>
  </si>
  <si>
    <t>7.200</t>
  </si>
  <si>
    <t>2021-08-05</t>
  </si>
  <si>
    <t>2021-10-22</t>
  </si>
  <si>
    <t>回盛转债</t>
  </si>
  <si>
    <t>回盛生物</t>
  </si>
  <si>
    <t>2021-06-16</t>
  </si>
  <si>
    <t>2021-08-19</t>
  </si>
  <si>
    <t>2021-11-23</t>
  </si>
  <si>
    <t>2022-01-07</t>
  </si>
  <si>
    <t>2027-12-17</t>
  </si>
  <si>
    <t>甬金转债</t>
  </si>
  <si>
    <t>甬金股份</t>
  </si>
  <si>
    <t>2021-12-13</t>
  </si>
  <si>
    <t>2027-12-13</t>
  </si>
  <si>
    <t>升21转债</t>
  </si>
  <si>
    <t>13.500</t>
  </si>
  <si>
    <t>2027-12-10</t>
  </si>
  <si>
    <t>特纸转债</t>
  </si>
  <si>
    <t>五洲特纸</t>
  </si>
  <si>
    <t>2021-12-08</t>
  </si>
  <si>
    <t>2027-12-08</t>
  </si>
  <si>
    <t>珀莱转债</t>
  </si>
  <si>
    <t>珀莱雅</t>
  </si>
  <si>
    <t>7.520</t>
  </si>
  <si>
    <t>奥飞转债</t>
  </si>
  <si>
    <t>奥飞数据</t>
  </si>
  <si>
    <t>6.350</t>
  </si>
  <si>
    <t>2021-12-03</t>
  </si>
  <si>
    <t>2021-07-08</t>
  </si>
  <si>
    <t>2027-12-03</t>
  </si>
  <si>
    <t>科沃转债</t>
  </si>
  <si>
    <t>科沃斯</t>
  </si>
  <si>
    <t>10.400</t>
  </si>
  <si>
    <t>2021-11-30</t>
  </si>
  <si>
    <t>2027-11-30</t>
  </si>
  <si>
    <t>华兴转债</t>
  </si>
  <si>
    <t>华兴源创</t>
  </si>
  <si>
    <t>2021-11-29</t>
  </si>
  <si>
    <t>2021-07-27</t>
  </si>
  <si>
    <t>2027-11-29</t>
  </si>
  <si>
    <t>鹤21转债</t>
  </si>
  <si>
    <t>仙鹤股份</t>
  </si>
  <si>
    <t>20.500</t>
  </si>
  <si>
    <t>2021-11-17</t>
  </si>
  <si>
    <t>2027-11-17</t>
  </si>
  <si>
    <t>博杰转债</t>
  </si>
  <si>
    <t>博杰股份</t>
  </si>
  <si>
    <t>5.260</t>
  </si>
  <si>
    <t>设研转债</t>
  </si>
  <si>
    <t>设研院</t>
  </si>
  <si>
    <t>3.760</t>
  </si>
  <si>
    <t>2021-11-11</t>
  </si>
  <si>
    <t>2021-04-21</t>
  </si>
  <si>
    <t>2021-07-28</t>
  </si>
  <si>
    <t>2027-11-11</t>
  </si>
  <si>
    <t>苏租转债</t>
  </si>
  <si>
    <t>江苏金租</t>
  </si>
  <si>
    <t>2024-10-14</t>
  </si>
  <si>
    <t>麒麟转债</t>
  </si>
  <si>
    <t>森麒麟</t>
  </si>
  <si>
    <t>21.990</t>
  </si>
  <si>
    <t>2021-12-06</t>
  </si>
  <si>
    <t>山玻转债</t>
  </si>
  <si>
    <t>山东玻纤</t>
  </si>
  <si>
    <t>2021-11-08</t>
  </si>
  <si>
    <t>2027-11-08</t>
  </si>
  <si>
    <t>皖天转债</t>
  </si>
  <si>
    <t>皖天然气</t>
  </si>
  <si>
    <t>9.300</t>
  </si>
  <si>
    <t>锦鸡转债</t>
  </si>
  <si>
    <t>锦鸡股份</t>
  </si>
  <si>
    <t>2021-11-04</t>
  </si>
  <si>
    <t>2021-05-31</t>
  </si>
  <si>
    <t>2021-08-18</t>
  </si>
  <si>
    <t>2021-11-24</t>
  </si>
  <si>
    <t>2027-11-04</t>
  </si>
  <si>
    <t>希望转2</t>
  </si>
  <si>
    <t>新希望</t>
  </si>
  <si>
    <t>81.500</t>
  </si>
  <si>
    <t>2021-11-02</t>
  </si>
  <si>
    <t>2027-11-02</t>
  </si>
  <si>
    <t>首华转债</t>
  </si>
  <si>
    <t>首华燃气</t>
  </si>
  <si>
    <t>13.790</t>
  </si>
  <si>
    <t>2021-11-01</t>
  </si>
  <si>
    <t>2021-04-14</t>
  </si>
  <si>
    <t>2027-11-01</t>
  </si>
  <si>
    <t>耐普转债</t>
  </si>
  <si>
    <t>2021-06-07</t>
  </si>
  <si>
    <t>2021-07-22</t>
  </si>
  <si>
    <t>2021-11-19</t>
  </si>
  <si>
    <t>2027-10-29</t>
  </si>
  <si>
    <t>2025-02-26</t>
  </si>
  <si>
    <t>宏发转债</t>
  </si>
  <si>
    <t>宏发股份</t>
  </si>
  <si>
    <t>2027-10-28</t>
  </si>
  <si>
    <t>赛伍转债</t>
  </si>
  <si>
    <t>赛伍技术</t>
  </si>
  <si>
    <t>2021-10-27</t>
  </si>
  <si>
    <t>2027-10-27</t>
  </si>
  <si>
    <t>中大转债</t>
  </si>
  <si>
    <t>中大力德</t>
  </si>
  <si>
    <t>2027-10-26</t>
  </si>
  <si>
    <t>帝欧转债</t>
  </si>
  <si>
    <t>帝欧水华</t>
  </si>
  <si>
    <t>2021-11-26</t>
  </si>
  <si>
    <t>2027-10-25</t>
  </si>
  <si>
    <t>百润转债</t>
  </si>
  <si>
    <t>百润股份</t>
  </si>
  <si>
    <t>11.280</t>
  </si>
  <si>
    <t>2021-09-29</t>
  </si>
  <si>
    <t>2021-11-03</t>
  </si>
  <si>
    <t>2027-09-29</t>
  </si>
  <si>
    <t>泉峰转债</t>
  </si>
  <si>
    <t>泉峰汽车</t>
  </si>
  <si>
    <t>2021-09-14</t>
  </si>
  <si>
    <t>2021-10-21</t>
  </si>
  <si>
    <t>2027-09-14</t>
  </si>
  <si>
    <t>瑞丰转债</t>
  </si>
  <si>
    <t>瑞丰高材</t>
  </si>
  <si>
    <t>2021-09-10</t>
  </si>
  <si>
    <t>2020-10-19</t>
  </si>
  <si>
    <t>2021-01-21</t>
  </si>
  <si>
    <t>2021-03-10</t>
  </si>
  <si>
    <t>2027-09-10</t>
  </si>
  <si>
    <t>元力转债</t>
  </si>
  <si>
    <t>元力股份</t>
  </si>
  <si>
    <t>2021-09-06</t>
  </si>
  <si>
    <t>2021-05-25</t>
  </si>
  <si>
    <t>2021-07-16</t>
  </si>
  <si>
    <t>2021-09-30</t>
  </si>
  <si>
    <t>2027-09-06</t>
  </si>
  <si>
    <t>晨丰转债</t>
  </si>
  <si>
    <t>晨丰科技</t>
  </si>
  <si>
    <t>4.150</t>
  </si>
  <si>
    <t>2021-09-17</t>
  </si>
  <si>
    <t>2027-08-23</t>
  </si>
  <si>
    <t>牧原转债</t>
  </si>
  <si>
    <t>牧原股份</t>
  </si>
  <si>
    <t>95.500</t>
  </si>
  <si>
    <t>2021-08-16</t>
  </si>
  <si>
    <t>2027-08-16</t>
  </si>
  <si>
    <t>晶瑞转2</t>
  </si>
  <si>
    <t>晶瑞电材</t>
  </si>
  <si>
    <t>5.230</t>
  </si>
  <si>
    <t>2021-02-24</t>
  </si>
  <si>
    <t>2021-07-30</t>
  </si>
  <si>
    <t>蒙娜转债</t>
  </si>
  <si>
    <t>蒙娜丽莎</t>
  </si>
  <si>
    <t>11.690</t>
  </si>
  <si>
    <t>2021-09-16</t>
  </si>
  <si>
    <t>天合转债</t>
  </si>
  <si>
    <t>52.520</t>
  </si>
  <si>
    <t>2027-08-12</t>
  </si>
  <si>
    <t>川恒转债</t>
  </si>
  <si>
    <t>川恒股份</t>
  </si>
  <si>
    <t>2021-09-23</t>
  </si>
  <si>
    <t>江丰转债</t>
  </si>
  <si>
    <t>江丰电子</t>
  </si>
  <si>
    <t>2021-01-27</t>
  </si>
  <si>
    <t>2021-04-09</t>
  </si>
  <si>
    <t>2021-07-14</t>
  </si>
  <si>
    <t>2027-08-11</t>
  </si>
  <si>
    <t>嘉美转债</t>
  </si>
  <si>
    <t>嘉美包装</t>
  </si>
  <si>
    <t>2021-09-08</t>
  </si>
  <si>
    <t>2027-08-09</t>
  </si>
  <si>
    <t>富瀚转债</t>
  </si>
  <si>
    <t>富瀚微</t>
  </si>
  <si>
    <t>5.810</t>
  </si>
  <si>
    <t>2021-01-04</t>
  </si>
  <si>
    <t>2021-04-29</t>
  </si>
  <si>
    <t>2027-08-06</t>
  </si>
  <si>
    <t>帝尔转债</t>
  </si>
  <si>
    <t>帝尔激光</t>
  </si>
  <si>
    <t>8.400</t>
  </si>
  <si>
    <t>2021-02-19</t>
  </si>
  <si>
    <t>2021-06-03</t>
  </si>
  <si>
    <t>2021-07-19</t>
  </si>
  <si>
    <t>2021-08-27</t>
  </si>
  <si>
    <t>2027-08-05</t>
  </si>
  <si>
    <t>隆华转债</t>
  </si>
  <si>
    <t>隆华科技</t>
  </si>
  <si>
    <t>7.990</t>
  </si>
  <si>
    <t>2020-12-07</t>
  </si>
  <si>
    <t>2021-03-04</t>
  </si>
  <si>
    <t>2021-05-10</t>
  </si>
  <si>
    <t>2027-07-30</t>
  </si>
  <si>
    <t>闻泰转债</t>
  </si>
  <si>
    <t>闻泰科技</t>
  </si>
  <si>
    <t>86.000</t>
  </si>
  <si>
    <t>2027-07-28</t>
  </si>
  <si>
    <t>金博转债</t>
  </si>
  <si>
    <t>金博股份</t>
  </si>
  <si>
    <t>2021-07-23</t>
  </si>
  <si>
    <t>2021-01-05</t>
  </si>
  <si>
    <t>2021-04-28</t>
  </si>
  <si>
    <t>2021-06-09</t>
  </si>
  <si>
    <t>2027-07-22</t>
  </si>
  <si>
    <t>康泰转2</t>
  </si>
  <si>
    <t>康泰生物</t>
  </si>
  <si>
    <t>2021-07-15</t>
  </si>
  <si>
    <t>2021-03-24</t>
  </si>
  <si>
    <t>2027-07-15</t>
  </si>
  <si>
    <t>太平转债</t>
  </si>
  <si>
    <t>太平鸟</t>
  </si>
  <si>
    <t>弘亚转债</t>
  </si>
  <si>
    <t>弘亚数控</t>
  </si>
  <si>
    <t>2021-07-12</t>
  </si>
  <si>
    <t>2021-08-10</t>
  </si>
  <si>
    <t>2026-07-12</t>
  </si>
  <si>
    <t>惠城转债</t>
  </si>
  <si>
    <t>惠城环保</t>
  </si>
  <si>
    <t>2021-07-07</t>
  </si>
  <si>
    <t>2020-11-23</t>
  </si>
  <si>
    <t>2021-07-26</t>
  </si>
  <si>
    <t>2027-07-07</t>
  </si>
  <si>
    <t>国泰转债</t>
  </si>
  <si>
    <t>江苏国泰</t>
  </si>
  <si>
    <t>45.570</t>
  </si>
  <si>
    <t>伯特转债</t>
  </si>
  <si>
    <t>9.020</t>
  </si>
  <si>
    <t>2021-06-29</t>
  </si>
  <si>
    <t>2021-07-21</t>
  </si>
  <si>
    <t>2027-06-29</t>
  </si>
  <si>
    <t>北港转债</t>
  </si>
  <si>
    <t>北部湾港</t>
  </si>
  <si>
    <t>健帆转债</t>
  </si>
  <si>
    <t>健帆生物</t>
  </si>
  <si>
    <t>2021-06-23</t>
  </si>
  <si>
    <t>2020-08-24</t>
  </si>
  <si>
    <t>2020-11-24</t>
  </si>
  <si>
    <t>2020-12-28</t>
  </si>
  <si>
    <t>2027-06-23</t>
  </si>
  <si>
    <t>节能转债</t>
  </si>
  <si>
    <t>节能风电</t>
  </si>
  <si>
    <t>2021-06-21</t>
  </si>
  <si>
    <t>2027-06-21</t>
  </si>
  <si>
    <t>南银转债</t>
  </si>
  <si>
    <t>南京银行</t>
  </si>
  <si>
    <t>200.000</t>
  </si>
  <si>
    <t>2021-06-15</t>
  </si>
  <si>
    <t>2021-07-01</t>
  </si>
  <si>
    <t>2027-06-15</t>
  </si>
  <si>
    <t>江山转债</t>
  </si>
  <si>
    <t>江山欧派</t>
  </si>
  <si>
    <t>2021-06-11</t>
  </si>
  <si>
    <t>2027-06-11</t>
  </si>
  <si>
    <t>国微转债</t>
  </si>
  <si>
    <t>紫光国微</t>
  </si>
  <si>
    <t>2021-06-10</t>
  </si>
  <si>
    <t>2027-06-10</t>
  </si>
  <si>
    <t>长汽转债</t>
  </si>
  <si>
    <t>长城汽车</t>
  </si>
  <si>
    <t>万兴转债</t>
  </si>
  <si>
    <t>万兴科技</t>
  </si>
  <si>
    <t>3.790</t>
  </si>
  <si>
    <t>2020-09-24</t>
  </si>
  <si>
    <t>2020-12-23</t>
  </si>
  <si>
    <t>2021-01-29</t>
  </si>
  <si>
    <t>2027-06-08</t>
  </si>
  <si>
    <t>捷捷转债</t>
  </si>
  <si>
    <t>捷捷微电</t>
  </si>
  <si>
    <t>2021-06-08</t>
  </si>
  <si>
    <t>2020-12-01</t>
  </si>
  <si>
    <t>2021-02-23</t>
  </si>
  <si>
    <t>2021-05-21</t>
  </si>
  <si>
    <t>银轮转债</t>
  </si>
  <si>
    <t>银轮股份</t>
  </si>
  <si>
    <t>2021-07-09</t>
  </si>
  <si>
    <t>2027-06-07</t>
  </si>
  <si>
    <t>三花转债</t>
  </si>
  <si>
    <t>三花智控</t>
  </si>
  <si>
    <t>2021-06-01</t>
  </si>
  <si>
    <t>2021-06-30</t>
  </si>
  <si>
    <t>2027-06-01</t>
  </si>
  <si>
    <t>濮耐转债</t>
  </si>
  <si>
    <t>濮耐股份</t>
  </si>
  <si>
    <t>6.260</t>
  </si>
  <si>
    <t>2021-05-26</t>
  </si>
  <si>
    <t>2021-06-18</t>
  </si>
  <si>
    <t>2026-05-26</t>
  </si>
  <si>
    <t>三角转债</t>
  </si>
  <si>
    <t>三角防务</t>
  </si>
  <si>
    <t>9.040</t>
  </si>
  <si>
    <t>2020-07-27</t>
  </si>
  <si>
    <t>2020-10-28</t>
  </si>
  <si>
    <t>2021-04-20</t>
  </si>
  <si>
    <t>2027-05-25</t>
  </si>
  <si>
    <t>起帆转债</t>
  </si>
  <si>
    <t>起帆电缆</t>
  </si>
  <si>
    <t>2021-05-24</t>
  </si>
  <si>
    <t>2027-05-24</t>
  </si>
  <si>
    <t>绿茵转债</t>
  </si>
  <si>
    <t>绿茵生态</t>
  </si>
  <si>
    <t>7.120</t>
  </si>
  <si>
    <t>2021-04-30</t>
  </si>
  <si>
    <t>2021-05-28</t>
  </si>
  <si>
    <t>2027-04-30</t>
  </si>
  <si>
    <t>正川转债</t>
  </si>
  <si>
    <t>正川股份</t>
  </si>
  <si>
    <t>4.050</t>
  </si>
  <si>
    <t>2027-04-28</t>
  </si>
  <si>
    <t>晶科转债</t>
  </si>
  <si>
    <t>晶科科技</t>
  </si>
  <si>
    <t>2021-04-23</t>
  </si>
  <si>
    <t>2027-04-23</t>
  </si>
  <si>
    <t>仙乐转债</t>
  </si>
  <si>
    <t>仙乐健康</t>
  </si>
  <si>
    <t>10.250</t>
  </si>
  <si>
    <t>2021-04-19</t>
  </si>
  <si>
    <t>2021-03-26</t>
  </si>
  <si>
    <t>2021-05-14</t>
  </si>
  <si>
    <t>2027-04-19</t>
  </si>
  <si>
    <t>中装转2</t>
  </si>
  <si>
    <t>*ST中装</t>
  </si>
  <si>
    <t>2021-04-16</t>
  </si>
  <si>
    <t>2027-04-16</t>
  </si>
  <si>
    <t>终止上市</t>
  </si>
  <si>
    <t>东湖转债</t>
  </si>
  <si>
    <t>东湖高新</t>
  </si>
  <si>
    <t>2021-04-12</t>
  </si>
  <si>
    <t>2021-05-12</t>
  </si>
  <si>
    <t>2027-04-12</t>
  </si>
  <si>
    <t>2023-11-30</t>
  </si>
  <si>
    <t>苏行转债</t>
  </si>
  <si>
    <t>苏州银行</t>
  </si>
  <si>
    <t>2025-03-03</t>
  </si>
  <si>
    <t>旗滨转债</t>
  </si>
  <si>
    <t>旗滨集团</t>
  </si>
  <si>
    <t>2021-05-07</t>
  </si>
  <si>
    <t>2027-04-09</t>
  </si>
  <si>
    <t>万讯转债</t>
  </si>
  <si>
    <t>万讯自控</t>
  </si>
  <si>
    <t>2.460</t>
  </si>
  <si>
    <t>2021-04-08</t>
  </si>
  <si>
    <t>2020-10-13</t>
  </si>
  <si>
    <t>2021-01-20</t>
  </si>
  <si>
    <t>2027-04-08</t>
  </si>
  <si>
    <t>凤21转债</t>
  </si>
  <si>
    <t>新凤鸣</t>
  </si>
  <si>
    <t>东财转3</t>
  </si>
  <si>
    <t>东方财富</t>
  </si>
  <si>
    <t>158.000</t>
  </si>
  <si>
    <t>2020-11-17</t>
  </si>
  <si>
    <t>2021-01-28</t>
  </si>
  <si>
    <t>2027-04-06</t>
  </si>
  <si>
    <t>2022-02-28</t>
  </si>
  <si>
    <t>昌红转债</t>
  </si>
  <si>
    <t>昌红科技</t>
  </si>
  <si>
    <t>2021-04-01</t>
  </si>
  <si>
    <t>2020-10-23</t>
  </si>
  <si>
    <t>2021-01-14</t>
  </si>
  <si>
    <t>2027-04-01</t>
  </si>
  <si>
    <t>九典转债</t>
  </si>
  <si>
    <t>2027-03-31</t>
  </si>
  <si>
    <t>乐普转2</t>
  </si>
  <si>
    <t>乐普医疗</t>
  </si>
  <si>
    <t>16.380</t>
  </si>
  <si>
    <t>2021-03-30</t>
  </si>
  <si>
    <t>2020-10-14</t>
  </si>
  <si>
    <t>2021-02-04</t>
  </si>
  <si>
    <t>2021-03-12</t>
  </si>
  <si>
    <t>2026-03-30</t>
  </si>
  <si>
    <t>杭银转债</t>
  </si>
  <si>
    <t>杭州银行</t>
  </si>
  <si>
    <t>150.000</t>
  </si>
  <si>
    <t>2021-03-29</t>
  </si>
  <si>
    <t>2027-03-29</t>
  </si>
  <si>
    <t>温氏转债</t>
  </si>
  <si>
    <t>温氏股份</t>
  </si>
  <si>
    <t>92.970</t>
  </si>
  <si>
    <t>2020-09-16</t>
  </si>
  <si>
    <t>2020-12-25</t>
  </si>
  <si>
    <t>2021-02-09</t>
  </si>
  <si>
    <t>洋丰转债</t>
  </si>
  <si>
    <t>新洋丰</t>
  </si>
  <si>
    <t>2021-03-25</t>
  </si>
  <si>
    <t>2027-03-25</t>
  </si>
  <si>
    <t>杭叉转债</t>
  </si>
  <si>
    <t>杭叉集团</t>
  </si>
  <si>
    <t>2027-03-24</t>
  </si>
  <si>
    <t>正丹转债</t>
  </si>
  <si>
    <t>正丹股份</t>
  </si>
  <si>
    <t>2020-07-01</t>
  </si>
  <si>
    <t>2020-10-16</t>
  </si>
  <si>
    <t>2024-06-03</t>
  </si>
  <si>
    <t>金田转债</t>
  </si>
  <si>
    <t>2021-03-22</t>
  </si>
  <si>
    <t>2027-03-22</t>
  </si>
  <si>
    <t>日丰转债</t>
  </si>
  <si>
    <t>日丰股份</t>
  </si>
  <si>
    <t>2027-03-21</t>
  </si>
  <si>
    <t>盛虹转债</t>
  </si>
  <si>
    <t>东方盛虹</t>
  </si>
  <si>
    <t>拓尔转债</t>
  </si>
  <si>
    <t>拓尔思</t>
  </si>
  <si>
    <t>2021-03-19</t>
  </si>
  <si>
    <t>2020-09-22</t>
  </si>
  <si>
    <t>2021-01-25</t>
  </si>
  <si>
    <t>2021-04-27</t>
  </si>
  <si>
    <t>2027-03-19</t>
  </si>
  <si>
    <t>中钢转债</t>
  </si>
  <si>
    <t>中钢国际</t>
  </si>
  <si>
    <t>卫宁转债</t>
  </si>
  <si>
    <t>卫宁健康</t>
  </si>
  <si>
    <t>9.700</t>
  </si>
  <si>
    <t>2021-03-16</t>
  </si>
  <si>
    <t>2020-07-02</t>
  </si>
  <si>
    <t>2020-12-29</t>
  </si>
  <si>
    <t>2021-02-05</t>
  </si>
  <si>
    <t>2021-03-31</t>
  </si>
  <si>
    <t>2027-03-16</t>
  </si>
  <si>
    <t>震安转债</t>
  </si>
  <si>
    <t>震安科技</t>
  </si>
  <si>
    <t>2020-09-02</t>
  </si>
  <si>
    <t>2020-12-17</t>
  </si>
  <si>
    <t>2027-03-12</t>
  </si>
  <si>
    <t>华自转债</t>
  </si>
  <si>
    <t>华自科技</t>
  </si>
  <si>
    <t>2020-07-06</t>
  </si>
  <si>
    <t>2020-08-12</t>
  </si>
  <si>
    <t>2020-10-24</t>
  </si>
  <si>
    <t>2027-03-11</t>
  </si>
  <si>
    <t>傲农转债</t>
  </si>
  <si>
    <t>傲农生物</t>
  </si>
  <si>
    <t>2021-04-02</t>
  </si>
  <si>
    <t>2027-03-09</t>
  </si>
  <si>
    <t>拓斯转债</t>
  </si>
  <si>
    <t>拓斯达</t>
  </si>
  <si>
    <t>2020-10-12</t>
  </si>
  <si>
    <t>2020-12-30</t>
  </si>
  <si>
    <t>2027-03-10</t>
  </si>
  <si>
    <t>环旭转债</t>
  </si>
  <si>
    <t>环旭电子</t>
  </si>
  <si>
    <t>34.500</t>
  </si>
  <si>
    <t>2027-03-04</t>
  </si>
  <si>
    <t>利民转债</t>
  </si>
  <si>
    <t>利民股份</t>
  </si>
  <si>
    <t>2021-03-01</t>
  </si>
  <si>
    <t>2027-03-01</t>
  </si>
  <si>
    <t>嘉元转债</t>
  </si>
  <si>
    <t>嘉元科技</t>
  </si>
  <si>
    <t>12.400</t>
  </si>
  <si>
    <t>2020-09-28</t>
  </si>
  <si>
    <t>2020-12-15</t>
  </si>
  <si>
    <t>2021-03-15</t>
  </si>
  <si>
    <t>2027-02-23</t>
  </si>
  <si>
    <t>朗科转债</t>
  </si>
  <si>
    <t>朗科智能</t>
  </si>
  <si>
    <t>2020-07-23</t>
  </si>
  <si>
    <t>2020-10-15</t>
  </si>
  <si>
    <t>2020-12-08</t>
  </si>
  <si>
    <t>2027-02-09</t>
  </si>
  <si>
    <t>Z普转退</t>
  </si>
  <si>
    <t>普利退</t>
  </si>
  <si>
    <t>2020-09-10</t>
  </si>
  <si>
    <t>2020-11-25</t>
  </si>
  <si>
    <t>2021-03-08</t>
  </si>
  <si>
    <t>2025-05-21</t>
  </si>
  <si>
    <t>一品转债</t>
  </si>
  <si>
    <t>一品红</t>
  </si>
  <si>
    <t>2020-08-17</t>
  </si>
  <si>
    <t>2027-01-28</t>
  </si>
  <si>
    <t>美力转债</t>
  </si>
  <si>
    <t>2020-10-20</t>
  </si>
  <si>
    <t>2027-01-26</t>
  </si>
  <si>
    <t>彤程转债</t>
  </si>
  <si>
    <t>彤程新材</t>
  </si>
  <si>
    <t>2021-02-22</t>
  </si>
  <si>
    <t>思创转债</t>
  </si>
  <si>
    <t>思创医惠</t>
  </si>
  <si>
    <t>2020-12-16</t>
  </si>
  <si>
    <t>上银转债</t>
  </si>
  <si>
    <t>上海银行</t>
  </si>
  <si>
    <t>2021-02-10</t>
  </si>
  <si>
    <t>2027-01-25</t>
  </si>
  <si>
    <t>日升转债</t>
  </si>
  <si>
    <t>东方日升</t>
  </si>
  <si>
    <t>-</t>
  </si>
  <si>
    <t>2021-01-22</t>
  </si>
  <si>
    <t>2020-07-31</t>
  </si>
  <si>
    <t>1900-1-0</t>
  </si>
  <si>
    <t>世运转债</t>
  </si>
  <si>
    <t>世运电路</t>
  </si>
  <si>
    <t>2027-01-20</t>
  </si>
  <si>
    <t>星源转2</t>
  </si>
  <si>
    <t>星源材质</t>
  </si>
  <si>
    <t>2027-01-19</t>
  </si>
  <si>
    <t>金陵转债</t>
  </si>
  <si>
    <t>金陵体育</t>
  </si>
  <si>
    <t>2021-01-19</t>
  </si>
  <si>
    <t>2020-07-21</t>
  </si>
  <si>
    <t>2020-11-12</t>
  </si>
  <si>
    <t>2021-02-18</t>
  </si>
  <si>
    <t>美诺转债</t>
  </si>
  <si>
    <t>美诺华</t>
  </si>
  <si>
    <t>2027-01-14</t>
  </si>
  <si>
    <t>锋龙转债</t>
  </si>
  <si>
    <t>锋龙股份</t>
  </si>
  <si>
    <t>2.450</t>
  </si>
  <si>
    <t>2021-01-08</t>
  </si>
  <si>
    <t>2027-01-08</t>
  </si>
  <si>
    <t>2025-02-27</t>
  </si>
  <si>
    <t>英特转债</t>
  </si>
  <si>
    <t>英特集团</t>
  </si>
  <si>
    <t>2027-01-05</t>
  </si>
  <si>
    <t>韦尔转债</t>
  </si>
  <si>
    <t>豪威集团</t>
  </si>
  <si>
    <t>24.400</t>
  </si>
  <si>
    <t>2026-12-28</t>
  </si>
  <si>
    <t>天壕转债</t>
  </si>
  <si>
    <t>天壕能源</t>
  </si>
  <si>
    <t>4.230</t>
  </si>
  <si>
    <t>2020-12-24</t>
  </si>
  <si>
    <t>2020-06-29</t>
  </si>
  <si>
    <t>2020-12-10</t>
  </si>
  <si>
    <t>2021-01-15</t>
  </si>
  <si>
    <t>2026-12-24</t>
  </si>
  <si>
    <t>金诚转债</t>
  </si>
  <si>
    <t>2026-12-23</t>
  </si>
  <si>
    <t>长海转债</t>
  </si>
  <si>
    <t>长海股份</t>
  </si>
  <si>
    <t>2020-07-22</t>
  </si>
  <si>
    <t>九洲转2</t>
  </si>
  <si>
    <t>九洲集团</t>
  </si>
  <si>
    <t>2020-12-21</t>
  </si>
  <si>
    <t>2020-07-14</t>
  </si>
  <si>
    <t>2020-12-03</t>
  </si>
  <si>
    <t>2026-12-21</t>
  </si>
  <si>
    <t>三诺转债</t>
  </si>
  <si>
    <t>三诺生物</t>
  </si>
  <si>
    <t>2020-09-15</t>
  </si>
  <si>
    <t>2021-01-12</t>
  </si>
  <si>
    <t>新乳转债</t>
  </si>
  <si>
    <t>新乳业</t>
  </si>
  <si>
    <t>7.180</t>
  </si>
  <si>
    <t>2020-12-18</t>
  </si>
  <si>
    <t>2026-12-18</t>
  </si>
  <si>
    <t>旺能转债</t>
  </si>
  <si>
    <t>旺能环境</t>
  </si>
  <si>
    <t>2021-01-18</t>
  </si>
  <si>
    <t>2026-12-17</t>
  </si>
  <si>
    <t>健20转债</t>
  </si>
  <si>
    <t>健友股份</t>
  </si>
  <si>
    <t>7.800</t>
  </si>
  <si>
    <t>2026-12-16</t>
  </si>
  <si>
    <t>2021-12-14</t>
  </si>
  <si>
    <t>明电转债</t>
  </si>
  <si>
    <t>2026-12-15</t>
  </si>
  <si>
    <t>威唐转债</t>
  </si>
  <si>
    <t>威唐工业</t>
  </si>
  <si>
    <t>3.010</t>
  </si>
  <si>
    <t>2020-11-05</t>
  </si>
  <si>
    <t>2021-01-06</t>
  </si>
  <si>
    <t>大秦转债</t>
  </si>
  <si>
    <t>大秦铁路</t>
  </si>
  <si>
    <t>320.000</t>
  </si>
  <si>
    <t>2020-12-14</t>
  </si>
  <si>
    <t>2026-12-14</t>
  </si>
  <si>
    <t>海兰转债</t>
  </si>
  <si>
    <t>海兰信</t>
  </si>
  <si>
    <t>2020-12-11</t>
  </si>
  <si>
    <t>2020-09-23</t>
  </si>
  <si>
    <t>2026-12-10</t>
  </si>
  <si>
    <t>万顺转2</t>
  </si>
  <si>
    <t>万顺新材</t>
  </si>
  <si>
    <t>2026-12-11</t>
  </si>
  <si>
    <t>高澜转债</t>
  </si>
  <si>
    <t>高澜股份</t>
  </si>
  <si>
    <t>2020-09-17</t>
  </si>
  <si>
    <t>2026-12-09</t>
  </si>
  <si>
    <t>能化转债</t>
  </si>
  <si>
    <t>甘肃能化</t>
  </si>
  <si>
    <t>财通转债</t>
  </si>
  <si>
    <t>财通证券</t>
  </si>
  <si>
    <t>38.000</t>
  </si>
  <si>
    <t>朗新转债</t>
  </si>
  <si>
    <t>朗新集团</t>
  </si>
  <si>
    <t>2020-12-09</t>
  </si>
  <si>
    <t>永冠转债</t>
  </si>
  <si>
    <t>2021-01-07</t>
  </si>
  <si>
    <t>2026-12-07</t>
  </si>
  <si>
    <t>2021-09-09</t>
  </si>
  <si>
    <t>超声转债</t>
  </si>
  <si>
    <t>超声电子</t>
  </si>
  <si>
    <t>2026-12-08</t>
  </si>
  <si>
    <t>润建转债</t>
  </si>
  <si>
    <t>润建股份</t>
  </si>
  <si>
    <t>10.900</t>
  </si>
  <si>
    <t>北陆转债</t>
  </si>
  <si>
    <t>北陆药业</t>
  </si>
  <si>
    <t>2020-07-03</t>
  </si>
  <si>
    <t>2020-09-09</t>
  </si>
  <si>
    <t>精研转债</t>
  </si>
  <si>
    <t>2020-12-22</t>
  </si>
  <si>
    <t>2026-12-02</t>
  </si>
  <si>
    <t>海波转债</t>
  </si>
  <si>
    <t>海波重科</t>
  </si>
  <si>
    <t>2020-12-02</t>
  </si>
  <si>
    <t>2020-06-30</t>
  </si>
  <si>
    <t>2020-07-29</t>
  </si>
  <si>
    <t>2020-09-07</t>
  </si>
  <si>
    <t>运达转债</t>
  </si>
  <si>
    <t>运达股份</t>
  </si>
  <si>
    <t>2026-11-30</t>
  </si>
  <si>
    <t>祥鑫转债</t>
  </si>
  <si>
    <t>祥鑫科技</t>
  </si>
  <si>
    <t>6.470</t>
  </si>
  <si>
    <t>灵康转债</t>
  </si>
  <si>
    <t>灵康药业</t>
  </si>
  <si>
    <t>5.250</t>
  </si>
  <si>
    <t>2026-12-01</t>
  </si>
  <si>
    <t>福20转债</t>
  </si>
  <si>
    <t>飞凯转债</t>
  </si>
  <si>
    <t>飞凯材料</t>
  </si>
  <si>
    <t>8.250</t>
  </si>
  <si>
    <t>2020-11-27</t>
  </si>
  <si>
    <t>2020-07-30</t>
  </si>
  <si>
    <t>2020-09-25</t>
  </si>
  <si>
    <t>2026-11-27</t>
  </si>
  <si>
    <t>永安转债</t>
  </si>
  <si>
    <t>永安行</t>
  </si>
  <si>
    <t>8.860</t>
  </si>
  <si>
    <t>2026-11-24</t>
  </si>
  <si>
    <t>汉得转债</t>
  </si>
  <si>
    <t>汉得信息</t>
  </si>
  <si>
    <t>9.370</t>
  </si>
  <si>
    <t>2020-07-08</t>
  </si>
  <si>
    <t>2026-11-23</t>
  </si>
  <si>
    <t>洪城转债</t>
  </si>
  <si>
    <t>洪城环境</t>
  </si>
  <si>
    <t>2020-11-20</t>
  </si>
  <si>
    <t>2026-11-20</t>
  </si>
  <si>
    <t>强力转债</t>
  </si>
  <si>
    <t>强力新材</t>
  </si>
  <si>
    <t>2020-11-19</t>
  </si>
  <si>
    <t>2020-10-30</t>
  </si>
  <si>
    <t>2020-12-04</t>
  </si>
  <si>
    <t>2026-11-19</t>
  </si>
  <si>
    <t>侨银转债</t>
  </si>
  <si>
    <t>侨银股份</t>
  </si>
  <si>
    <t>2026-11-17</t>
  </si>
  <si>
    <t>威派转债</t>
  </si>
  <si>
    <t>威派格</t>
  </si>
  <si>
    <t>2020-11-09</t>
  </si>
  <si>
    <t>2026-11-09</t>
  </si>
  <si>
    <t>冀东转债</t>
  </si>
  <si>
    <t>金隅冀东</t>
  </si>
  <si>
    <t>28.200</t>
  </si>
  <si>
    <t>2026-11-05</t>
  </si>
  <si>
    <t>盈峰转债</t>
  </si>
  <si>
    <t>盈峰环境</t>
  </si>
  <si>
    <t>14.760</t>
  </si>
  <si>
    <t>2020-11-04</t>
  </si>
  <si>
    <t>2026-11-04</t>
  </si>
  <si>
    <t>洁美转债</t>
  </si>
  <si>
    <t>洁美科技</t>
  </si>
  <si>
    <t>立讯转债</t>
  </si>
  <si>
    <t>立讯精密</t>
  </si>
  <si>
    <t>2020-11-03</t>
  </si>
  <si>
    <t>2026-11-03</t>
  </si>
  <si>
    <t>紫金转债</t>
  </si>
  <si>
    <t>紫金矿业</t>
  </si>
  <si>
    <t>2025-11-02</t>
  </si>
  <si>
    <t>2021-06-25</t>
  </si>
  <si>
    <t>贝斯转债</t>
  </si>
  <si>
    <t>贝斯特</t>
  </si>
  <si>
    <t>2020-11-02</t>
  </si>
  <si>
    <t>2020-08-26</t>
  </si>
  <si>
    <t>2026-11-02</t>
  </si>
  <si>
    <t>华海转债</t>
  </si>
  <si>
    <t>华海药业</t>
  </si>
  <si>
    <t>18.430</t>
  </si>
  <si>
    <t>伟20转债</t>
  </si>
  <si>
    <t>2026-11-01</t>
  </si>
  <si>
    <t>荣泰转债</t>
  </si>
  <si>
    <t>荣泰健康</t>
  </si>
  <si>
    <t>2026-10-30</t>
  </si>
  <si>
    <t>隆利转债</t>
  </si>
  <si>
    <t>隆利科技</t>
  </si>
  <si>
    <t>3.250</t>
  </si>
  <si>
    <t>2020-10-29</t>
  </si>
  <si>
    <t>2020-08-27</t>
  </si>
  <si>
    <t>2020-11-16</t>
  </si>
  <si>
    <t>2026-10-28</t>
  </si>
  <si>
    <t>2021-12-15</t>
  </si>
  <si>
    <t>同和转债</t>
  </si>
  <si>
    <t>同和药业</t>
  </si>
  <si>
    <t>2020-10-26</t>
  </si>
  <si>
    <t>2020-08-13</t>
  </si>
  <si>
    <t>2026-10-25</t>
  </si>
  <si>
    <t>2022-08-15</t>
  </si>
  <si>
    <t>华菱转2</t>
  </si>
  <si>
    <t>华菱钢铁</t>
  </si>
  <si>
    <t>2026-10-22</t>
  </si>
  <si>
    <t>星宇转债</t>
  </si>
  <si>
    <t>星宇股份</t>
  </si>
  <si>
    <t>2026-10-21</t>
  </si>
  <si>
    <t>2021-08-02</t>
  </si>
  <si>
    <t>大参转债</t>
  </si>
  <si>
    <t>大参林</t>
  </si>
  <si>
    <t>14.050</t>
  </si>
  <si>
    <t>2020-11-13</t>
  </si>
  <si>
    <t>天能转债</t>
  </si>
  <si>
    <t>天能重工</t>
  </si>
  <si>
    <t>2020-10-21</t>
  </si>
  <si>
    <t>2020-07-13</t>
  </si>
  <si>
    <t>乐歌转债</t>
  </si>
  <si>
    <t>乐歌股份</t>
  </si>
  <si>
    <t>1.420</t>
  </si>
  <si>
    <t>2020-07-17</t>
  </si>
  <si>
    <t>2020-11-10</t>
  </si>
  <si>
    <t>鹏辉转债</t>
  </si>
  <si>
    <t>鹏辉能源</t>
  </si>
  <si>
    <t>8.900</t>
  </si>
  <si>
    <t>2020-11-06</t>
  </si>
  <si>
    <t>2026-10-19</t>
  </si>
  <si>
    <t>洽洽转债</t>
  </si>
  <si>
    <t>洽洽食品</t>
  </si>
  <si>
    <t>13.400</t>
  </si>
  <si>
    <t>2020-11-18</t>
  </si>
  <si>
    <t>2026-10-20</t>
  </si>
  <si>
    <t>恒逸转债</t>
  </si>
  <si>
    <t>2026-10-16</t>
  </si>
  <si>
    <t>金诺转债</t>
  </si>
  <si>
    <t>川金诺</t>
  </si>
  <si>
    <t>3.680</t>
  </si>
  <si>
    <t>2020-06-28</t>
  </si>
  <si>
    <t>2020-08-06</t>
  </si>
  <si>
    <t>2026-10-15</t>
  </si>
  <si>
    <t>弘信转债</t>
  </si>
  <si>
    <t>弘信电子</t>
  </si>
  <si>
    <t>2020-07-24</t>
  </si>
  <si>
    <t>2026-10-14</t>
  </si>
  <si>
    <t>2021-10-11</t>
  </si>
  <si>
    <t>南航转债</t>
  </si>
  <si>
    <t>南方航空</t>
  </si>
  <si>
    <t>160.000</t>
  </si>
  <si>
    <t>多伦转债</t>
  </si>
  <si>
    <t>多伦科技</t>
  </si>
  <si>
    <t>2026-10-13</t>
  </si>
  <si>
    <t>鸿路转债</t>
  </si>
  <si>
    <t>鸿路钢构</t>
  </si>
  <si>
    <t>2020-10-09</t>
  </si>
  <si>
    <t>2026-10-09</t>
  </si>
  <si>
    <t>东缆转债</t>
  </si>
  <si>
    <t>东方电缆</t>
  </si>
  <si>
    <t>2026-09-23</t>
  </si>
  <si>
    <t>奇正转债</t>
  </si>
  <si>
    <t>奇正藏药</t>
  </si>
  <si>
    <t>2020-10-27</t>
  </si>
  <si>
    <t>2026-09-22</t>
  </si>
  <si>
    <t>斯莱转债</t>
  </si>
  <si>
    <t>斯莱克</t>
  </si>
  <si>
    <t>3.880</t>
  </si>
  <si>
    <t>2026-09-17</t>
  </si>
  <si>
    <t>2025-03-17</t>
  </si>
  <si>
    <t>赛意转债</t>
  </si>
  <si>
    <t>赛意信息</t>
  </si>
  <si>
    <t>2020-08-21</t>
  </si>
  <si>
    <t>2026-09-15</t>
  </si>
  <si>
    <t>交建转债</t>
  </si>
  <si>
    <t>新疆交建</t>
  </si>
  <si>
    <t>崇达转2</t>
  </si>
  <si>
    <t>崇达技术</t>
  </si>
  <si>
    <t>2026-09-07</t>
  </si>
  <si>
    <t>宝莱转债</t>
  </si>
  <si>
    <t>宝莱特</t>
  </si>
  <si>
    <t>2020-09-04</t>
  </si>
  <si>
    <t>2026-09-04</t>
  </si>
  <si>
    <t>万孚转债</t>
  </si>
  <si>
    <t>万孚生物</t>
  </si>
  <si>
    <t>2020-09-01</t>
  </si>
  <si>
    <t>2026-09-01</t>
  </si>
  <si>
    <t>景兴转债</t>
  </si>
  <si>
    <t>景兴纸业</t>
  </si>
  <si>
    <t>2020-08-31</t>
  </si>
  <si>
    <t>2020-09-18</t>
  </si>
  <si>
    <t>2026-08-31</t>
  </si>
  <si>
    <t>青农转债</t>
  </si>
  <si>
    <t>青农商行</t>
  </si>
  <si>
    <t>2020-08-25</t>
  </si>
  <si>
    <t>2026-08-25</t>
  </si>
  <si>
    <t>嘉泽转债</t>
  </si>
  <si>
    <t>嘉泽新能</t>
  </si>
  <si>
    <t>13.000</t>
  </si>
  <si>
    <t>2026-08-24</t>
  </si>
  <si>
    <t>景20转债</t>
  </si>
  <si>
    <t>17.800</t>
  </si>
  <si>
    <t>塞力转债</t>
  </si>
  <si>
    <t>塞力医疗</t>
  </si>
  <si>
    <t>5.430</t>
  </si>
  <si>
    <t>BB+</t>
  </si>
  <si>
    <t>2026-08-21</t>
  </si>
  <si>
    <t>齐翔转2</t>
  </si>
  <si>
    <t>齐翔腾达</t>
  </si>
  <si>
    <t>29.900</t>
  </si>
  <si>
    <t>2020-08-20</t>
  </si>
  <si>
    <t>2026-08-20</t>
  </si>
  <si>
    <t>文科转债</t>
  </si>
  <si>
    <t>文科股份</t>
  </si>
  <si>
    <t>2020-09-11</t>
  </si>
  <si>
    <t>精达转债</t>
  </si>
  <si>
    <t>精达股份</t>
  </si>
  <si>
    <t>7.870</t>
  </si>
  <si>
    <t>2020-08-19</t>
  </si>
  <si>
    <t>2020-09-21</t>
  </si>
  <si>
    <t>2026-08-19</t>
  </si>
  <si>
    <t>广汇转债</t>
  </si>
  <si>
    <t>广汇汽车</t>
  </si>
  <si>
    <t>33.700</t>
  </si>
  <si>
    <t>2020-08-18</t>
  </si>
  <si>
    <t>2026-08-18</t>
  </si>
  <si>
    <t>2024-07-17</t>
  </si>
  <si>
    <t>正股退市</t>
  </si>
  <si>
    <t>新星转债</t>
  </si>
  <si>
    <t>深圳新星</t>
  </si>
  <si>
    <t>5.950</t>
  </si>
  <si>
    <t>2026-08-13</t>
  </si>
  <si>
    <t>特发转2</t>
  </si>
  <si>
    <t>特发信息</t>
  </si>
  <si>
    <t>2020-08-07</t>
  </si>
  <si>
    <t>赣锋转2</t>
  </si>
  <si>
    <t>赣锋锂业</t>
  </si>
  <si>
    <t>21.080</t>
  </si>
  <si>
    <t>2020-09-08</t>
  </si>
  <si>
    <t>2026-08-05</t>
  </si>
  <si>
    <t>2021-05-11</t>
  </si>
  <si>
    <t>嘉友转债</t>
  </si>
  <si>
    <t>嘉友国际</t>
  </si>
  <si>
    <t>2020-08-05</t>
  </si>
  <si>
    <t>2026-08-04</t>
  </si>
  <si>
    <t>法兰转债</t>
  </si>
  <si>
    <t>法兰泰克</t>
  </si>
  <si>
    <t>2026-07-31</t>
  </si>
  <si>
    <t>隆20转债</t>
  </si>
  <si>
    <t>2026-07-30</t>
  </si>
  <si>
    <t>佳力转债</t>
  </si>
  <si>
    <t>佳力图</t>
  </si>
  <si>
    <t>华阳转债</t>
  </si>
  <si>
    <t>华阳国际</t>
  </si>
  <si>
    <t>城地转债</t>
  </si>
  <si>
    <t>城地香江</t>
  </si>
  <si>
    <t>2020-07-28</t>
  </si>
  <si>
    <t>2026-07-28</t>
  </si>
  <si>
    <t>2024-12-12</t>
  </si>
  <si>
    <t>大禹转债</t>
  </si>
  <si>
    <t>大禹节水</t>
  </si>
  <si>
    <t>6.380</t>
  </si>
  <si>
    <t>科华转债</t>
  </si>
  <si>
    <t>科华生物</t>
  </si>
  <si>
    <t>7.380</t>
  </si>
  <si>
    <t>三超转债</t>
  </si>
  <si>
    <t>三超新材</t>
  </si>
  <si>
    <t>1.950</t>
  </si>
  <si>
    <t>2026-07-26</t>
  </si>
  <si>
    <t>国光转债</t>
  </si>
  <si>
    <t>国光股份</t>
  </si>
  <si>
    <t>2026-07-27</t>
  </si>
  <si>
    <t>国投转债</t>
  </si>
  <si>
    <t>国投资本</t>
  </si>
  <si>
    <t>2026-07-24</t>
  </si>
  <si>
    <t>紫银转债</t>
  </si>
  <si>
    <t>紫金银行</t>
  </si>
  <si>
    <t>45.000</t>
  </si>
  <si>
    <t>2026-07-23</t>
  </si>
  <si>
    <t>兴森转债</t>
  </si>
  <si>
    <t>兴森科技</t>
  </si>
  <si>
    <t>2.690</t>
  </si>
  <si>
    <t>到期</t>
  </si>
  <si>
    <t>航新转债</t>
  </si>
  <si>
    <t>航新科技</t>
  </si>
  <si>
    <t>2026-07-22</t>
  </si>
  <si>
    <t>苏试转债</t>
  </si>
  <si>
    <t>苏试试验</t>
  </si>
  <si>
    <t>2026-07-20</t>
  </si>
  <si>
    <t>淳中转债</t>
  </si>
  <si>
    <t>淳中科技</t>
  </si>
  <si>
    <t>2020-08-28</t>
  </si>
  <si>
    <t>2026-07-21</t>
  </si>
  <si>
    <t>2024-04-08</t>
  </si>
  <si>
    <t>花王转债</t>
  </si>
  <si>
    <t>*ST花王</t>
  </si>
  <si>
    <t>2024-02-21</t>
  </si>
  <si>
    <t>中金转债</t>
  </si>
  <si>
    <t>中金岭南</t>
  </si>
  <si>
    <t>2020-07-20</t>
  </si>
  <si>
    <t>2020-08-14</t>
  </si>
  <si>
    <t>沪工转债</t>
  </si>
  <si>
    <t>上海沪工</t>
  </si>
  <si>
    <t>2020-08-10</t>
  </si>
  <si>
    <t>联诚转债</t>
  </si>
  <si>
    <t>联诚精密</t>
  </si>
  <si>
    <t>2.600</t>
  </si>
  <si>
    <t>2026-07-17</t>
  </si>
  <si>
    <t>2025-08-12</t>
  </si>
  <si>
    <t>宏川转债</t>
  </si>
  <si>
    <t>宏川智慧</t>
  </si>
  <si>
    <t>国城转债</t>
  </si>
  <si>
    <t>国城矿业</t>
  </si>
  <si>
    <t>2020-07-15</t>
  </si>
  <si>
    <t>2026-07-15</t>
  </si>
  <si>
    <t>银信转债</t>
  </si>
  <si>
    <t>银信科技</t>
  </si>
  <si>
    <t>3.910</t>
  </si>
  <si>
    <t>欣旺转债</t>
  </si>
  <si>
    <t>欣旺达</t>
  </si>
  <si>
    <t>11.200</t>
  </si>
  <si>
    <t>2026-07-13</t>
  </si>
  <si>
    <t>龙大转债</t>
  </si>
  <si>
    <t>龙大美食</t>
  </si>
  <si>
    <t>湖盐转债</t>
  </si>
  <si>
    <t>雪天盐业</t>
  </si>
  <si>
    <t>2020-07-10</t>
  </si>
  <si>
    <t>2026-07-09</t>
  </si>
  <si>
    <t>安20转债</t>
  </si>
  <si>
    <t>安井食品</t>
  </si>
  <si>
    <t>2026-07-07</t>
  </si>
  <si>
    <t>2021-03-05</t>
  </si>
  <si>
    <t>宁建转债</t>
  </si>
  <si>
    <t>宁波建工</t>
  </si>
  <si>
    <t>2026-07-05</t>
  </si>
  <si>
    <t>瀛通转债</t>
  </si>
  <si>
    <t>瀛通通讯</t>
  </si>
  <si>
    <t>2026-07-02</t>
  </si>
  <si>
    <t>道恩转债</t>
  </si>
  <si>
    <t>道恩股份</t>
  </si>
  <si>
    <t>美联转债</t>
  </si>
  <si>
    <t>美联新材</t>
  </si>
  <si>
    <t>2.070</t>
  </si>
  <si>
    <t>2026-06-30</t>
  </si>
  <si>
    <t>胜达转债</t>
  </si>
  <si>
    <t>大胜达</t>
  </si>
  <si>
    <t>2026-07-01</t>
  </si>
  <si>
    <t>本钢转债</t>
  </si>
  <si>
    <t>本钢板材</t>
  </si>
  <si>
    <t>68.000</t>
  </si>
  <si>
    <t>2020-08-04</t>
  </si>
  <si>
    <t>2026-06-29</t>
  </si>
  <si>
    <t>瑞达转债</t>
  </si>
  <si>
    <t>瑞达期货</t>
  </si>
  <si>
    <t>海容转债</t>
  </si>
  <si>
    <t>海容冷链</t>
  </si>
  <si>
    <t>巨星科技</t>
  </si>
  <si>
    <t>9.730</t>
  </si>
  <si>
    <t>2020-06-24</t>
  </si>
  <si>
    <t>2020-07-16</t>
  </si>
  <si>
    <t>2026-06-23</t>
  </si>
  <si>
    <t>天创转债</t>
  </si>
  <si>
    <t>天创时尚</t>
  </si>
  <si>
    <t>2026-06-24</t>
  </si>
  <si>
    <t>雪榕转债</t>
  </si>
  <si>
    <t>雪榕生物</t>
  </si>
  <si>
    <t>5.850</t>
  </si>
  <si>
    <t>正邦转债</t>
  </si>
  <si>
    <t>正邦科技</t>
  </si>
  <si>
    <t>16.000</t>
  </si>
  <si>
    <t>2020-06-17</t>
  </si>
  <si>
    <t>2026-06-17</t>
  </si>
  <si>
    <t>正股重整</t>
  </si>
  <si>
    <t>润达转债</t>
  </si>
  <si>
    <t>润达医疗</t>
  </si>
  <si>
    <t>晨光转债</t>
  </si>
  <si>
    <t>晨光生物</t>
  </si>
  <si>
    <t>2026-06-16</t>
  </si>
  <si>
    <t>比音转债</t>
  </si>
  <si>
    <t>比音勒芬</t>
  </si>
  <si>
    <t>6.890</t>
  </si>
  <si>
    <t>2020-06-15</t>
  </si>
  <si>
    <t>2026-06-14</t>
  </si>
  <si>
    <t>泛微转债</t>
  </si>
  <si>
    <t>泛微网络</t>
  </si>
  <si>
    <t>2026-06-15</t>
  </si>
  <si>
    <t>歌尔转2</t>
  </si>
  <si>
    <t>歌尔股份</t>
  </si>
  <si>
    <t>2020-06-12</t>
  </si>
  <si>
    <t>2026-06-11</t>
  </si>
  <si>
    <t>2021-03-02</t>
  </si>
  <si>
    <t>中矿转债</t>
  </si>
  <si>
    <t>中矿资源</t>
  </si>
  <si>
    <t>2020-06-11</t>
  </si>
  <si>
    <t>2020-07-07</t>
  </si>
  <si>
    <t>思特转债</t>
  </si>
  <si>
    <t>思特奇</t>
  </si>
  <si>
    <t>2.710</t>
  </si>
  <si>
    <t>2020-06-10</t>
  </si>
  <si>
    <t>2026-06-10</t>
  </si>
  <si>
    <t>永兴转债</t>
  </si>
  <si>
    <t>永兴材料</t>
  </si>
  <si>
    <t>2020-06-09</t>
  </si>
  <si>
    <t>2026-06-08</t>
  </si>
  <si>
    <t>寿仙转债</t>
  </si>
  <si>
    <t>上机转债</t>
  </si>
  <si>
    <t>6.650</t>
  </si>
  <si>
    <t>飞鹿转债</t>
  </si>
  <si>
    <t>飞鹿股份</t>
  </si>
  <si>
    <t>1.770</t>
  </si>
  <si>
    <t>2020-06-05</t>
  </si>
  <si>
    <t>2026-06-05</t>
  </si>
  <si>
    <t>家悦转债</t>
  </si>
  <si>
    <t>家家悦</t>
  </si>
  <si>
    <t>宝通转债</t>
  </si>
  <si>
    <t>宝通科技</t>
  </si>
  <si>
    <t>2026-06-04</t>
  </si>
  <si>
    <t>今天转债</t>
  </si>
  <si>
    <t>今天国际</t>
  </si>
  <si>
    <t>2020-06-04</t>
  </si>
  <si>
    <t>2026-06-03</t>
  </si>
  <si>
    <t>2021-10-14</t>
  </si>
  <si>
    <t>楚江转债</t>
  </si>
  <si>
    <t>楚江新材</t>
  </si>
  <si>
    <t>18.300</t>
  </si>
  <si>
    <t>2020-06-23</t>
  </si>
  <si>
    <t>万青转债</t>
  </si>
  <si>
    <t>万年青</t>
  </si>
  <si>
    <t>2020-06-03</t>
  </si>
  <si>
    <t>15.810</t>
  </si>
  <si>
    <t>2020-06-01</t>
  </si>
  <si>
    <t>2020-06-22</t>
  </si>
  <si>
    <t>2026-05-31</t>
  </si>
  <si>
    <t>蓝帆转债</t>
  </si>
  <si>
    <t>蓝帆医疗</t>
  </si>
  <si>
    <t>31.440</t>
  </si>
  <si>
    <t>2020-05-28</t>
  </si>
  <si>
    <t>2020-06-19</t>
  </si>
  <si>
    <t>2026-05-28</t>
  </si>
  <si>
    <t>火炬转债</t>
  </si>
  <si>
    <t>火炬电子</t>
  </si>
  <si>
    <t>2020-05-27</t>
  </si>
  <si>
    <t>2026-05-27</t>
  </si>
  <si>
    <t>龙蟠转债</t>
  </si>
  <si>
    <t>龙蟠科技</t>
  </si>
  <si>
    <t>2020-04-23</t>
  </si>
  <si>
    <t>2020-05-19</t>
  </si>
  <si>
    <t>2026-04-22</t>
  </si>
  <si>
    <t>康隆转债</t>
  </si>
  <si>
    <t>康隆达</t>
  </si>
  <si>
    <t>2.000</t>
  </si>
  <si>
    <t>2020-05-20</t>
  </si>
  <si>
    <t>健友转债</t>
  </si>
  <si>
    <t>5.030</t>
  </si>
  <si>
    <t>2020-05-22</t>
  </si>
  <si>
    <t>2026-04-23</t>
  </si>
  <si>
    <t>交科转债</t>
  </si>
  <si>
    <t>浙江交科</t>
  </si>
  <si>
    <t>2020-04-22</t>
  </si>
  <si>
    <t>全筑转债</t>
  </si>
  <si>
    <t>全筑股份</t>
  </si>
  <si>
    <t>2020-04-20</t>
  </si>
  <si>
    <t>2026-04-20</t>
  </si>
  <si>
    <t>2023-11-28</t>
  </si>
  <si>
    <t>重整</t>
  </si>
  <si>
    <t>纵横转债</t>
  </si>
  <si>
    <t>纵横通信</t>
  </si>
  <si>
    <t>2020-04-17</t>
  </si>
  <si>
    <t>2026-04-17</t>
  </si>
  <si>
    <t>春秋转债</t>
  </si>
  <si>
    <t>2020-04-14</t>
  </si>
  <si>
    <t>2020-05-13</t>
  </si>
  <si>
    <t>2026-04-14</t>
  </si>
  <si>
    <t>聚飞转债</t>
  </si>
  <si>
    <t>聚飞光电</t>
  </si>
  <si>
    <t>7.050</t>
  </si>
  <si>
    <t>2020-05-15</t>
  </si>
  <si>
    <t>2024-11-25</t>
  </si>
  <si>
    <t>维尔转债</t>
  </si>
  <si>
    <t>维尔利</t>
  </si>
  <si>
    <t>9.170</t>
  </si>
  <si>
    <t>2020-04-13</t>
  </si>
  <si>
    <t>2020-05-12</t>
  </si>
  <si>
    <t>2026-04-13</t>
  </si>
  <si>
    <t>凌钢转债</t>
  </si>
  <si>
    <t>凌钢股份</t>
  </si>
  <si>
    <t>应急转债</t>
  </si>
  <si>
    <t>ST应急</t>
  </si>
  <si>
    <t>8.190</t>
  </si>
  <si>
    <t>2020-04-10</t>
  </si>
  <si>
    <t>2020-05-11</t>
  </si>
  <si>
    <t>2026-04-10</t>
  </si>
  <si>
    <t>华统转债</t>
  </si>
  <si>
    <t>华统股份</t>
  </si>
  <si>
    <t>2020-05-08</t>
  </si>
  <si>
    <t>起步转债</t>
  </si>
  <si>
    <t>ST起步</t>
  </si>
  <si>
    <t>2020-05-07</t>
  </si>
  <si>
    <t>滨化转债</t>
  </si>
  <si>
    <t>滨化股份</t>
  </si>
  <si>
    <t>24.000</t>
  </si>
  <si>
    <t>2020-04-30</t>
  </si>
  <si>
    <t>2026-04-09</t>
  </si>
  <si>
    <t>2022-01-10</t>
  </si>
  <si>
    <t>鲁泰转债</t>
  </si>
  <si>
    <t>鲁泰A</t>
  </si>
  <si>
    <t>2020-04-09</t>
  </si>
  <si>
    <t>长集转债</t>
  </si>
  <si>
    <t>长青集团</t>
  </si>
  <si>
    <t>东时转债</t>
  </si>
  <si>
    <t>ST东时</t>
  </si>
  <si>
    <t>4.280</t>
  </si>
  <si>
    <t>CCC</t>
  </si>
  <si>
    <t>瀚蓝转债</t>
  </si>
  <si>
    <t>瀚蓝环境</t>
  </si>
  <si>
    <t>9.920</t>
  </si>
  <si>
    <t>2020-04-07</t>
  </si>
  <si>
    <t>2026-04-06</t>
  </si>
  <si>
    <t>裕同转债</t>
  </si>
  <si>
    <t>裕同科技</t>
  </si>
  <si>
    <t>2020-04-28</t>
  </si>
  <si>
    <t>利群转债</t>
  </si>
  <si>
    <t>利群股份</t>
  </si>
  <si>
    <t>2020-04-01</t>
  </si>
  <si>
    <t>2020-04-21</t>
  </si>
  <si>
    <t>2026-04-01</t>
  </si>
  <si>
    <t>华体转债</t>
  </si>
  <si>
    <t>华体科技</t>
  </si>
  <si>
    <t>2.090</t>
  </si>
  <si>
    <t>2020-03-31</t>
  </si>
  <si>
    <t>2020-04-27</t>
  </si>
  <si>
    <t>2026-03-31</t>
  </si>
  <si>
    <t>同德转债</t>
  </si>
  <si>
    <t>同德化工</t>
  </si>
  <si>
    <t>1.440</t>
  </si>
  <si>
    <t>2020-03-26</t>
  </si>
  <si>
    <t>2026-03-25</t>
  </si>
  <si>
    <t>龙净转债</t>
  </si>
  <si>
    <t>龙净环保</t>
  </si>
  <si>
    <t>2020-03-24</t>
  </si>
  <si>
    <t>2020-04-15</t>
  </si>
  <si>
    <t>2026-03-24</t>
  </si>
  <si>
    <t>久吾转债</t>
  </si>
  <si>
    <t>2.540</t>
  </si>
  <si>
    <t>2020-03-20</t>
  </si>
  <si>
    <t>2026-03-19</t>
  </si>
  <si>
    <t>天铁转债</t>
  </si>
  <si>
    <t>天铁科技</t>
  </si>
  <si>
    <t>3.990</t>
  </si>
  <si>
    <t>2020-03-19</t>
  </si>
  <si>
    <t>2023-09-25</t>
  </si>
  <si>
    <t>海大转债</t>
  </si>
  <si>
    <t>海大集团</t>
  </si>
  <si>
    <t>28.300</t>
  </si>
  <si>
    <t>2020-04-16</t>
  </si>
  <si>
    <t>2026-03-18</t>
  </si>
  <si>
    <t>联创转债</t>
  </si>
  <si>
    <t>联创电子</t>
  </si>
  <si>
    <t>2020-03-16</t>
  </si>
  <si>
    <t>2026-03-16</t>
  </si>
  <si>
    <t>三祥转债</t>
  </si>
  <si>
    <t>三祥新材</t>
  </si>
  <si>
    <t>2.050</t>
  </si>
  <si>
    <t>2020-03-12</t>
  </si>
  <si>
    <t>2026-03-11</t>
  </si>
  <si>
    <t>华安转债</t>
  </si>
  <si>
    <t>华安证券</t>
  </si>
  <si>
    <t>2026-03-12</t>
  </si>
  <si>
    <t>博特转债</t>
  </si>
  <si>
    <t>6.970</t>
  </si>
  <si>
    <t>红相转债</t>
  </si>
  <si>
    <t>红相股份</t>
  </si>
  <si>
    <t>雷迪转债</t>
  </si>
  <si>
    <t>雷迪克</t>
  </si>
  <si>
    <t>2.880</t>
  </si>
  <si>
    <t>搜特转债</t>
  </si>
  <si>
    <t>*ST搜特</t>
  </si>
  <si>
    <t>永高转债</t>
  </si>
  <si>
    <t>公元股份</t>
  </si>
  <si>
    <t>2020-03-11</t>
  </si>
  <si>
    <t>2026-03-10</t>
  </si>
  <si>
    <t>百达转债</t>
  </si>
  <si>
    <t>百达精工</t>
  </si>
  <si>
    <t>2020-04-08</t>
  </si>
  <si>
    <t>科达转债</t>
  </si>
  <si>
    <t>苏州科达</t>
  </si>
  <si>
    <t>5.160</t>
  </si>
  <si>
    <t>2020-03-09</t>
  </si>
  <si>
    <t>2026-03-09</t>
  </si>
  <si>
    <t>新春转债</t>
  </si>
  <si>
    <t>五洲新春</t>
  </si>
  <si>
    <t>2020-03-06</t>
  </si>
  <si>
    <t>2020-04-02</t>
  </si>
  <si>
    <t>2026-03-05</t>
  </si>
  <si>
    <t>正元转债</t>
  </si>
  <si>
    <t>1.750</t>
  </si>
  <si>
    <t>2020-03-05</t>
  </si>
  <si>
    <t>2026-03-04</t>
  </si>
  <si>
    <t>康弘转债</t>
  </si>
  <si>
    <t>康弘药业</t>
  </si>
  <si>
    <t>君禾转债</t>
  </si>
  <si>
    <t>君禾股份</t>
  </si>
  <si>
    <t>2020-03-04</t>
  </si>
  <si>
    <t>2020-04-03</t>
  </si>
  <si>
    <t>2026-03-03</t>
  </si>
  <si>
    <t>盛屯转债</t>
  </si>
  <si>
    <t>盛屯矿业</t>
  </si>
  <si>
    <t>23.860</t>
  </si>
  <si>
    <t>2020-03-02</t>
  </si>
  <si>
    <t>2026-03-02</t>
  </si>
  <si>
    <t>2022-03-17</t>
  </si>
  <si>
    <t>桐20转债</t>
  </si>
  <si>
    <t>桐昆股份</t>
  </si>
  <si>
    <t>23.000</t>
  </si>
  <si>
    <t>2026-02-27</t>
  </si>
  <si>
    <t>2021-01-13</t>
  </si>
  <si>
    <t>天目转债</t>
  </si>
  <si>
    <t>天目湖</t>
  </si>
  <si>
    <t>2020-02-28</t>
  </si>
  <si>
    <t>2021-05-18</t>
  </si>
  <si>
    <t>翔港转债</t>
  </si>
  <si>
    <t>翔港科技</t>
  </si>
  <si>
    <t>2026-02-28</t>
  </si>
  <si>
    <t>2024-04-09</t>
  </si>
  <si>
    <t>宏辉转债</t>
  </si>
  <si>
    <t>宏辉果蔬</t>
  </si>
  <si>
    <t>3.320</t>
  </si>
  <si>
    <t>2020-02-26</t>
  </si>
  <si>
    <t>2026-02-26</t>
  </si>
  <si>
    <t>奥佳转债</t>
  </si>
  <si>
    <t>奥佳华</t>
  </si>
  <si>
    <t>2020-02-25</t>
  </si>
  <si>
    <t>2020-03-18</t>
  </si>
  <si>
    <t>2026-02-25</t>
  </si>
  <si>
    <t>恩捷转债</t>
  </si>
  <si>
    <t>恩捷股份</t>
  </si>
  <si>
    <t>2020-02-11</t>
  </si>
  <si>
    <t>2026-02-11</t>
  </si>
  <si>
    <t>奥瑞转债</t>
  </si>
  <si>
    <t>奥瑞金</t>
  </si>
  <si>
    <t>10.870</t>
  </si>
  <si>
    <t>柳药转债</t>
  </si>
  <si>
    <t>柳药集团</t>
  </si>
  <si>
    <t>8.020</t>
  </si>
  <si>
    <t>2020-01-16</t>
  </si>
  <si>
    <t>2020-02-24</t>
  </si>
  <si>
    <t>2026-01-16</t>
  </si>
  <si>
    <t>星帅转债</t>
  </si>
  <si>
    <t>2020-02-19</t>
  </si>
  <si>
    <t>银河转债</t>
  </si>
  <si>
    <t>金银河</t>
  </si>
  <si>
    <t>1.670</t>
  </si>
  <si>
    <t>2020-01-14</t>
  </si>
  <si>
    <t>2020-02-14</t>
  </si>
  <si>
    <t>2026-01-13</t>
  </si>
  <si>
    <t>东财转2</t>
  </si>
  <si>
    <t>73.000</t>
  </si>
  <si>
    <t>2020-01-13</t>
  </si>
  <si>
    <t>2026-01-12</t>
  </si>
  <si>
    <t>博威转债</t>
  </si>
  <si>
    <t>2020-01-10</t>
  </si>
  <si>
    <t>2020-02-17</t>
  </si>
  <si>
    <t>百川转债</t>
  </si>
  <si>
    <t>2020-01-03</t>
  </si>
  <si>
    <t>2020-01-21</t>
  </si>
  <si>
    <t>2026-01-03</t>
  </si>
  <si>
    <t>乐普转债</t>
  </si>
  <si>
    <t>2020-01-23</t>
  </si>
  <si>
    <t>2025-01-02</t>
  </si>
  <si>
    <t>希望转债</t>
  </si>
  <si>
    <t>2020-02-04</t>
  </si>
  <si>
    <t>璞泰转债</t>
  </si>
  <si>
    <t>璞泰来</t>
  </si>
  <si>
    <t>2020-01-02</t>
  </si>
  <si>
    <t>正裕转债</t>
  </si>
  <si>
    <t>正裕工业</t>
  </si>
  <si>
    <t>2019-12-31</t>
  </si>
  <si>
    <t>2020-02-10</t>
  </si>
  <si>
    <t>2025-06-13</t>
  </si>
  <si>
    <t>新天转债</t>
  </si>
  <si>
    <t>新天药业</t>
  </si>
  <si>
    <t>2019-12-30</t>
  </si>
  <si>
    <t>2020-01-17</t>
  </si>
  <si>
    <t>唐人转债</t>
  </si>
  <si>
    <t>唐人神</t>
  </si>
  <si>
    <t>12.430</t>
  </si>
  <si>
    <t>2020-01-22</t>
  </si>
  <si>
    <t>汽模转2</t>
  </si>
  <si>
    <t>天汽模</t>
  </si>
  <si>
    <t>4.710</t>
  </si>
  <si>
    <t>2019-12-27</t>
  </si>
  <si>
    <t>2025-12-27</t>
  </si>
  <si>
    <t>开润转债</t>
  </si>
  <si>
    <t>开润股份</t>
  </si>
  <si>
    <t>2.230</t>
  </si>
  <si>
    <t>2019-12-26</t>
  </si>
  <si>
    <t>麦米转债</t>
  </si>
  <si>
    <t>6.550</t>
  </si>
  <si>
    <t>联得转债</t>
  </si>
  <si>
    <t>联得装备</t>
  </si>
  <si>
    <t>2019-12-25</t>
  </si>
  <si>
    <t>深南转债</t>
  </si>
  <si>
    <t>深南电路</t>
  </si>
  <si>
    <t>2019-12-24</t>
  </si>
  <si>
    <t>2025-12-24</t>
  </si>
  <si>
    <t>东风转债</t>
  </si>
  <si>
    <t>衢州东峰</t>
  </si>
  <si>
    <t>2.950</t>
  </si>
  <si>
    <t>2020-01-20</t>
  </si>
  <si>
    <t>永创转债</t>
  </si>
  <si>
    <t>5.120</t>
  </si>
  <si>
    <t>2019-12-23</t>
  </si>
  <si>
    <t>淮矿转债</t>
  </si>
  <si>
    <t>27.570</t>
  </si>
  <si>
    <t>日月转债</t>
  </si>
  <si>
    <t>日月股份</t>
  </si>
  <si>
    <t>建工转债</t>
  </si>
  <si>
    <t>重庆建工</t>
  </si>
  <si>
    <t>16.600</t>
  </si>
  <si>
    <t>2019-12-20</t>
  </si>
  <si>
    <t>2025-12-20</t>
  </si>
  <si>
    <t>至纯转债</t>
  </si>
  <si>
    <t>至纯科技</t>
  </si>
  <si>
    <t>3.560</t>
  </si>
  <si>
    <t>2020-01-09</t>
  </si>
  <si>
    <t>新莱转债</t>
  </si>
  <si>
    <t>新莱应材</t>
  </si>
  <si>
    <t>2019-12-19</t>
  </si>
  <si>
    <t>振德转债</t>
  </si>
  <si>
    <t>振德医疗</t>
  </si>
  <si>
    <t>森特转债</t>
  </si>
  <si>
    <t>森特股份</t>
  </si>
  <si>
    <t>孚日转债</t>
  </si>
  <si>
    <t>孚日股份</t>
  </si>
  <si>
    <t>2019-12-17</t>
  </si>
  <si>
    <t>国轩转债</t>
  </si>
  <si>
    <t>国轩高科</t>
  </si>
  <si>
    <t>18.500</t>
  </si>
  <si>
    <t>仙鹤转债</t>
  </si>
  <si>
    <t>12.500</t>
  </si>
  <si>
    <t>2019-12-16</t>
  </si>
  <si>
    <t>鸿达转债</t>
  </si>
  <si>
    <t>ST鸿达</t>
  </si>
  <si>
    <t>24.270</t>
  </si>
  <si>
    <t>2020-01-08</t>
  </si>
  <si>
    <t>2024-03-18</t>
  </si>
  <si>
    <t>明阳转债</t>
  </si>
  <si>
    <t>明阳智能</t>
  </si>
  <si>
    <t>2020-01-07</t>
  </si>
  <si>
    <t>2021-03-18</t>
  </si>
  <si>
    <t>木森转债</t>
  </si>
  <si>
    <t>木林森</t>
  </si>
  <si>
    <t>26.600</t>
  </si>
  <si>
    <t>金牌转债</t>
  </si>
  <si>
    <t>3.920</t>
  </si>
  <si>
    <t>2019-12-13</t>
  </si>
  <si>
    <t>鹰19转债</t>
  </si>
  <si>
    <t>山鹰国际</t>
  </si>
  <si>
    <t>18.600</t>
  </si>
  <si>
    <t>新北转债</t>
  </si>
  <si>
    <t>新北洋</t>
  </si>
  <si>
    <t>8.770</t>
  </si>
  <si>
    <t>2019-12-12</t>
  </si>
  <si>
    <t>先导转债</t>
  </si>
  <si>
    <t>先导智能</t>
  </si>
  <si>
    <t>2019-12-11</t>
  </si>
  <si>
    <t>华锋转债</t>
  </si>
  <si>
    <t>华锋股份</t>
  </si>
  <si>
    <t>3.520</t>
  </si>
  <si>
    <t>2019-12-04</t>
  </si>
  <si>
    <t>2020-01-06</t>
  </si>
  <si>
    <t>烽火转债</t>
  </si>
  <si>
    <t>烽火通信</t>
  </si>
  <si>
    <t>30.880</t>
  </si>
  <si>
    <t>2019-12-02</t>
  </si>
  <si>
    <t>克来转债</t>
  </si>
  <si>
    <t>克来机电</t>
  </si>
  <si>
    <t>1.800</t>
  </si>
  <si>
    <t>2025-12-01</t>
  </si>
  <si>
    <t>海亮转债</t>
  </si>
  <si>
    <t>海亮股份</t>
  </si>
  <si>
    <t>31.500</t>
  </si>
  <si>
    <t>2019-11-21</t>
  </si>
  <si>
    <t>顺丰转债</t>
  </si>
  <si>
    <t>顺丰控股</t>
  </si>
  <si>
    <t>58.000</t>
  </si>
  <si>
    <t>2019-11-18</t>
  </si>
  <si>
    <t>2019-12-09</t>
  </si>
  <si>
    <t>2020-08-03</t>
  </si>
  <si>
    <t>常汽转债</t>
  </si>
  <si>
    <t>常熟汽饰</t>
  </si>
  <si>
    <t>福特转债</t>
  </si>
  <si>
    <t>白电转债</t>
  </si>
  <si>
    <t>白云电器</t>
  </si>
  <si>
    <t>2019-11-15</t>
  </si>
  <si>
    <t>利德转债</t>
  </si>
  <si>
    <t>利亚德</t>
  </si>
  <si>
    <t>2019-11-14</t>
  </si>
  <si>
    <t>2025-01-06</t>
  </si>
  <si>
    <t>川投转债</t>
  </si>
  <si>
    <t>川投能源</t>
  </si>
  <si>
    <t>2019-11-11</t>
  </si>
  <si>
    <t>2025-11-11</t>
  </si>
  <si>
    <t>通光转债</t>
  </si>
  <si>
    <t>通光线缆</t>
  </si>
  <si>
    <t>2.970</t>
  </si>
  <si>
    <t>2019-11-04</t>
  </si>
  <si>
    <t>2019-11-28</t>
  </si>
  <si>
    <t>2025-11-04</t>
  </si>
  <si>
    <t>金力转债</t>
  </si>
  <si>
    <t>金力永磁</t>
  </si>
  <si>
    <t>4.350</t>
  </si>
  <si>
    <t>2019-11-01</t>
  </si>
  <si>
    <t>2019-11-25</t>
  </si>
  <si>
    <t>2021-08-30</t>
  </si>
  <si>
    <t>浦发转债</t>
  </si>
  <si>
    <t>浦发银行</t>
  </si>
  <si>
    <t>2019-10-28</t>
  </si>
  <si>
    <t>石英转债</t>
  </si>
  <si>
    <t>石英股份</t>
  </si>
  <si>
    <t>2019-11-22</t>
  </si>
  <si>
    <t>天路转债</t>
  </si>
  <si>
    <t>西藏天路</t>
  </si>
  <si>
    <t>索发转债</t>
  </si>
  <si>
    <t>索通发展</t>
  </si>
  <si>
    <t>9.450</t>
  </si>
  <si>
    <t>2019-10-24</t>
  </si>
  <si>
    <t>北方转债</t>
  </si>
  <si>
    <t>北方国际</t>
  </si>
  <si>
    <t>2025-03-31</t>
  </si>
  <si>
    <t>迪贝转债</t>
  </si>
  <si>
    <t>迪贝电气</t>
  </si>
  <si>
    <t>2.300</t>
  </si>
  <si>
    <t>2019-10-23</t>
  </si>
  <si>
    <t>英联转债</t>
  </si>
  <si>
    <t>英联股份</t>
  </si>
  <si>
    <t>2.140</t>
  </si>
  <si>
    <t>2019-10-21</t>
  </si>
  <si>
    <t>2025-10-21</t>
  </si>
  <si>
    <t>太极转债</t>
  </si>
  <si>
    <t>太极股份</t>
  </si>
  <si>
    <t>2019-11-08</t>
  </si>
  <si>
    <t>华夏转债</t>
  </si>
  <si>
    <t>华夏航空</t>
  </si>
  <si>
    <t>7.900</t>
  </si>
  <si>
    <t>2019-10-16</t>
  </si>
  <si>
    <t>2019-11-07</t>
  </si>
  <si>
    <t>金能转债</t>
  </si>
  <si>
    <t>金能科技</t>
  </si>
  <si>
    <t>2019-10-14</t>
  </si>
  <si>
    <t>金轮转债</t>
  </si>
  <si>
    <t>物产金轮</t>
  </si>
  <si>
    <t>万里转债</t>
  </si>
  <si>
    <t>万里马</t>
  </si>
  <si>
    <t>2019-10-11</t>
  </si>
  <si>
    <t>2019-10-31</t>
  </si>
  <si>
    <t>2020-11-30</t>
  </si>
  <si>
    <t>游族转债</t>
  </si>
  <si>
    <t>游族网络</t>
  </si>
  <si>
    <t>2019-09-23</t>
  </si>
  <si>
    <t>远东转债</t>
  </si>
  <si>
    <t>远东传动</t>
  </si>
  <si>
    <t>8.940</t>
  </si>
  <si>
    <t>2023-11-06</t>
  </si>
  <si>
    <t>桃李转债</t>
  </si>
  <si>
    <t>桃李面包</t>
  </si>
  <si>
    <t>2019-09-20</t>
  </si>
  <si>
    <t>2019-10-15</t>
  </si>
  <si>
    <t>晶瑞转债</t>
  </si>
  <si>
    <t>1.850</t>
  </si>
  <si>
    <t>2019-08-29</t>
  </si>
  <si>
    <t>2019-09-26</t>
  </si>
  <si>
    <t>哈尔转债</t>
  </si>
  <si>
    <t>哈尔斯</t>
  </si>
  <si>
    <t>2019-08-22</t>
  </si>
  <si>
    <t>2019-09-11</t>
  </si>
  <si>
    <t>翔鹭转债</t>
  </si>
  <si>
    <t>翔鹭钨业</t>
  </si>
  <si>
    <t>3.020</t>
  </si>
  <si>
    <t>2019-08-20</t>
  </si>
  <si>
    <t>2019-09-16</t>
  </si>
  <si>
    <t>九洲转债</t>
  </si>
  <si>
    <t>2019-09-12</t>
  </si>
  <si>
    <t>欧派转债</t>
  </si>
  <si>
    <t>14.950</t>
  </si>
  <si>
    <t>2019-08-16</t>
  </si>
  <si>
    <t>2019-09-04</t>
  </si>
  <si>
    <t>英科转债</t>
  </si>
  <si>
    <t>英科医疗</t>
  </si>
  <si>
    <t>2019-09-10</t>
  </si>
  <si>
    <t>合兴转债</t>
  </si>
  <si>
    <t>合兴包装</t>
  </si>
  <si>
    <t>5.960</t>
  </si>
  <si>
    <t>好客转债</t>
  </si>
  <si>
    <t>好莱客</t>
  </si>
  <si>
    <t>2019-08-01</t>
  </si>
  <si>
    <t>2019-08-23</t>
  </si>
  <si>
    <t>荣晟转债</t>
  </si>
  <si>
    <t>2019-07-23</t>
  </si>
  <si>
    <t>2019-08-13</t>
  </si>
  <si>
    <t>南威转债</t>
  </si>
  <si>
    <t>南威软件</t>
  </si>
  <si>
    <t>2019-07-15</t>
  </si>
  <si>
    <t>2019-08-05</t>
  </si>
  <si>
    <t>圣达转债</t>
  </si>
  <si>
    <t>圣达生物</t>
  </si>
  <si>
    <t>2.990</t>
  </si>
  <si>
    <t>2019-07-03</t>
  </si>
  <si>
    <t>2019-07-26</t>
  </si>
  <si>
    <t>2025-07-02</t>
  </si>
  <si>
    <t>2020-03-10</t>
  </si>
  <si>
    <t>智能转债</t>
  </si>
  <si>
    <t>智能自控</t>
  </si>
  <si>
    <t>2019-07-02</t>
  </si>
  <si>
    <t>2025-06-27</t>
  </si>
  <si>
    <t>安图转债</t>
  </si>
  <si>
    <t>安图生物</t>
  </si>
  <si>
    <t>6.830</t>
  </si>
  <si>
    <t>2019-06-28</t>
  </si>
  <si>
    <t>2019-07-22</t>
  </si>
  <si>
    <t>2020-02-18</t>
  </si>
  <si>
    <t>华森转债</t>
  </si>
  <si>
    <t>华森制药</t>
  </si>
  <si>
    <t>2019-06-24</t>
  </si>
  <si>
    <t>2019-07-11</t>
  </si>
  <si>
    <t>清水转债</t>
  </si>
  <si>
    <t>清水源</t>
  </si>
  <si>
    <t>2019-06-19</t>
  </si>
  <si>
    <t>环境转债</t>
  </si>
  <si>
    <t>上海环境</t>
  </si>
  <si>
    <t>21.700</t>
  </si>
  <si>
    <t>2019-06-18</t>
  </si>
  <si>
    <t>2019-07-08</t>
  </si>
  <si>
    <t>华钰转债</t>
  </si>
  <si>
    <t>华钰矿业</t>
  </si>
  <si>
    <t>2019-06-14</t>
  </si>
  <si>
    <t>2019-07-10</t>
  </si>
  <si>
    <t>2024-06-06</t>
  </si>
  <si>
    <t>蓝晓转债</t>
  </si>
  <si>
    <t>2019-06-11</t>
  </si>
  <si>
    <t>2019-07-04</t>
  </si>
  <si>
    <t>2022-10-18</t>
  </si>
  <si>
    <t>文灿转债</t>
  </si>
  <si>
    <t>文灿股份</t>
  </si>
  <si>
    <t>2019-06-10</t>
  </si>
  <si>
    <t>2019-07-05</t>
  </si>
  <si>
    <t>中环转债</t>
  </si>
  <si>
    <t>2019-07-01</t>
  </si>
  <si>
    <t>2024-06-10</t>
  </si>
  <si>
    <t>和而转债</t>
  </si>
  <si>
    <t>和而泰</t>
  </si>
  <si>
    <t>5.470</t>
  </si>
  <si>
    <t>2019-06-04</t>
  </si>
  <si>
    <t>2025-06-04</t>
  </si>
  <si>
    <t>2020-02-05</t>
  </si>
  <si>
    <t>三星转债</t>
  </si>
  <si>
    <t>三星新材</t>
  </si>
  <si>
    <t>1.920</t>
  </si>
  <si>
    <t>2019-05-31</t>
  </si>
  <si>
    <t>大业转债</t>
  </si>
  <si>
    <t>大业股份</t>
  </si>
  <si>
    <t>2019-05-09</t>
  </si>
  <si>
    <t>2019-06-03</t>
  </si>
  <si>
    <t>2024-05-09</t>
  </si>
  <si>
    <t>2024-01-10</t>
  </si>
  <si>
    <t>一心转债</t>
  </si>
  <si>
    <t>一心堂</t>
  </si>
  <si>
    <t>6.030</t>
  </si>
  <si>
    <t>2019-04-19</t>
  </si>
  <si>
    <t>2019-05-17</t>
  </si>
  <si>
    <t>2025-04-19</t>
  </si>
  <si>
    <t>亚泰转债</t>
  </si>
  <si>
    <t>郑中设计</t>
  </si>
  <si>
    <t>2019-04-17</t>
  </si>
  <si>
    <t>2019-05-14</t>
  </si>
  <si>
    <t>2025-04-14</t>
  </si>
  <si>
    <t>永鼎转债</t>
  </si>
  <si>
    <t>永鼎股份</t>
  </si>
  <si>
    <t>2019-04-16</t>
  </si>
  <si>
    <t>2019-05-08</t>
  </si>
  <si>
    <t>2024-12-16</t>
  </si>
  <si>
    <t>雅化转债</t>
  </si>
  <si>
    <t>雅化集团</t>
  </si>
  <si>
    <t>2019-05-10</t>
  </si>
  <si>
    <t>创维转债</t>
  </si>
  <si>
    <t>创维数字</t>
  </si>
  <si>
    <t>2019-04-15</t>
  </si>
  <si>
    <t>2019-05-16</t>
  </si>
  <si>
    <t>核能转债</t>
  </si>
  <si>
    <t>中国核电</t>
  </si>
  <si>
    <t>2022-03-08</t>
  </si>
  <si>
    <t>明泰转债</t>
  </si>
  <si>
    <t>明泰铝业</t>
  </si>
  <si>
    <t>18.390</t>
  </si>
  <si>
    <t>2019-04-10</t>
  </si>
  <si>
    <t>2019-05-07</t>
  </si>
  <si>
    <t>鼎胜转债</t>
  </si>
  <si>
    <t>鼎胜新材</t>
  </si>
  <si>
    <t>12.540</t>
  </si>
  <si>
    <t>2019-04-09</t>
  </si>
  <si>
    <t>2019-04-30</t>
  </si>
  <si>
    <t>核建转债</t>
  </si>
  <si>
    <t>中国核建</t>
  </si>
  <si>
    <t>29.960</t>
  </si>
  <si>
    <t>2019-04-08</t>
  </si>
  <si>
    <t>2019-04-26</t>
  </si>
  <si>
    <t>司尔转债</t>
  </si>
  <si>
    <t>司尔特</t>
  </si>
  <si>
    <t>参林转债</t>
  </si>
  <si>
    <t>2019-04-03</t>
  </si>
  <si>
    <t>2019-04-24</t>
  </si>
  <si>
    <t>未来转债</t>
  </si>
  <si>
    <t>德尔未来</t>
  </si>
  <si>
    <t>海环转债</t>
  </si>
  <si>
    <t>海峡环保</t>
  </si>
  <si>
    <t>2019-04-02</t>
  </si>
  <si>
    <t>亚药转债</t>
  </si>
  <si>
    <t>亚太药业</t>
  </si>
  <si>
    <t>9.650</t>
  </si>
  <si>
    <t>现代转债</t>
  </si>
  <si>
    <t>国药现代</t>
  </si>
  <si>
    <t>16.160</t>
  </si>
  <si>
    <t>2019-04-01</t>
  </si>
  <si>
    <t>精测转债</t>
  </si>
  <si>
    <t>2019-03-29</t>
  </si>
  <si>
    <t>百姓转债</t>
  </si>
  <si>
    <t>老百姓</t>
  </si>
  <si>
    <t>3.270</t>
  </si>
  <si>
    <t>2019-04-22</t>
  </si>
  <si>
    <t>大丰转债</t>
  </si>
  <si>
    <t>大丰实业</t>
  </si>
  <si>
    <t>2019-03-27</t>
  </si>
  <si>
    <t>2019-04-18</t>
  </si>
  <si>
    <t>启明转债</t>
  </si>
  <si>
    <t>启明星辰</t>
  </si>
  <si>
    <t>10.450</t>
  </si>
  <si>
    <t>2020-03-03</t>
  </si>
  <si>
    <t>中装转债</t>
  </si>
  <si>
    <t>2019-03-26</t>
  </si>
  <si>
    <t>2020-02-12</t>
  </si>
  <si>
    <t>低于3千万</t>
  </si>
  <si>
    <t>招路转债</t>
  </si>
  <si>
    <t>招商公路</t>
  </si>
  <si>
    <t>2019-03-22</t>
  </si>
  <si>
    <t>2025-03-22</t>
  </si>
  <si>
    <t>2024-03-20</t>
  </si>
  <si>
    <t>岱勒转债</t>
  </si>
  <si>
    <t>岱勒新材</t>
  </si>
  <si>
    <t>2019-03-21</t>
  </si>
  <si>
    <t>2024-03-21</t>
  </si>
  <si>
    <t>2022-03-21</t>
  </si>
  <si>
    <t>迪森转债</t>
  </si>
  <si>
    <t>迪森股份</t>
  </si>
  <si>
    <t>2019-03-20</t>
  </si>
  <si>
    <t>亨通转债</t>
  </si>
  <si>
    <t>亨通光电</t>
  </si>
  <si>
    <t>17.330</t>
  </si>
  <si>
    <t>2019-03-19</t>
  </si>
  <si>
    <t>2022-11-30</t>
  </si>
  <si>
    <t>通威转债</t>
  </si>
  <si>
    <t>2019-03-18</t>
  </si>
  <si>
    <t>长信转债</t>
  </si>
  <si>
    <t>长信科技</t>
  </si>
  <si>
    <t>12.300</t>
  </si>
  <si>
    <t>伊力转债</t>
  </si>
  <si>
    <t>伊力特</t>
  </si>
  <si>
    <t>8.760</t>
  </si>
  <si>
    <t>2019-03-15</t>
  </si>
  <si>
    <t>2019-04-04</t>
  </si>
  <si>
    <t>2025-03-15</t>
  </si>
  <si>
    <t>2025-03-11</t>
  </si>
  <si>
    <t>苏银转债</t>
  </si>
  <si>
    <t>江苏银行</t>
  </si>
  <si>
    <t>2019-03-14</t>
  </si>
  <si>
    <t>2025-03-14</t>
  </si>
  <si>
    <t>浙商转债</t>
  </si>
  <si>
    <t>2019-03-12</t>
  </si>
  <si>
    <t>2019-03-28</t>
  </si>
  <si>
    <t>绝味转债</t>
  </si>
  <si>
    <t>ST绝味</t>
  </si>
  <si>
    <t>2019-03-11</t>
  </si>
  <si>
    <t>视源转债</t>
  </si>
  <si>
    <t>视源股份</t>
  </si>
  <si>
    <t>9.420</t>
  </si>
  <si>
    <t>中鼎转2</t>
  </si>
  <si>
    <t>2019-03-08</t>
  </si>
  <si>
    <t>2025-03-08</t>
  </si>
  <si>
    <t>2022-02-23</t>
  </si>
  <si>
    <t>拓邦转债</t>
  </si>
  <si>
    <t>拓邦股份</t>
  </si>
  <si>
    <t>5.730</t>
  </si>
  <si>
    <t>2019-03-07</t>
  </si>
  <si>
    <t>贵广转债</t>
  </si>
  <si>
    <t>贵广网络</t>
  </si>
  <si>
    <t>2019-03-05</t>
  </si>
  <si>
    <t>2025-03-05</t>
  </si>
  <si>
    <t>博彦转债</t>
  </si>
  <si>
    <t>博彦科技</t>
  </si>
  <si>
    <t>中信转债</t>
  </si>
  <si>
    <t>中信银行</t>
  </si>
  <si>
    <t>400.000</t>
  </si>
  <si>
    <t>2019-03-04</t>
  </si>
  <si>
    <t>万信转2</t>
  </si>
  <si>
    <t>万达信息</t>
  </si>
  <si>
    <t>2019-03-25</t>
  </si>
  <si>
    <t>长城转债</t>
  </si>
  <si>
    <t>长城科技</t>
  </si>
  <si>
    <t>6.340</t>
  </si>
  <si>
    <t>2019-03-01</t>
  </si>
  <si>
    <t>2021-12-23</t>
  </si>
  <si>
    <t>富祥转债</t>
  </si>
  <si>
    <t>富祥药业</t>
  </si>
  <si>
    <t>2020-09-03</t>
  </si>
  <si>
    <t>今飞转债</t>
  </si>
  <si>
    <t>今飞凯达</t>
  </si>
  <si>
    <t>2019-02-28</t>
  </si>
  <si>
    <t>2025-02-28</t>
  </si>
  <si>
    <t>中天转债</t>
  </si>
  <si>
    <t>中天科技</t>
  </si>
  <si>
    <t>39.650</t>
  </si>
  <si>
    <t>2021-12-16</t>
  </si>
  <si>
    <t>长青转2</t>
  </si>
  <si>
    <t>长青股份</t>
  </si>
  <si>
    <t>9.140</t>
  </si>
  <si>
    <t>2019-02-27</t>
  </si>
  <si>
    <t>中来转债</t>
  </si>
  <si>
    <t>中来股份</t>
  </si>
  <si>
    <t>2019-02-25</t>
  </si>
  <si>
    <t>2020-03-25</t>
  </si>
  <si>
    <t>中宠转债</t>
  </si>
  <si>
    <t>1.940</t>
  </si>
  <si>
    <t>2019-02-15</t>
  </si>
  <si>
    <t>2025-02-15</t>
  </si>
  <si>
    <t>尚荣转债</t>
  </si>
  <si>
    <t>尚荣医疗</t>
  </si>
  <si>
    <t>2019-02-14</t>
  </si>
  <si>
    <t>维格转债</t>
  </si>
  <si>
    <t>锦泓集团</t>
  </si>
  <si>
    <t>7.460</t>
  </si>
  <si>
    <t>2019-01-24</t>
  </si>
  <si>
    <t>2019-02-19</t>
  </si>
  <si>
    <t>联泰转债</t>
  </si>
  <si>
    <t>联泰环保</t>
  </si>
  <si>
    <t>3.900</t>
  </si>
  <si>
    <t>2019-01-23</t>
  </si>
  <si>
    <t>2019-02-18</t>
  </si>
  <si>
    <t>2025-01-17</t>
  </si>
  <si>
    <t>平银转债</t>
  </si>
  <si>
    <t>平安银行</t>
  </si>
  <si>
    <t>260.000</t>
  </si>
  <si>
    <t>2019-01-21</t>
  </si>
  <si>
    <t>2025-01-21</t>
  </si>
  <si>
    <t>2019-09-18</t>
  </si>
  <si>
    <t>冰轮转债</t>
  </si>
  <si>
    <t>冰轮环境</t>
  </si>
  <si>
    <t>5.090</t>
  </si>
  <si>
    <t>2019-01-14</t>
  </si>
  <si>
    <t>2019-02-21</t>
  </si>
  <si>
    <t>2025-01-14</t>
  </si>
  <si>
    <t>凯龙转债</t>
  </si>
  <si>
    <t>凯龙股份</t>
  </si>
  <si>
    <t>2018-12-21</t>
  </si>
  <si>
    <t>2024-12-21</t>
  </si>
  <si>
    <t>2021-03-23</t>
  </si>
  <si>
    <t>溢利转债</t>
  </si>
  <si>
    <t>溢多利</t>
  </si>
  <si>
    <t>2018-12-20</t>
  </si>
  <si>
    <t>2024-12-17</t>
  </si>
  <si>
    <t>佳都转债</t>
  </si>
  <si>
    <t>佳都科技</t>
  </si>
  <si>
    <t>8.750</t>
  </si>
  <si>
    <t>2018-12-19</t>
  </si>
  <si>
    <t>2024-12-18</t>
  </si>
  <si>
    <t>海尔转债</t>
  </si>
  <si>
    <t>海尔智家</t>
  </si>
  <si>
    <t>30.070</t>
  </si>
  <si>
    <t>2018-12-18</t>
  </si>
  <si>
    <t>2019-01-18</t>
  </si>
  <si>
    <t>台华转债</t>
  </si>
  <si>
    <t>5.330</t>
  </si>
  <si>
    <t>2018-12-17</t>
  </si>
  <si>
    <t>2019-01-11</t>
  </si>
  <si>
    <t>奇精转债</t>
  </si>
  <si>
    <t>奇精机械</t>
  </si>
  <si>
    <t>2018-12-14</t>
  </si>
  <si>
    <t>2019-01-07</t>
  </si>
  <si>
    <t>2024-12-14</t>
  </si>
  <si>
    <t>2024-12-10</t>
  </si>
  <si>
    <t>光华转债</t>
  </si>
  <si>
    <t>光华科技</t>
  </si>
  <si>
    <t>2.490</t>
  </si>
  <si>
    <t>2019-01-09</t>
  </si>
  <si>
    <t>钧达转债</t>
  </si>
  <si>
    <t>钧达股份</t>
  </si>
  <si>
    <t>2018-12-10</t>
  </si>
  <si>
    <t>2018-12-27</t>
  </si>
  <si>
    <t>伟明转债</t>
  </si>
  <si>
    <t>2018-12-26</t>
  </si>
  <si>
    <t>2018-12-07</t>
  </si>
  <si>
    <t>2018-12-28</t>
  </si>
  <si>
    <t>2024-12-07</t>
  </si>
  <si>
    <t>2024-12-03</t>
  </si>
  <si>
    <t>华源转债</t>
  </si>
  <si>
    <t>华源控股</t>
  </si>
  <si>
    <t>2018-11-27</t>
  </si>
  <si>
    <t>旭升转债</t>
  </si>
  <si>
    <t>2018-11-22</t>
  </si>
  <si>
    <t>2018-12-11</t>
  </si>
  <si>
    <t>2020-02-27</t>
  </si>
  <si>
    <t>山鹰转债</t>
  </si>
  <si>
    <t>2018-11-21</t>
  </si>
  <si>
    <t>寒锐转债</t>
  </si>
  <si>
    <t>寒锐钴业</t>
  </si>
  <si>
    <t>2018-11-20</t>
  </si>
  <si>
    <t>2018-12-24</t>
  </si>
  <si>
    <t>圆通转债</t>
  </si>
  <si>
    <t>圆通速递</t>
  </si>
  <si>
    <t>36.500</t>
  </si>
  <si>
    <t>桐昆转债</t>
  </si>
  <si>
    <t>2018-11-19</t>
  </si>
  <si>
    <t>2018-12-12</t>
  </si>
  <si>
    <t>2020-11-26</t>
  </si>
  <si>
    <t>特发转债</t>
  </si>
  <si>
    <t>4.190</t>
  </si>
  <si>
    <t>2018-11-16</t>
  </si>
  <si>
    <t>2018-12-25</t>
  </si>
  <si>
    <t>科森转债</t>
  </si>
  <si>
    <t>科森科技</t>
  </si>
  <si>
    <t>2024-11-16</t>
  </si>
  <si>
    <t>张行转债</t>
  </si>
  <si>
    <t>张家港行</t>
  </si>
  <si>
    <t>2018-11-12</t>
  </si>
  <si>
    <t>2018-11-29</t>
  </si>
  <si>
    <t>百合转债</t>
  </si>
  <si>
    <t>梦百合</t>
  </si>
  <si>
    <t>2018-11-08</t>
  </si>
  <si>
    <t>2018-11-26</t>
  </si>
  <si>
    <t>长久转债</t>
  </si>
  <si>
    <t>长久物流</t>
  </si>
  <si>
    <t>2018-11-07</t>
  </si>
  <si>
    <t>2018-11-30</t>
  </si>
  <si>
    <t>2024-11-01</t>
  </si>
  <si>
    <t>洲明转债</t>
  </si>
  <si>
    <t>洲明科技</t>
  </si>
  <si>
    <t>5.480</t>
  </si>
  <si>
    <t>2018-12-03</t>
  </si>
  <si>
    <t>光电转债</t>
  </si>
  <si>
    <t>中航光电</t>
  </si>
  <si>
    <t>2018-11-05</t>
  </si>
  <si>
    <t>2024-11-05</t>
  </si>
  <si>
    <t>利尔转债</t>
  </si>
  <si>
    <t>利尔化学</t>
  </si>
  <si>
    <t>8.520</t>
  </si>
  <si>
    <t>2018-10-17</t>
  </si>
  <si>
    <t>2018-11-09</t>
  </si>
  <si>
    <t>顾家转债</t>
  </si>
  <si>
    <t>顾家家居</t>
  </si>
  <si>
    <t>10.970</t>
  </si>
  <si>
    <t>2018-09-12</t>
  </si>
  <si>
    <t>2018-10-09</t>
  </si>
  <si>
    <t>2024-09-11</t>
  </si>
  <si>
    <t>机电转债</t>
  </si>
  <si>
    <t>中航机电</t>
  </si>
  <si>
    <t>21.000</t>
  </si>
  <si>
    <t>2018-08-27</t>
  </si>
  <si>
    <t>2018-09-14</t>
  </si>
  <si>
    <t>2024-08-27</t>
  </si>
  <si>
    <t>岭南转债</t>
  </si>
  <si>
    <t>ST岭南</t>
  </si>
  <si>
    <t>2018-08-14</t>
  </si>
  <si>
    <t>2018-09-04</t>
  </si>
  <si>
    <t>2024-08-09</t>
  </si>
  <si>
    <t>Z蓝转退</t>
  </si>
  <si>
    <t>蓝盾退</t>
  </si>
  <si>
    <t>5.380</t>
  </si>
  <si>
    <t>2018-08-13</t>
  </si>
  <si>
    <t>2018-09-13</t>
  </si>
  <si>
    <t>曙光转债</t>
  </si>
  <si>
    <t>中科曙光</t>
  </si>
  <si>
    <t>2018-08-06</t>
  </si>
  <si>
    <t>2018-08-23</t>
  </si>
  <si>
    <t>2020-03-30</t>
  </si>
  <si>
    <t>苏农转债</t>
  </si>
  <si>
    <t>苏农银行</t>
  </si>
  <si>
    <t>2018-08-02</t>
  </si>
  <si>
    <t>2018-08-20</t>
  </si>
  <si>
    <t>东音转债</t>
  </si>
  <si>
    <t>罗欣药业</t>
  </si>
  <si>
    <t>2.810</t>
  </si>
  <si>
    <t>凯中转债</t>
  </si>
  <si>
    <t>凯中精密</t>
  </si>
  <si>
    <t>4.160</t>
  </si>
  <si>
    <t>2018-07-30</t>
  </si>
  <si>
    <t>2018-09-03</t>
  </si>
  <si>
    <t>2024-07-30</t>
  </si>
  <si>
    <t>2024-07-25</t>
  </si>
  <si>
    <t>凯发转债</t>
  </si>
  <si>
    <t>凯发电气</t>
  </si>
  <si>
    <t>2018-07-27</t>
  </si>
  <si>
    <t>2018-08-21</t>
  </si>
  <si>
    <t>横河转债</t>
  </si>
  <si>
    <t>横河精密</t>
  </si>
  <si>
    <t>1.400</t>
  </si>
  <si>
    <t>2018-07-26</t>
  </si>
  <si>
    <t>2024-07-23</t>
  </si>
  <si>
    <t>高能转债</t>
  </si>
  <si>
    <t>高能环境</t>
  </si>
  <si>
    <t>威帝转债</t>
  </si>
  <si>
    <t>威帝股份</t>
  </si>
  <si>
    <t>2018-07-20</t>
  </si>
  <si>
    <t>万顺转债</t>
  </si>
  <si>
    <t>2018-08-29</t>
  </si>
  <si>
    <t>2024-07-20</t>
  </si>
  <si>
    <t>2024-07-16</t>
  </si>
  <si>
    <t>德尔转债</t>
  </si>
  <si>
    <t>德尔股份</t>
  </si>
  <si>
    <t>2018-07-18</t>
  </si>
  <si>
    <t>2024-07-18</t>
  </si>
  <si>
    <t>盛路转债</t>
  </si>
  <si>
    <t>盛路通信</t>
  </si>
  <si>
    <t>2018-07-17</t>
  </si>
  <si>
    <t>2024-07-11</t>
  </si>
  <si>
    <t>海澜转债</t>
  </si>
  <si>
    <t>海澜之家</t>
  </si>
  <si>
    <t>2018-07-13</t>
  </si>
  <si>
    <t>2018-07-31</t>
  </si>
  <si>
    <t>2024-07-13</t>
  </si>
  <si>
    <t>安井转债</t>
  </si>
  <si>
    <t>2018-07-12</t>
  </si>
  <si>
    <t>景旺转债</t>
  </si>
  <si>
    <t>2018-07-06</t>
  </si>
  <si>
    <t>2018-07-24</t>
  </si>
  <si>
    <t>2019-04-23</t>
  </si>
  <si>
    <t>博世转债</t>
  </si>
  <si>
    <t>博世科</t>
  </si>
  <si>
    <t>2018-07-05</t>
  </si>
  <si>
    <t>湖广转债</t>
  </si>
  <si>
    <t>湖北广电</t>
  </si>
  <si>
    <t>2018-06-28</t>
  </si>
  <si>
    <t>2018-08-01</t>
  </si>
  <si>
    <t>2024-06-25</t>
  </si>
  <si>
    <t>广电转债</t>
  </si>
  <si>
    <t>广电网络</t>
  </si>
  <si>
    <t>2018-06-27</t>
  </si>
  <si>
    <t>2024-06-27</t>
  </si>
  <si>
    <t>千禾转债</t>
  </si>
  <si>
    <t>千禾味业</t>
  </si>
  <si>
    <t>2018-06-20</t>
  </si>
  <si>
    <t>2018-07-10</t>
  </si>
  <si>
    <t>再升转债</t>
  </si>
  <si>
    <t>1.140</t>
  </si>
  <si>
    <t>2018-06-19</t>
  </si>
  <si>
    <t>2024-06-18</t>
  </si>
  <si>
    <t>华通转债</t>
  </si>
  <si>
    <t>浙农股份</t>
  </si>
  <si>
    <t>2.240</t>
  </si>
  <si>
    <t>2018-06-14</t>
  </si>
  <si>
    <t>2024-06-13</t>
  </si>
  <si>
    <t>三力转债</t>
  </si>
  <si>
    <t>三力士</t>
  </si>
  <si>
    <t>2018-06-08</t>
  </si>
  <si>
    <t>2018-06-29</t>
  </si>
  <si>
    <t>2024-06-08</t>
  </si>
  <si>
    <t>新泉转债</t>
  </si>
  <si>
    <t>2018-06-04</t>
  </si>
  <si>
    <t>2018-06-22</t>
  </si>
  <si>
    <t>2021-08-17</t>
  </si>
  <si>
    <t>新凤转债</t>
  </si>
  <si>
    <t>21.530</t>
  </si>
  <si>
    <t>2018-04-26</t>
  </si>
  <si>
    <t>2018-05-16</t>
  </si>
  <si>
    <t>2024-04-25</t>
  </si>
  <si>
    <t>2021-08-31</t>
  </si>
  <si>
    <t>天马转债</t>
  </si>
  <si>
    <t>天马科技</t>
  </si>
  <si>
    <t>3.050</t>
  </si>
  <si>
    <t>2018-04-17</t>
  </si>
  <si>
    <t>2018-05-07</t>
  </si>
  <si>
    <t>鼎信转债</t>
  </si>
  <si>
    <t>鼎信通讯</t>
  </si>
  <si>
    <t>2018-04-16</t>
  </si>
  <si>
    <t>2018-05-14</t>
  </si>
  <si>
    <t>2024-04-16</t>
  </si>
  <si>
    <t>利欧转债</t>
  </si>
  <si>
    <t>利欧股份</t>
  </si>
  <si>
    <t>2018-03-22</t>
  </si>
  <si>
    <t>2018-04-19</t>
  </si>
  <si>
    <t>2024-03-22</t>
  </si>
  <si>
    <t>岩土转债</t>
  </si>
  <si>
    <t>中化岩土</t>
  </si>
  <si>
    <t>6.040</t>
  </si>
  <si>
    <t>2018-03-15</t>
  </si>
  <si>
    <t>2018-04-25</t>
  </si>
  <si>
    <t>2024-03-15</t>
  </si>
  <si>
    <t>2024-03-12</t>
  </si>
  <si>
    <t>敖东转债</t>
  </si>
  <si>
    <t>吉林敖东</t>
  </si>
  <si>
    <t>24.130</t>
  </si>
  <si>
    <t>2018-03-13</t>
  </si>
  <si>
    <t>2018-05-11</t>
  </si>
  <si>
    <t>2024-03-13</t>
  </si>
  <si>
    <t>2024-03-08</t>
  </si>
  <si>
    <t>长证转债</t>
  </si>
  <si>
    <t>长江证券</t>
  </si>
  <si>
    <t>2018-03-12</t>
  </si>
  <si>
    <t>2018-04-11</t>
  </si>
  <si>
    <t>金农转债</t>
  </si>
  <si>
    <t>金新农</t>
  </si>
  <si>
    <t>2018-03-09</t>
  </si>
  <si>
    <t>2018-04-02</t>
  </si>
  <si>
    <t>2024-03-09</t>
  </si>
  <si>
    <t>2024-03-05</t>
  </si>
  <si>
    <t>星源转债</t>
  </si>
  <si>
    <t>2018-03-07</t>
  </si>
  <si>
    <t>2018-04-10</t>
  </si>
  <si>
    <t>杭电转债</t>
  </si>
  <si>
    <t>杭电股份</t>
  </si>
  <si>
    <t>2018-03-06</t>
  </si>
  <si>
    <t>2018-03-27</t>
  </si>
  <si>
    <t>艾华转债</t>
  </si>
  <si>
    <t>艾华集团</t>
  </si>
  <si>
    <t>6.910</t>
  </si>
  <si>
    <t>2018-03-02</t>
  </si>
  <si>
    <t>2018-03-23</t>
  </si>
  <si>
    <t>2024-03-02</t>
  </si>
  <si>
    <t>2024-02-27</t>
  </si>
  <si>
    <t>玲珑转债</t>
  </si>
  <si>
    <t>玲珑轮胎</t>
  </si>
  <si>
    <t>2018-03-01</t>
  </si>
  <si>
    <t>大族转债</t>
  </si>
  <si>
    <t>大族激光</t>
  </si>
  <si>
    <t>2018-02-06</t>
  </si>
  <si>
    <t>2018-03-05</t>
  </si>
  <si>
    <t>康泰转债</t>
  </si>
  <si>
    <t>2018-02-01</t>
  </si>
  <si>
    <t>2018-03-19</t>
  </si>
  <si>
    <t>无锡转债</t>
  </si>
  <si>
    <t>无锡银行</t>
  </si>
  <si>
    <t>2018-01-30</t>
  </si>
  <si>
    <t>2018-03-14</t>
  </si>
  <si>
    <t>江银转债</t>
  </si>
  <si>
    <t>江阴银行</t>
  </si>
  <si>
    <t>2018-01-26</t>
  </si>
  <si>
    <t>2018-02-14</t>
  </si>
  <si>
    <t>常熟转债</t>
  </si>
  <si>
    <t>2018-01-19</t>
  </si>
  <si>
    <t>道氏转债</t>
  </si>
  <si>
    <t>2017-12-28</t>
  </si>
  <si>
    <t>迪龙转债</t>
  </si>
  <si>
    <t>雪迪龙</t>
  </si>
  <si>
    <t>2017-12-27</t>
  </si>
  <si>
    <t>2018-01-29</t>
  </si>
  <si>
    <t>2023-12-27</t>
  </si>
  <si>
    <t>吉视转债</t>
  </si>
  <si>
    <t>吉视传媒</t>
  </si>
  <si>
    <t>15.600</t>
  </si>
  <si>
    <t>2018-01-15</t>
  </si>
  <si>
    <t>双环转债</t>
  </si>
  <si>
    <t>双环传动</t>
  </si>
  <si>
    <t>2017-12-25</t>
  </si>
  <si>
    <t>2018-01-25</t>
  </si>
  <si>
    <t>航电转债</t>
  </si>
  <si>
    <t>中航机载</t>
  </si>
  <si>
    <t>2023-12-24</t>
  </si>
  <si>
    <t>太阳转债</t>
  </si>
  <si>
    <t>太阳纸业</t>
  </si>
  <si>
    <t>2017-12-22</t>
  </si>
  <si>
    <t>2018-01-16</t>
  </si>
  <si>
    <t>天康转债</t>
  </si>
  <si>
    <t>天康生物</t>
  </si>
  <si>
    <t>蒙电转债</t>
  </si>
  <si>
    <t>内蒙华电</t>
  </si>
  <si>
    <t>18.750</t>
  </si>
  <si>
    <t>2018-01-09</t>
  </si>
  <si>
    <t>赣锋转债</t>
  </si>
  <si>
    <t>9.280</t>
  </si>
  <si>
    <t>2017-12-21</t>
  </si>
  <si>
    <t>东财转债</t>
  </si>
  <si>
    <t>46.500</t>
  </si>
  <si>
    <t>2017-12-20</t>
  </si>
  <si>
    <t>万信转债</t>
  </si>
  <si>
    <t>2017-12-19</t>
  </si>
  <si>
    <t>铁汉转债</t>
  </si>
  <si>
    <t>节能铁汉</t>
  </si>
  <si>
    <t>2017-12-18</t>
  </si>
  <si>
    <t>2023-12-18</t>
  </si>
  <si>
    <t>崇达转债</t>
  </si>
  <si>
    <t>2017-12-15</t>
  </si>
  <si>
    <t>2018-01-22</t>
  </si>
  <si>
    <t>2019-10-09</t>
  </si>
  <si>
    <t>泰晶转债</t>
  </si>
  <si>
    <t>泰晶科技</t>
  </si>
  <si>
    <t>2.150</t>
  </si>
  <si>
    <t>2018-01-02</t>
  </si>
  <si>
    <t>2020-05-26</t>
  </si>
  <si>
    <t>众兴转债</t>
  </si>
  <si>
    <t>众兴菌业</t>
  </si>
  <si>
    <t>9.200</t>
  </si>
  <si>
    <t>2017-12-13</t>
  </si>
  <si>
    <t>2018-01-03</t>
  </si>
  <si>
    <t>蓝思转债</t>
  </si>
  <si>
    <t>蓝思科技</t>
  </si>
  <si>
    <t>2017-12-08</t>
  </si>
  <si>
    <t>2018-01-17</t>
  </si>
  <si>
    <t>2020-02-07</t>
  </si>
  <si>
    <t>特一转债</t>
  </si>
  <si>
    <t>特一药业</t>
  </si>
  <si>
    <t>2017-12-06</t>
  </si>
  <si>
    <t>宁行转债</t>
  </si>
  <si>
    <t>宁波银行</t>
  </si>
  <si>
    <t>2017-12-05</t>
  </si>
  <si>
    <t>2018-01-12</t>
  </si>
  <si>
    <t>2019-08-21</t>
  </si>
  <si>
    <t>亚太转债</t>
  </si>
  <si>
    <t>亚太股份</t>
  </si>
  <si>
    <t>2017-12-04</t>
  </si>
  <si>
    <t>2017-12-26</t>
  </si>
  <si>
    <t>众信转债</t>
  </si>
  <si>
    <t>众信旅游</t>
  </si>
  <si>
    <t>2017-12-01</t>
  </si>
  <si>
    <t>兄弟转债</t>
  </si>
  <si>
    <t>兄弟科技</t>
  </si>
  <si>
    <t>2017-11-28</t>
  </si>
  <si>
    <t>国祯转债</t>
  </si>
  <si>
    <t>节能国祯</t>
  </si>
  <si>
    <t>5.970</t>
  </si>
  <si>
    <t>2017-11-24</t>
  </si>
  <si>
    <t>生益转债</t>
  </si>
  <si>
    <t>生益科技</t>
  </si>
  <si>
    <t>2017-12-11</t>
  </si>
  <si>
    <t>2019-07-31</t>
  </si>
  <si>
    <t>水晶转债</t>
  </si>
  <si>
    <t>水晶光电</t>
  </si>
  <si>
    <t>11.800</t>
  </si>
  <si>
    <t>2017-11-17</t>
  </si>
  <si>
    <t>2017-12-12</t>
  </si>
  <si>
    <t>宝信转债</t>
  </si>
  <si>
    <t>宝信软件</t>
  </si>
  <si>
    <t>济川转债</t>
  </si>
  <si>
    <t>济川药业</t>
  </si>
  <si>
    <t>8.430</t>
  </si>
  <si>
    <t>2017-11-13</t>
  </si>
  <si>
    <t>2017-11-29</t>
  </si>
  <si>
    <t>2022-11-12</t>
  </si>
  <si>
    <t>2022-11-08</t>
  </si>
  <si>
    <t>嘉澳转债</t>
  </si>
  <si>
    <t>嘉澳环保</t>
  </si>
  <si>
    <t>2017-11-10</t>
  </si>
  <si>
    <t>2017-11-27</t>
  </si>
  <si>
    <t>久立转2</t>
  </si>
  <si>
    <t>久立特材</t>
  </si>
  <si>
    <t>2017-11-08</t>
  </si>
  <si>
    <t>小康转债</t>
  </si>
  <si>
    <t>赛力斯</t>
  </si>
  <si>
    <t>2017-11-06</t>
  </si>
  <si>
    <t>2017-11-21</t>
  </si>
  <si>
    <t>时达转债</t>
  </si>
  <si>
    <t>新时达</t>
  </si>
  <si>
    <t>8.830</t>
  </si>
  <si>
    <t>隆基转债</t>
  </si>
  <si>
    <t>2017-11-02</t>
  </si>
  <si>
    <t>2017-11-20</t>
  </si>
  <si>
    <t>2023-11-01</t>
  </si>
  <si>
    <t>2019-09-03</t>
  </si>
  <si>
    <t>金禾转债</t>
  </si>
  <si>
    <t>金禾实业</t>
  </si>
  <si>
    <t>2017-11-01</t>
  </si>
  <si>
    <t>林洋转债</t>
  </si>
  <si>
    <t>林洋能源</t>
  </si>
  <si>
    <t>2017-10-27</t>
  </si>
  <si>
    <t>2021-09-28</t>
  </si>
  <si>
    <t>雨虹转债</t>
  </si>
  <si>
    <t>东方雨虹</t>
  </si>
  <si>
    <t>18.400</t>
  </si>
  <si>
    <t>2017-09-25</t>
  </si>
  <si>
    <t>2017-10-20</t>
  </si>
  <si>
    <t>2020-03-27</t>
  </si>
  <si>
    <t>国君转债</t>
  </si>
  <si>
    <t>国泰海通</t>
  </si>
  <si>
    <t>2017-07-07</t>
  </si>
  <si>
    <t>2017-07-24</t>
  </si>
  <si>
    <t>久其转债</t>
  </si>
  <si>
    <t>久其软件</t>
  </si>
  <si>
    <t>2017-06-08</t>
  </si>
  <si>
    <t>2017-06-27</t>
  </si>
  <si>
    <t>模塑转债</t>
  </si>
  <si>
    <t>模塑科技</t>
  </si>
  <si>
    <t>8.140</t>
  </si>
  <si>
    <t>2017-06-02</t>
  </si>
  <si>
    <t>2017-06-26</t>
  </si>
  <si>
    <t>永东转债</t>
  </si>
  <si>
    <t>2017-04-17</t>
  </si>
  <si>
    <t>2017-05-12</t>
  </si>
  <si>
    <t>骆驼转债</t>
  </si>
  <si>
    <t>骆驼股份</t>
  </si>
  <si>
    <t>7.170</t>
  </si>
  <si>
    <t>2017-03-24</t>
  </si>
  <si>
    <t>2017-04-13</t>
  </si>
  <si>
    <t>2021-09-02</t>
  </si>
  <si>
    <t>光大转债</t>
  </si>
  <si>
    <t>光大银行</t>
  </si>
  <si>
    <t>300.000</t>
  </si>
  <si>
    <t>2017-03-17</t>
  </si>
  <si>
    <t>2017-04-05</t>
  </si>
  <si>
    <t>2023-03-13</t>
  </si>
  <si>
    <t>2025-07-11</t>
  </si>
  <si>
    <t>2025-05-12</t>
  </si>
  <si>
    <t>澳弘转债</t>
  </si>
  <si>
    <t>澳弘电子</t>
  </si>
  <si>
    <t>5.800</t>
  </si>
  <si>
    <t>2025-12-11申购 申购代码 713058</t>
  </si>
  <si>
    <t>2023-12-23</t>
  </si>
  <si>
    <t>2024-01-09</t>
  </si>
  <si>
    <t>2031-12-10</t>
  </si>
  <si>
    <t>神宇转债</t>
  </si>
  <si>
    <t>神宇股份</t>
  </si>
  <si>
    <t>鼎捷转债</t>
  </si>
  <si>
    <t>鼎捷数智</t>
  </si>
  <si>
    <t>8.280</t>
  </si>
  <si>
    <t>2031-12-15</t>
  </si>
  <si>
    <t>天准转债</t>
  </si>
  <si>
    <t>天准科技</t>
  </si>
  <si>
    <t>2025-05-20</t>
  </si>
  <si>
    <t>2031-12-11</t>
  </si>
  <si>
    <t>汇车退债</t>
  </si>
  <si>
    <t>汇车5</t>
  </si>
  <si>
    <t>天山电子</t>
  </si>
  <si>
    <t>9.560</t>
  </si>
  <si>
    <t>强达电路</t>
  </si>
  <si>
    <t>洪涛转债</t>
  </si>
  <si>
    <t>*ST洪涛</t>
  </si>
  <si>
    <t>12.00</t>
  </si>
  <si>
    <t>2016-07-29</t>
  </si>
  <si>
    <t>2016-08-23</t>
  </si>
  <si>
    <t>海印转债</t>
  </si>
  <si>
    <t>海印股份</t>
  </si>
  <si>
    <t>11.11</t>
  </si>
  <si>
    <t>2016-06-08</t>
  </si>
  <si>
    <t>2016-07-01</t>
  </si>
  <si>
    <t>2022-06-08</t>
  </si>
  <si>
    <t>辉丰转债</t>
  </si>
  <si>
    <t>*ST辉丰</t>
  </si>
  <si>
    <t>8.45</t>
  </si>
  <si>
    <t>2016-04-21</t>
  </si>
  <si>
    <t>2016-05-17</t>
  </si>
  <si>
    <t>2020-05-25</t>
  </si>
  <si>
    <t>江南转债</t>
  </si>
  <si>
    <t>江南水务</t>
  </si>
  <si>
    <t>7.60</t>
  </si>
  <si>
    <t>2016-03-18</t>
  </si>
  <si>
    <t>2016-04-05</t>
  </si>
  <si>
    <t>2019-01-29</t>
  </si>
  <si>
    <t>汽模转债</t>
  </si>
  <si>
    <t>4.20</t>
  </si>
  <si>
    <t>2016-03-02</t>
  </si>
  <si>
    <t>2016-03-24</t>
  </si>
  <si>
    <t>2017-08-08</t>
  </si>
  <si>
    <t>白云转债</t>
  </si>
  <si>
    <t>白云机场</t>
  </si>
  <si>
    <t>35.00</t>
  </si>
  <si>
    <t>2016-02-26</t>
  </si>
  <si>
    <t>2016-03-15</t>
  </si>
  <si>
    <t>2021-02-26</t>
  </si>
  <si>
    <t>2017-06-06</t>
  </si>
  <si>
    <t>广汽转债</t>
  </si>
  <si>
    <t>广汽集团</t>
  </si>
  <si>
    <t>41.06</t>
  </si>
  <si>
    <t>2016-01-22</t>
  </si>
  <si>
    <t>2016-02-04</t>
  </si>
  <si>
    <t>2022-01-22</t>
  </si>
  <si>
    <t>蔚蓝转债</t>
  </si>
  <si>
    <t>蔚蓝锂芯</t>
  </si>
  <si>
    <t>5.10</t>
  </si>
  <si>
    <t>2016-02-23</t>
  </si>
  <si>
    <t>九州转债</t>
  </si>
  <si>
    <t>九州通</t>
  </si>
  <si>
    <t>15.00</t>
  </si>
  <si>
    <t>2016-01-15</t>
  </si>
  <si>
    <t>2016-01-29</t>
  </si>
  <si>
    <t>2022-01-15</t>
  </si>
  <si>
    <t>国贸转债</t>
  </si>
  <si>
    <t>厦门国贸</t>
  </si>
  <si>
    <t>28.00</t>
  </si>
  <si>
    <t>2016-01-05</t>
  </si>
  <si>
    <t>2016-01-19</t>
  </si>
  <si>
    <t>三一转债</t>
  </si>
  <si>
    <t>三一重工</t>
  </si>
  <si>
    <t>45.00</t>
  </si>
  <si>
    <t>2016-01-04</t>
  </si>
  <si>
    <t>2016-01-18</t>
  </si>
  <si>
    <t>蓝标转债</t>
  </si>
  <si>
    <t>蓝色光标</t>
  </si>
  <si>
    <t>14.00</t>
  </si>
  <si>
    <t>2015-12-18</t>
  </si>
  <si>
    <t>2016-01-08</t>
  </si>
  <si>
    <t>2021-12-18</t>
  </si>
  <si>
    <t>2019-10-10</t>
  </si>
  <si>
    <t>航信转债</t>
  </si>
  <si>
    <t>航天信息</t>
  </si>
  <si>
    <t>24.00</t>
  </si>
  <si>
    <t>2015-06-12</t>
  </si>
  <si>
    <t>2015-06-30</t>
  </si>
  <si>
    <t>2021-06-12</t>
  </si>
  <si>
    <t>电气转债</t>
  </si>
  <si>
    <t>上海电气</t>
  </si>
  <si>
    <t>60.00</t>
  </si>
  <si>
    <t>2015-02-02</t>
  </si>
  <si>
    <t>2015-02-16</t>
  </si>
  <si>
    <t>格力转债</t>
  </si>
  <si>
    <t>珠免集团</t>
  </si>
  <si>
    <t>9.80</t>
  </si>
  <si>
    <t>2014-12-25</t>
  </si>
  <si>
    <t>2015-01-13</t>
  </si>
  <si>
    <t>2019-12-10</t>
  </si>
  <si>
    <t>歌尔转债</t>
  </si>
  <si>
    <t>25.00</t>
  </si>
  <si>
    <t>2014-12-12</t>
  </si>
  <si>
    <t>2014-12-26</t>
  </si>
  <si>
    <t>2020-12-12</t>
  </si>
  <si>
    <t>2017-06-30</t>
  </si>
  <si>
    <t>洛钼转债</t>
  </si>
  <si>
    <t>洛阳钼业</t>
  </si>
  <si>
    <t>49.00</t>
  </si>
  <si>
    <t>2014-12-02</t>
  </si>
  <si>
    <t>2014-12-16</t>
  </si>
  <si>
    <t>2015-07-09</t>
  </si>
  <si>
    <t>浙能转债</t>
  </si>
  <si>
    <t>浙能电力</t>
  </si>
  <si>
    <t>100.00</t>
  </si>
  <si>
    <t>2014-10-13</t>
  </si>
  <si>
    <t>2014-10-28</t>
  </si>
  <si>
    <t>2015-05-26</t>
  </si>
  <si>
    <t>齐峰转债</t>
  </si>
  <si>
    <t>齐峰新材</t>
  </si>
  <si>
    <t>2014-09-15</t>
  </si>
  <si>
    <t>2014-10-10</t>
  </si>
  <si>
    <t>2019-09-14</t>
  </si>
  <si>
    <t>2015-06-05</t>
  </si>
  <si>
    <t>17.00</t>
  </si>
  <si>
    <t>2014-09-05</t>
  </si>
  <si>
    <t>2014-09-25</t>
  </si>
  <si>
    <t>2020-09-05</t>
  </si>
  <si>
    <t>2015-07-07</t>
  </si>
  <si>
    <t>通鼎转债</t>
  </si>
  <si>
    <t>通鼎互联</t>
  </si>
  <si>
    <t>6.00</t>
  </si>
  <si>
    <t>2014-08-15</t>
  </si>
  <si>
    <t>2020-08-15</t>
  </si>
  <si>
    <t>2015-06-19</t>
  </si>
  <si>
    <t>冠城转债</t>
  </si>
  <si>
    <t>冠城新材</t>
  </si>
  <si>
    <t>18.00</t>
  </si>
  <si>
    <t>2014-07-18</t>
  </si>
  <si>
    <t>2014-08-01</t>
  </si>
  <si>
    <t>2020-07-18</t>
  </si>
  <si>
    <t>2015-04-23</t>
  </si>
  <si>
    <t>东方转债</t>
  </si>
  <si>
    <t>东方电气</t>
  </si>
  <si>
    <t>40.00</t>
  </si>
  <si>
    <t>2014-07-10</t>
  </si>
  <si>
    <t>2014-07-25</t>
  </si>
  <si>
    <t>长青转债</t>
  </si>
  <si>
    <t>6.32</t>
  </si>
  <si>
    <t>2014-06-20</t>
  </si>
  <si>
    <t>2014-07-09</t>
  </si>
  <si>
    <t>2015-04-15</t>
  </si>
  <si>
    <t>国金转债</t>
  </si>
  <si>
    <t>国金证券</t>
  </si>
  <si>
    <t>2014-05-14</t>
  </si>
  <si>
    <t>2014-06-03</t>
  </si>
  <si>
    <t>2014-12-29</t>
  </si>
  <si>
    <t>齐翔转债</t>
  </si>
  <si>
    <t>12.40</t>
  </si>
  <si>
    <t>2014-04-18</t>
  </si>
  <si>
    <t>2014-05-13</t>
  </si>
  <si>
    <t>2015-05-19</t>
  </si>
  <si>
    <t>久立转债</t>
  </si>
  <si>
    <t>4.87</t>
  </si>
  <si>
    <t>2014-02-25</t>
  </si>
  <si>
    <t>2014-03-14</t>
  </si>
  <si>
    <t>2014-12-23</t>
  </si>
  <si>
    <t>深燃转债</t>
  </si>
  <si>
    <t>16.00</t>
  </si>
  <si>
    <t>2013-12-13</t>
  </si>
  <si>
    <t>2013-12-27</t>
  </si>
  <si>
    <t>2015-04-30</t>
  </si>
  <si>
    <t>平安转债</t>
  </si>
  <si>
    <t>中国平安</t>
  </si>
  <si>
    <t>260.00</t>
  </si>
  <si>
    <t>2013-11-22</t>
  </si>
  <si>
    <t>2013-12-09</t>
  </si>
  <si>
    <t>2015-01-09</t>
  </si>
  <si>
    <t>徐工转债</t>
  </si>
  <si>
    <t>徐工机械</t>
  </si>
  <si>
    <t>2013-10-25</t>
  </si>
  <si>
    <t>2013-11-15</t>
  </si>
  <si>
    <t>2015-02-05</t>
  </si>
  <si>
    <t>隧道转债</t>
  </si>
  <si>
    <t>隧道股份</t>
  </si>
  <si>
    <t>26.00</t>
  </si>
  <si>
    <t>2013-09-13</t>
  </si>
  <si>
    <t>2013-09-30</t>
  </si>
  <si>
    <t>2019-09-13</t>
  </si>
  <si>
    <t>2014-12-11</t>
  </si>
  <si>
    <t>华天转债</t>
  </si>
  <si>
    <t>华天科技</t>
  </si>
  <si>
    <t>4.61</t>
  </si>
  <si>
    <t>2013-08-12</t>
  </si>
  <si>
    <t>2013-08-28</t>
  </si>
  <si>
    <t>2019-08-12</t>
  </si>
  <si>
    <t>2014-11-27</t>
  </si>
  <si>
    <t>东华转债</t>
  </si>
  <si>
    <t>东华软件</t>
  </si>
  <si>
    <t>10.00</t>
  </si>
  <si>
    <t>2013-07-26</t>
  </si>
  <si>
    <t>2013-08-19</t>
  </si>
  <si>
    <t>2015-05-20</t>
  </si>
  <si>
    <t>民生转债</t>
  </si>
  <si>
    <t>民生银行</t>
  </si>
  <si>
    <t>200.00</t>
  </si>
  <si>
    <t>2013-03-15</t>
  </si>
  <si>
    <t>2013-03-29</t>
  </si>
  <si>
    <t>2015-06-24</t>
  </si>
  <si>
    <t>泰尔转债</t>
  </si>
  <si>
    <t>泰尔股份</t>
  </si>
  <si>
    <t>3.20</t>
  </si>
  <si>
    <t>2013-01-09</t>
  </si>
  <si>
    <t>2013-01-28</t>
  </si>
  <si>
    <t>2018-01-08</t>
  </si>
  <si>
    <t>2014-11-10</t>
  </si>
  <si>
    <t>海直转债</t>
  </si>
  <si>
    <t>中信海直</t>
  </si>
  <si>
    <t>6.50</t>
  </si>
  <si>
    <t>2012-12-19</t>
  </si>
  <si>
    <t>2013-01-07</t>
  </si>
  <si>
    <t>2014-09-22</t>
  </si>
  <si>
    <t>同仁转债</t>
  </si>
  <si>
    <t>同仁堂</t>
  </si>
  <si>
    <t>12.05</t>
  </si>
  <si>
    <t>2012-12-04</t>
  </si>
  <si>
    <t>2012-12-18</t>
  </si>
  <si>
    <t>2015-03-03</t>
  </si>
  <si>
    <t>南山转债</t>
  </si>
  <si>
    <t>南山铝业</t>
  </si>
  <si>
    <t>2012-10-16</t>
  </si>
  <si>
    <t>2012-10-31</t>
  </si>
  <si>
    <t>2018-10-16</t>
  </si>
  <si>
    <t>2015-03-10</t>
  </si>
  <si>
    <t>重工转债</t>
  </si>
  <si>
    <t>中国重工</t>
  </si>
  <si>
    <t>80.50</t>
  </si>
  <si>
    <t>2012-06-04</t>
  </si>
  <si>
    <t>2012-06-18</t>
  </si>
  <si>
    <t>2014-11-28</t>
  </si>
  <si>
    <t>恒丰转债</t>
  </si>
  <si>
    <t>恒丰纸业</t>
  </si>
  <si>
    <t>4.50</t>
  </si>
  <si>
    <t>2012-03-23</t>
  </si>
  <si>
    <t>2012-04-12</t>
  </si>
  <si>
    <t>2017-03-23</t>
  </si>
  <si>
    <t>2015-04-24</t>
  </si>
  <si>
    <t>国电转债</t>
  </si>
  <si>
    <t>国电电力</t>
  </si>
  <si>
    <t>55.00</t>
  </si>
  <si>
    <t>2011-08-19</t>
  </si>
  <si>
    <t>2011-09-02</t>
  </si>
  <si>
    <t>2017-08-19</t>
  </si>
  <si>
    <t>2015-02-26</t>
  </si>
  <si>
    <t>中海转债</t>
  </si>
  <si>
    <t>中远海能</t>
  </si>
  <si>
    <t>39.50</t>
  </si>
  <si>
    <t>2011-08-01</t>
  </si>
  <si>
    <t>2011-08-12</t>
  </si>
  <si>
    <t>2017-08-01</t>
  </si>
  <si>
    <t>2015-02-09</t>
  </si>
  <si>
    <t>巨轮转2</t>
  </si>
  <si>
    <t>巨轮智能</t>
  </si>
  <si>
    <t>3.50</t>
  </si>
  <si>
    <t>2011-07-19</t>
  </si>
  <si>
    <t>2011-08-04</t>
  </si>
  <si>
    <t>2016-07-18</t>
  </si>
  <si>
    <t>2013-06-05</t>
  </si>
  <si>
    <t>深机转债</t>
  </si>
  <si>
    <t>深圳机场</t>
  </si>
  <si>
    <t>20.00</t>
  </si>
  <si>
    <t>2011-07-15</t>
  </si>
  <si>
    <t>2011-08-10</t>
  </si>
  <si>
    <t>2017-07-14</t>
  </si>
  <si>
    <t>2015-05-28</t>
  </si>
  <si>
    <t>21.00</t>
  </si>
  <si>
    <t>2011-03-21</t>
  </si>
  <si>
    <t>2011-03-31</t>
  </si>
  <si>
    <t>2017-03-21</t>
  </si>
  <si>
    <t>2014-09-02</t>
  </si>
  <si>
    <t>石化转债</t>
  </si>
  <si>
    <t>中国石化</t>
  </si>
  <si>
    <t>230.00</t>
  </si>
  <si>
    <t>2011-02-23</t>
  </si>
  <si>
    <t>2011-03-07</t>
  </si>
  <si>
    <t>2017-02-23</t>
  </si>
  <si>
    <t>2015-02-11</t>
  </si>
  <si>
    <t>中鼎转债</t>
  </si>
  <si>
    <t>3.00</t>
  </si>
  <si>
    <t>2011-02-11</t>
  </si>
  <si>
    <t>2011-03-01</t>
  </si>
  <si>
    <t>2016-02-11</t>
  </si>
  <si>
    <t>2014-07-31</t>
  </si>
  <si>
    <t>国投电力</t>
  </si>
  <si>
    <t>34.00</t>
  </si>
  <si>
    <t>2011-01-25</t>
  </si>
  <si>
    <t>2011-02-15</t>
  </si>
  <si>
    <t>2017-01-25</t>
  </si>
  <si>
    <t>2013-07-08</t>
  </si>
  <si>
    <t>海运转债</t>
  </si>
  <si>
    <t>宁波海运</t>
  </si>
  <si>
    <t>7.20</t>
  </si>
  <si>
    <t>2011-01-07</t>
  </si>
  <si>
    <t>2011-01-20</t>
  </si>
  <si>
    <t>2016-01-07</t>
  </si>
  <si>
    <t>2015-05-11</t>
  </si>
  <si>
    <t>歌华转债</t>
  </si>
  <si>
    <t>歌华有线</t>
  </si>
  <si>
    <t>2010-11-25</t>
  </si>
  <si>
    <t>2010-12-10</t>
  </si>
  <si>
    <t>2016-11-25</t>
  </si>
  <si>
    <t>2015-04-28</t>
  </si>
  <si>
    <t>燕京转债</t>
  </si>
  <si>
    <t>燕京啤酒</t>
  </si>
  <si>
    <t>11.30</t>
  </si>
  <si>
    <t>2010-10-15</t>
  </si>
  <si>
    <t>2010-11-03</t>
  </si>
  <si>
    <t>2015-10-14</t>
  </si>
  <si>
    <t>工行转债</t>
  </si>
  <si>
    <t>工商银行</t>
  </si>
  <si>
    <t>250.00</t>
  </si>
  <si>
    <t>2010-08-31</t>
  </si>
  <si>
    <t>2010-09-10</t>
  </si>
  <si>
    <t>2016-08-31</t>
  </si>
  <si>
    <t>2015-02-12</t>
  </si>
  <si>
    <t>塔牌转债</t>
  </si>
  <si>
    <t>塔牌集团</t>
  </si>
  <si>
    <t>6.30</t>
  </si>
  <si>
    <t>2010-08-26</t>
  </si>
  <si>
    <t>2010-09-16</t>
  </si>
  <si>
    <t>2015-08-25</t>
  </si>
  <si>
    <t>2011-05-31</t>
  </si>
  <si>
    <t>铜陵转债</t>
  </si>
  <si>
    <t>铜陵有色</t>
  </si>
  <si>
    <t>2010-07-15</t>
  </si>
  <si>
    <t>2010-08-06</t>
  </si>
  <si>
    <t>2016-07-15</t>
  </si>
  <si>
    <t>2011-03-24</t>
  </si>
  <si>
    <t>中行转债</t>
  </si>
  <si>
    <t>中国银行</t>
  </si>
  <si>
    <t>400.00</t>
  </si>
  <si>
    <t>2010-06-02</t>
  </si>
  <si>
    <t>2010-06-18</t>
  </si>
  <si>
    <t>2016-06-02</t>
  </si>
  <si>
    <t>2015-03-06</t>
  </si>
  <si>
    <t>美丰转债</t>
  </si>
  <si>
    <t>四川美丰</t>
  </si>
  <si>
    <t>2010-06-25</t>
  </si>
  <si>
    <t>2015-06-02</t>
  </si>
  <si>
    <t>2013-04-12</t>
  </si>
  <si>
    <t>2010-05-04</t>
  </si>
  <si>
    <t>2010-05-14</t>
  </si>
  <si>
    <t>2015-05-04</t>
  </si>
  <si>
    <t>2011-12-14</t>
  </si>
  <si>
    <t>王府转债</t>
  </si>
  <si>
    <t>王府井</t>
  </si>
  <si>
    <t>8.21</t>
  </si>
  <si>
    <t>2009-10-19</t>
  </si>
  <si>
    <t>2009-10-30</t>
  </si>
  <si>
    <t>2015-10-19</t>
  </si>
  <si>
    <t>2010-10-28</t>
  </si>
  <si>
    <t>博汇纸业</t>
  </si>
  <si>
    <t>9.75</t>
  </si>
  <si>
    <t>2009-09-23</t>
  </si>
  <si>
    <t>2009-10-16</t>
  </si>
  <si>
    <t>2014-09-23</t>
  </si>
  <si>
    <t>安泰转债</t>
  </si>
  <si>
    <t>安泰科技</t>
  </si>
  <si>
    <t>7.50</t>
  </si>
  <si>
    <t>2009-09-16</t>
  </si>
  <si>
    <t>2009-10-12</t>
  </si>
  <si>
    <t>2015-09-16</t>
  </si>
  <si>
    <t>2010-06-10</t>
  </si>
  <si>
    <t>龙盛转债</t>
  </si>
  <si>
    <t>浙江龙盛</t>
  </si>
  <si>
    <t>12.50</t>
  </si>
  <si>
    <t>2009-09-14</t>
  </si>
  <si>
    <t>2009-09-25</t>
  </si>
  <si>
    <t>2014-09-14</t>
  </si>
  <si>
    <t>2010-05-06</t>
  </si>
  <si>
    <t>西洋转债</t>
  </si>
  <si>
    <t>大西洋</t>
  </si>
  <si>
    <t>2.65</t>
  </si>
  <si>
    <t>2009-09-03</t>
  </si>
  <si>
    <t>2009-09-21</t>
  </si>
  <si>
    <t>2014-09-03</t>
  </si>
  <si>
    <t>厦工转债</t>
  </si>
  <si>
    <t>厦工股份</t>
  </si>
  <si>
    <t>2009-08-28</t>
  </si>
  <si>
    <t>2009-09-11</t>
  </si>
  <si>
    <t>2014-08-28</t>
  </si>
  <si>
    <t>2010-09-27</t>
  </si>
  <si>
    <t>09长虹债</t>
  </si>
  <si>
    <t>四川长虹</t>
  </si>
  <si>
    <t>30.00</t>
  </si>
  <si>
    <t>2009-07-31</t>
  </si>
  <si>
    <t>2009-08-19</t>
  </si>
  <si>
    <t>08江铜债</t>
  </si>
  <si>
    <t>江西铜业</t>
  </si>
  <si>
    <t>68.00</t>
  </si>
  <si>
    <t>2008-09-22</t>
  </si>
  <si>
    <t>2008-10-10</t>
  </si>
  <si>
    <t>新钢转债</t>
  </si>
  <si>
    <t>新钢股份</t>
  </si>
  <si>
    <t>27.60</t>
  </si>
  <si>
    <t>2008-08-21</t>
  </si>
  <si>
    <t>2008-09-05</t>
  </si>
  <si>
    <t>2013-08-20</t>
  </si>
  <si>
    <t>2013-08-06</t>
  </si>
  <si>
    <t>08葛洲债</t>
  </si>
  <si>
    <t>葛洲坝</t>
  </si>
  <si>
    <t>13.90</t>
  </si>
  <si>
    <t>2008-06-26</t>
  </si>
  <si>
    <t>2008-07-11</t>
  </si>
  <si>
    <t>08宝钢债</t>
  </si>
  <si>
    <t>宝钢股份</t>
  </si>
  <si>
    <t>2008-06-20</t>
  </si>
  <si>
    <t>2008-07-04</t>
  </si>
  <si>
    <t>08康美债</t>
  </si>
  <si>
    <t>康美药业</t>
  </si>
  <si>
    <t>9.00</t>
  </si>
  <si>
    <t>2008-05-08</t>
  </si>
  <si>
    <t>2008-05-26</t>
  </si>
  <si>
    <t>08国电债</t>
  </si>
  <si>
    <t>39.95</t>
  </si>
  <si>
    <t>2008-05-07</t>
  </si>
  <si>
    <t>2008-05-22</t>
  </si>
  <si>
    <t>2008-04-18</t>
  </si>
  <si>
    <t>2008-05-13</t>
  </si>
  <si>
    <t>2013-04-17</t>
  </si>
  <si>
    <t>2009-09-18</t>
  </si>
  <si>
    <t>柳工转债</t>
  </si>
  <si>
    <t>8.00</t>
  </si>
  <si>
    <t>2008-05-06</t>
  </si>
  <si>
    <t>2014-04-17</t>
  </si>
  <si>
    <t>2009-06-22</t>
  </si>
  <si>
    <t>08青啤债</t>
  </si>
  <si>
    <t>青岛啤酒</t>
  </si>
  <si>
    <t>2008-04-02</t>
  </si>
  <si>
    <t>五洲转债</t>
  </si>
  <si>
    <t>5.40</t>
  </si>
  <si>
    <t>2008-02-29</t>
  </si>
  <si>
    <t>2008-03-14</t>
  </si>
  <si>
    <t>2013-02-28</t>
  </si>
  <si>
    <t>2009-07-02</t>
  </si>
  <si>
    <t>08石化债</t>
  </si>
  <si>
    <t>300.00</t>
  </si>
  <si>
    <t>2008-02-20</t>
  </si>
  <si>
    <t>2008-03-04</t>
  </si>
  <si>
    <t>08上港债</t>
  </si>
  <si>
    <t>上港集团</t>
  </si>
  <si>
    <t>24.50</t>
  </si>
  <si>
    <t>2008-03-07</t>
  </si>
  <si>
    <t>中兴债1</t>
  </si>
  <si>
    <t>中兴通讯</t>
  </si>
  <si>
    <t>2008-01-30</t>
  </si>
  <si>
    <t>2008-02-22</t>
  </si>
  <si>
    <t>08中远债</t>
  </si>
  <si>
    <t>中远海特</t>
  </si>
  <si>
    <t>10.50</t>
  </si>
  <si>
    <t>2008-01-28</t>
  </si>
  <si>
    <t>2008-02-26</t>
  </si>
  <si>
    <t>08赣粤债</t>
  </si>
  <si>
    <t>赣粤高速</t>
  </si>
  <si>
    <t>2008-02-28</t>
  </si>
  <si>
    <t>海马转债</t>
  </si>
  <si>
    <t>海马汽车</t>
  </si>
  <si>
    <t>8.20</t>
  </si>
  <si>
    <t>2008-01-16</t>
  </si>
  <si>
    <t>2013-01-15</t>
  </si>
  <si>
    <t>2009-06-01</t>
  </si>
  <si>
    <t>大荒转债</t>
  </si>
  <si>
    <t>北大荒</t>
  </si>
  <si>
    <t>2007-12-19</t>
  </si>
  <si>
    <t>2007-12-28</t>
  </si>
  <si>
    <t>2010-03-08</t>
  </si>
  <si>
    <t>08上汽债</t>
  </si>
  <si>
    <t>上汽集团</t>
  </si>
  <si>
    <t>63.00</t>
  </si>
  <si>
    <t>2008-01-08</t>
  </si>
  <si>
    <t>唐钢转债</t>
  </si>
  <si>
    <t>河钢股份</t>
  </si>
  <si>
    <t>2007-12-14</t>
  </si>
  <si>
    <t>2012-12-13</t>
  </si>
  <si>
    <t>2012-11-30</t>
  </si>
  <si>
    <t>07日照债</t>
  </si>
  <si>
    <t>日照港</t>
  </si>
  <si>
    <t>8.80</t>
  </si>
  <si>
    <t>2007-11-27</t>
  </si>
  <si>
    <t>2007-12-12</t>
  </si>
  <si>
    <t>赤化转债</t>
  </si>
  <si>
    <t>赤天化</t>
  </si>
  <si>
    <t>2007-10-10</t>
  </si>
  <si>
    <t>2007-10-23</t>
  </si>
  <si>
    <t>2012-10-10</t>
  </si>
  <si>
    <t>2009-05-25</t>
  </si>
  <si>
    <t>07深高债</t>
  </si>
  <si>
    <t>深高速</t>
  </si>
  <si>
    <t>2007-10-09</t>
  </si>
  <si>
    <t>2007-10-30</t>
  </si>
  <si>
    <t>恒源转债</t>
  </si>
  <si>
    <t>恒源煤电</t>
  </si>
  <si>
    <t>4.00</t>
  </si>
  <si>
    <t>2007-09-24</t>
  </si>
  <si>
    <t>2007-10-12</t>
  </si>
  <si>
    <t>2012-09-24</t>
  </si>
  <si>
    <t>2009-12-21</t>
  </si>
  <si>
    <t>4.70</t>
  </si>
  <si>
    <t>2007-09-05</t>
  </si>
  <si>
    <t>2007-09-17</t>
  </si>
  <si>
    <t>2012-09-05</t>
  </si>
  <si>
    <t>2010-02-05</t>
  </si>
  <si>
    <t>2007-07-02</t>
  </si>
  <si>
    <t>2007-07-12</t>
  </si>
  <si>
    <t>2012-07-01</t>
  </si>
  <si>
    <t>2008-03-27</t>
  </si>
  <si>
    <t>宝安转债</t>
  </si>
  <si>
    <t>中国宝安</t>
  </si>
  <si>
    <t xml:space="preserve">5.000 </t>
  </si>
  <si>
    <t>1993-01-01</t>
  </si>
  <si>
    <t>1993-02-10</t>
  </si>
  <si>
    <t>1995-12-31</t>
  </si>
  <si>
    <t>1995-11-19</t>
  </si>
  <si>
    <t>回售</t>
  </si>
  <si>
    <t>南化转债</t>
  </si>
  <si>
    <t>南化股份</t>
  </si>
  <si>
    <t xml:space="preserve">1.500 </t>
  </si>
  <si>
    <t>1998-08-03</t>
  </si>
  <si>
    <t>1998-09-02</t>
  </si>
  <si>
    <t>2003-08-02</t>
  </si>
  <si>
    <t>2000-07-29</t>
  </si>
  <si>
    <t>丝绸转债</t>
  </si>
  <si>
    <t>东方市场</t>
  </si>
  <si>
    <t xml:space="preserve">2.000 </t>
  </si>
  <si>
    <t>1998-08-28</t>
  </si>
  <si>
    <t>1998-09-15</t>
  </si>
  <si>
    <t>2003-08-27</t>
  </si>
  <si>
    <t>2000-06-27</t>
  </si>
  <si>
    <t>茂炼转债</t>
  </si>
  <si>
    <t>茂化实华</t>
  </si>
  <si>
    <t xml:space="preserve">15.000 </t>
  </si>
  <si>
    <t>1999-07-28</t>
  </si>
  <si>
    <t>1999-08-17</t>
  </si>
  <si>
    <t>2004-07-27</t>
  </si>
  <si>
    <t>2004-07-28</t>
  </si>
  <si>
    <t>到期兑付</t>
  </si>
  <si>
    <t>机场转债</t>
  </si>
  <si>
    <t>上海机场</t>
  </si>
  <si>
    <t xml:space="preserve">13.500 </t>
  </si>
  <si>
    <t>2000-02-25</t>
  </si>
  <si>
    <t>2000-03-16</t>
  </si>
  <si>
    <t>2005-02-24</t>
  </si>
  <si>
    <t>2004-04-23</t>
  </si>
  <si>
    <t>鞍钢转债</t>
  </si>
  <si>
    <t>鞍钢股份</t>
  </si>
  <si>
    <t>2000-03-15</t>
  </si>
  <si>
    <t>2000-04-17</t>
  </si>
  <si>
    <t>2005-03-14</t>
  </si>
  <si>
    <t>2001-12-27</t>
  </si>
  <si>
    <t>阳光转债</t>
  </si>
  <si>
    <t>江苏阳光</t>
  </si>
  <si>
    <t xml:space="preserve">8.300 </t>
  </si>
  <si>
    <t>2002-04-18</t>
  </si>
  <si>
    <t>2002-05-16</t>
  </si>
  <si>
    <t>2005-04-18</t>
  </si>
  <si>
    <t>2005-04-05</t>
  </si>
  <si>
    <t>万科转债</t>
  </si>
  <si>
    <t>万科A</t>
  </si>
  <si>
    <t>2002-06-13</t>
  </si>
  <si>
    <t>2002-06-28</t>
  </si>
  <si>
    <t>2007-06-13</t>
  </si>
  <si>
    <t>2004-04-20</t>
  </si>
  <si>
    <t>水运转债</t>
  </si>
  <si>
    <t>长油(退市)</t>
  </si>
  <si>
    <t xml:space="preserve">3.200 </t>
  </si>
  <si>
    <t>2002-08-13</t>
  </si>
  <si>
    <t>2002-08-28</t>
  </si>
  <si>
    <t>2007-08-12</t>
  </si>
  <si>
    <t>2007-03-29</t>
  </si>
  <si>
    <t>丝绸转2</t>
  </si>
  <si>
    <t xml:space="preserve">8.000 </t>
  </si>
  <si>
    <t>2002-09-09</t>
  </si>
  <si>
    <t>2002-09-24</t>
  </si>
  <si>
    <t>2007-09-09</t>
  </si>
  <si>
    <t>2006-09-12</t>
  </si>
  <si>
    <t xml:space="preserve">7.000 </t>
  </si>
  <si>
    <t>2002-10-16</t>
  </si>
  <si>
    <t>2002-10-31</t>
  </si>
  <si>
    <t>2007-10-16</t>
  </si>
  <si>
    <t>2006-04-20</t>
  </si>
  <si>
    <t>钢钒转债</t>
  </si>
  <si>
    <t>*ST钒钛</t>
  </si>
  <si>
    <t xml:space="preserve">16.000 </t>
  </si>
  <si>
    <t>2003-01-22</t>
  </si>
  <si>
    <t>2003-02-17</t>
  </si>
  <si>
    <t>2008-01-22</t>
  </si>
  <si>
    <t>2004-03-04</t>
  </si>
  <si>
    <t xml:space="preserve">40.000 </t>
  </si>
  <si>
    <t>2003-02-27</t>
  </si>
  <si>
    <t>2003-03-18</t>
  </si>
  <si>
    <t>2005-10-31</t>
  </si>
  <si>
    <t>雅戈转债</t>
  </si>
  <si>
    <t>雅戈尔</t>
  </si>
  <si>
    <t xml:space="preserve">11.900 </t>
  </si>
  <si>
    <t>2003-04-03</t>
  </si>
  <si>
    <t>2003-04-21</t>
  </si>
  <si>
    <t>2006-04-03</t>
  </si>
  <si>
    <t>到期转股</t>
  </si>
  <si>
    <t>丰原转债</t>
  </si>
  <si>
    <t>中粮科技</t>
  </si>
  <si>
    <t>2003-04-24</t>
  </si>
  <si>
    <t>2003-05-20</t>
  </si>
  <si>
    <t>2008-04-24</t>
  </si>
  <si>
    <t>2005-10-14</t>
  </si>
  <si>
    <t>铜都转债</t>
  </si>
  <si>
    <t xml:space="preserve">7.600 </t>
  </si>
  <si>
    <t>2003-05-21</t>
  </si>
  <si>
    <t>2003-06-04</t>
  </si>
  <si>
    <t>2008-05-20</t>
  </si>
  <si>
    <t>2005-09-30</t>
  </si>
  <si>
    <t>华电转债</t>
  </si>
  <si>
    <t>华电能源</t>
  </si>
  <si>
    <t>2003-06-03</t>
  </si>
  <si>
    <t>2003-06-18</t>
  </si>
  <si>
    <t>2008-06-02</t>
  </si>
  <si>
    <t>2007-05-29</t>
  </si>
  <si>
    <t>山鹰纸业</t>
  </si>
  <si>
    <t xml:space="preserve">2.500 </t>
  </si>
  <si>
    <t>2003-06-16</t>
  </si>
  <si>
    <t>2003-07-01</t>
  </si>
  <si>
    <t>2008-06-15</t>
  </si>
  <si>
    <t>2006-04-19</t>
  </si>
  <si>
    <t>桂冠转债</t>
  </si>
  <si>
    <t>桂冠电力</t>
  </si>
  <si>
    <t>2003-06-30</t>
  </si>
  <si>
    <t>2003-07-15</t>
  </si>
  <si>
    <t>2008-06-29</t>
  </si>
  <si>
    <t>2008-06-16</t>
  </si>
  <si>
    <t xml:space="preserve">20.000 </t>
  </si>
  <si>
    <t>2003-07-18</t>
  </si>
  <si>
    <t>2003-08-01</t>
  </si>
  <si>
    <t>2008-07-17</t>
  </si>
  <si>
    <t>2007-04-23</t>
  </si>
  <si>
    <t>西钢转债</t>
  </si>
  <si>
    <t>西宁特钢</t>
  </si>
  <si>
    <t xml:space="preserve">4.900 </t>
  </si>
  <si>
    <t>2003-08-11</t>
  </si>
  <si>
    <t>2003-08-26</t>
  </si>
  <si>
    <t>2008-08-10</t>
  </si>
  <si>
    <t>2007-06-11</t>
  </si>
  <si>
    <t>华西转债</t>
  </si>
  <si>
    <t>华西股份</t>
  </si>
  <si>
    <t xml:space="preserve">4.000 </t>
  </si>
  <si>
    <t>2003-09-01</t>
  </si>
  <si>
    <t>2003-09-16</t>
  </si>
  <si>
    <t>2008-08-31</t>
  </si>
  <si>
    <t>2006-08-14</t>
  </si>
  <si>
    <t>云化转债</t>
  </si>
  <si>
    <t>云天化</t>
  </si>
  <si>
    <t xml:space="preserve">4.100 </t>
  </si>
  <si>
    <t>2003-09-10</t>
  </si>
  <si>
    <t>2003-09-25</t>
  </si>
  <si>
    <t>2006-09-09</t>
  </si>
  <si>
    <t>2006-03-10</t>
  </si>
  <si>
    <t>复兴转债</t>
  </si>
  <si>
    <t>复星医药</t>
  </si>
  <si>
    <t xml:space="preserve">9.500 </t>
  </si>
  <si>
    <t>2003-10-28</t>
  </si>
  <si>
    <t>2003-11-17</t>
  </si>
  <si>
    <t>2008-10-28</t>
  </si>
  <si>
    <t>2006-07-12</t>
  </si>
  <si>
    <t>邯钢转债</t>
  </si>
  <si>
    <t>邯郸钢铁(退市)</t>
  </si>
  <si>
    <t>2003-11-26</t>
  </si>
  <si>
    <t>2003-12-11</t>
  </si>
  <si>
    <t>2008-11-25</t>
  </si>
  <si>
    <t>2007-03-02</t>
  </si>
  <si>
    <t>首钢转债</t>
  </si>
  <si>
    <t>首钢股份</t>
  </si>
  <si>
    <t>2003-12-16</t>
  </si>
  <si>
    <t>2003-12-31</t>
  </si>
  <si>
    <t>2008-12-15</t>
  </si>
  <si>
    <t>2007-04-06</t>
  </si>
  <si>
    <t>侨城转债</t>
  </si>
  <si>
    <t>华侨城A</t>
  </si>
  <si>
    <t>2004-01-16</t>
  </si>
  <si>
    <t>2006-12-31</t>
  </si>
  <si>
    <t>2005-04-22</t>
  </si>
  <si>
    <t>江准转债</t>
  </si>
  <si>
    <t>江淮汽车</t>
  </si>
  <si>
    <t xml:space="preserve">8.800 </t>
  </si>
  <si>
    <t>2004-04-15</t>
  </si>
  <si>
    <t>2004-04-29</t>
  </si>
  <si>
    <t>2009-04-14</t>
  </si>
  <si>
    <t>2005-12-19</t>
  </si>
  <si>
    <t xml:space="preserve">12.500 </t>
  </si>
  <si>
    <t>2004-05-12</t>
  </si>
  <si>
    <t>2004-05-28</t>
  </si>
  <si>
    <t>2009-05-11</t>
  </si>
  <si>
    <t>2006-03-08</t>
  </si>
  <si>
    <t>营港转债</t>
  </si>
  <si>
    <t>营口港</t>
  </si>
  <si>
    <t>2004-05-20</t>
  </si>
  <si>
    <t>2004-06-03</t>
  </si>
  <si>
    <t>2009-05-19</t>
  </si>
  <si>
    <t>2007-03-26</t>
  </si>
  <si>
    <t>创业转债</t>
  </si>
  <si>
    <t>创业环保</t>
  </si>
  <si>
    <t xml:space="preserve">12.000 </t>
  </si>
  <si>
    <t>2004-07-01</t>
  </si>
  <si>
    <t>2004-07-19</t>
  </si>
  <si>
    <t>2009-06-30</t>
  </si>
  <si>
    <t>2007-08-28</t>
  </si>
  <si>
    <t>华菱转债</t>
  </si>
  <si>
    <t>*ST华菱</t>
  </si>
  <si>
    <t>2004-07-16</t>
  </si>
  <si>
    <t>2004-08-03</t>
  </si>
  <si>
    <t>2009-07-16</t>
  </si>
  <si>
    <t>2007-05-31</t>
  </si>
  <si>
    <t>金牛转债</t>
  </si>
  <si>
    <t>冀中能源</t>
  </si>
  <si>
    <t>2004-08-11</t>
  </si>
  <si>
    <t>2004-08-26</t>
  </si>
  <si>
    <t>2009-08-11</t>
  </si>
  <si>
    <t>2005-07-01</t>
  </si>
  <si>
    <t>海化转债</t>
  </si>
  <si>
    <t>山东海化</t>
  </si>
  <si>
    <t xml:space="preserve">10.000 </t>
  </si>
  <si>
    <t>2004-09-07</t>
  </si>
  <si>
    <t>2004-09-23</t>
  </si>
  <si>
    <t>2009-09-07</t>
  </si>
  <si>
    <t>2008-02-14</t>
  </si>
  <si>
    <t>晨鸣转债</t>
  </si>
  <si>
    <t>晨鸣纸业</t>
  </si>
  <si>
    <t>2004-09-15</t>
  </si>
  <si>
    <t>2004-09-30</t>
  </si>
  <si>
    <t>2009-09-15</t>
  </si>
  <si>
    <t>2007-05-14</t>
  </si>
  <si>
    <t>万科转2</t>
  </si>
  <si>
    <t xml:space="preserve">19.900 </t>
  </si>
  <si>
    <t>2004-09-24</t>
  </si>
  <si>
    <t>2004-10-18</t>
  </si>
  <si>
    <t>2009-09-24</t>
  </si>
  <si>
    <t>2006-04-07</t>
  </si>
  <si>
    <t xml:space="preserve">8.830 </t>
  </si>
  <si>
    <t>2004-10-19</t>
  </si>
  <si>
    <t>2004-11-03</t>
  </si>
  <si>
    <t>2006-08-11</t>
  </si>
  <si>
    <t>包钢转债</t>
  </si>
  <si>
    <t>包钢股份</t>
  </si>
  <si>
    <t xml:space="preserve">18.000 </t>
  </si>
  <si>
    <t>2004-11-10</t>
  </si>
  <si>
    <t>2004-11-25</t>
  </si>
  <si>
    <t>2009-11-09</t>
  </si>
  <si>
    <t>2006-03-31</t>
  </si>
  <si>
    <t>招行转债</t>
  </si>
  <si>
    <t>招商银行</t>
  </si>
  <si>
    <t xml:space="preserve">65.000 </t>
  </si>
  <si>
    <t>2004-11-29</t>
  </si>
  <si>
    <t>2009-11-10</t>
  </si>
  <si>
    <t>2006-09-29</t>
  </si>
  <si>
    <t>华发转债</t>
  </si>
  <si>
    <t>华发股份</t>
  </si>
  <si>
    <t xml:space="preserve">4.300 </t>
  </si>
  <si>
    <t>2006-07-27</t>
  </si>
  <si>
    <t>2011-07-27</t>
  </si>
  <si>
    <t>2007-04-03</t>
  </si>
  <si>
    <t>柳化转债</t>
  </si>
  <si>
    <t>*ST柳化</t>
  </si>
  <si>
    <t xml:space="preserve">3.070 </t>
  </si>
  <si>
    <t>2006-07-28</t>
  </si>
  <si>
    <t>2006-08-10</t>
  </si>
  <si>
    <t>2011-07-28</t>
  </si>
  <si>
    <t>凯诺转债</t>
  </si>
  <si>
    <t>2006-08-15</t>
  </si>
  <si>
    <t>2006-08-30</t>
  </si>
  <si>
    <t>2011-08-15</t>
  </si>
  <si>
    <t>招商转债</t>
  </si>
  <si>
    <t>招商地产(退市)</t>
  </si>
  <si>
    <t xml:space="preserve">15.100 </t>
  </si>
  <si>
    <t>2006-09-11</t>
  </si>
  <si>
    <t>2011-08-30</t>
  </si>
  <si>
    <t>2007-05-25</t>
  </si>
  <si>
    <t>天药转债</t>
  </si>
  <si>
    <t>天药股份</t>
  </si>
  <si>
    <t xml:space="preserve">3.900 </t>
  </si>
  <si>
    <t>2006-10-25</t>
  </si>
  <si>
    <t>2006-11-10</t>
  </si>
  <si>
    <t>2012-10-25</t>
  </si>
  <si>
    <t>2007-06-22</t>
  </si>
  <si>
    <t>金鹰转债</t>
  </si>
  <si>
    <t>金鹰股份</t>
  </si>
  <si>
    <t>2006-11-20</t>
  </si>
  <si>
    <t>2006-12-06</t>
  </si>
  <si>
    <t>2010-11-20</t>
  </si>
  <si>
    <t>2009-05-12</t>
  </si>
  <si>
    <t>上电转债</t>
  </si>
  <si>
    <t>上海电力</t>
  </si>
  <si>
    <t>2006-12-01</t>
  </si>
  <si>
    <t>2006-12-19</t>
  </si>
  <si>
    <t>2011-12-01</t>
  </si>
  <si>
    <t>2007-08-15</t>
  </si>
  <si>
    <t>巨轮转债</t>
  </si>
  <si>
    <t>2007-01-08</t>
  </si>
  <si>
    <t>2007-01-19</t>
  </si>
  <si>
    <t>2012-01-07</t>
  </si>
  <si>
    <t>韶钢转债</t>
  </si>
  <si>
    <t>韶钢松山</t>
  </si>
  <si>
    <t xml:space="preserve">15.380 </t>
  </si>
  <si>
    <t>2007-02-06</t>
  </si>
  <si>
    <t>2012-02-05</t>
  </si>
  <si>
    <t>澄星转债</t>
  </si>
  <si>
    <t>澄星股份</t>
  </si>
  <si>
    <t xml:space="preserve">4.400 </t>
  </si>
  <si>
    <t>2007-05-10</t>
  </si>
  <si>
    <t>2012-05-10</t>
  </si>
  <si>
    <t>2012-04-24</t>
  </si>
  <si>
    <t>锡业转债</t>
  </si>
  <si>
    <t>锡业股份</t>
  </si>
  <si>
    <t xml:space="preserve">6.500 </t>
  </si>
  <si>
    <t>2012-05-13</t>
  </si>
  <si>
    <t>2010-12-03</t>
  </si>
  <si>
    <t>8.780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</si>
</sst>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10" fontId="0" fillId="2" borderId="0" xfId="3" applyNumberFormat="1" applyFill="1"/>
    <xf numFmtId="10" fontId="0" fillId="0" borderId="0" xfId="3" applyNumberFormat="1"/>
    <xf numFmtId="0" fontId="1" fillId="0" borderId="1" xfId="0" applyFont="1" applyBorder="1" applyAlignment="1">
      <alignment horizontal="center" vertical="top"/>
    </xf>
    <xf numFmtId="10" fontId="1" fillId="2" borderId="1" xfId="3" applyNumberFormat="1" applyFont="1" applyFill="1" applyBorder="1" applyAlignment="1">
      <alignment horizontal="center" vertical="top"/>
    </xf>
    <xf numFmtId="10" fontId="1" fillId="0" borderId="1" xfId="3" applyNumberFormat="1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J1135"/>
  <sheetViews>
    <sheetView tabSelected="1" topLeftCell="A395" workbookViewId="0">
      <pane xSplit="4" topLeftCell="L1" activePane="topRight" state="frozen"/>
      <selection/>
      <selection pane="topRight" activeCell="V442" sqref="V442"/>
    </sheetView>
  </sheetViews>
  <sheetFormatPr defaultColWidth="9" defaultRowHeight="13.5"/>
  <cols>
    <col min="17" max="18" width="13.75" style="1"/>
    <col min="19" max="19" width="12.625"/>
    <col min="22" max="23" width="13.75" style="1"/>
    <col min="27" max="28" width="13.75" style="2"/>
    <col min="32" max="33" width="13.75" style="2"/>
  </cols>
  <sheetData>
    <row r="1" spans="1: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4"/>
      <c r="S1" s="3" t="s">
        <v>16</v>
      </c>
      <c r="T1" s="3" t="s">
        <v>17</v>
      </c>
      <c r="U1" s="3" t="s">
        <v>18</v>
      </c>
      <c r="V1" s="4"/>
      <c r="W1" s="4"/>
      <c r="X1" s="3" t="s">
        <v>19</v>
      </c>
      <c r="Y1" s="3" t="s">
        <v>20</v>
      </c>
      <c r="Z1" s="3" t="s">
        <v>21</v>
      </c>
      <c r="AA1" s="5"/>
      <c r="AB1" s="5"/>
      <c r="AC1" s="3" t="s">
        <v>22</v>
      </c>
      <c r="AD1" s="3" t="s">
        <v>23</v>
      </c>
      <c r="AE1" s="3" t="s">
        <v>24</v>
      </c>
      <c r="AF1" s="5"/>
      <c r="AG1" s="5"/>
      <c r="AH1" s="3" t="s">
        <v>25</v>
      </c>
      <c r="AI1" s="3" t="s">
        <v>26</v>
      </c>
      <c r="AJ1" s="3" t="s">
        <v>27</v>
      </c>
    </row>
    <row r="2" spans="1:36">
      <c r="A2">
        <v>123261</v>
      </c>
      <c r="B2" t="s">
        <v>28</v>
      </c>
      <c r="C2">
        <v>300996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15.9</v>
      </c>
      <c r="M2">
        <v>3295.06</v>
      </c>
      <c r="N2" t="s">
        <v>37</v>
      </c>
      <c r="O2">
        <v>17.23</v>
      </c>
      <c r="P2">
        <v>3853.302</v>
      </c>
      <c r="Q2" s="1">
        <f>(O2-L2)/L2</f>
        <v>0.0836477987421384</v>
      </c>
      <c r="R2" s="1">
        <f>(P2-M2)/M2</f>
        <v>0.169417855820531</v>
      </c>
      <c r="S2" t="s">
        <v>38</v>
      </c>
      <c r="T2">
        <v>18.42</v>
      </c>
      <c r="U2">
        <v>3939.813</v>
      </c>
      <c r="V2" s="1">
        <f t="shared" ref="V2:AB2" si="0">(T2-O2)/O2</f>
        <v>0.0690655832849681</v>
      </c>
      <c r="W2" s="1">
        <f t="shared" si="0"/>
        <v>0.0224511341182186</v>
      </c>
      <c r="X2" t="s">
        <v>39</v>
      </c>
      <c r="Y2">
        <v>17.61</v>
      </c>
      <c r="Z2">
        <v>3902.808</v>
      </c>
      <c r="AA2" s="2">
        <f t="shared" si="0"/>
        <v>-0.0439739413680783</v>
      </c>
      <c r="AB2" s="2">
        <f t="shared" si="0"/>
        <v>-0.00939257776955407</v>
      </c>
      <c r="AC2" t="s">
        <v>32</v>
      </c>
      <c r="AD2">
        <v>16.41</v>
      </c>
      <c r="AE2">
        <v>3917.364</v>
      </c>
      <c r="AF2" s="2">
        <f>(AD2-Y2)/Y2</f>
        <v>-0.0681431005110732</v>
      </c>
      <c r="AG2" s="2">
        <f>(AE2-Z2)/Z2</f>
        <v>0.00372962236420547</v>
      </c>
      <c r="AH2" t="s">
        <v>40</v>
      </c>
      <c r="AI2" t="s">
        <v>41</v>
      </c>
      <c r="AJ2" t="s">
        <v>41</v>
      </c>
    </row>
    <row r="3" spans="1:36">
      <c r="A3">
        <v>118061</v>
      </c>
      <c r="B3" t="s">
        <v>42</v>
      </c>
      <c r="C3">
        <v>688502</v>
      </c>
      <c r="D3" t="s">
        <v>43</v>
      </c>
      <c r="E3" t="s">
        <v>44</v>
      </c>
      <c r="F3" t="s">
        <v>31</v>
      </c>
      <c r="G3" t="s">
        <v>45</v>
      </c>
      <c r="H3" t="s">
        <v>33</v>
      </c>
      <c r="I3" t="s">
        <v>46</v>
      </c>
      <c r="J3" t="s">
        <v>47</v>
      </c>
      <c r="K3" t="s">
        <v>48</v>
      </c>
      <c r="L3">
        <v>292.11</v>
      </c>
      <c r="M3">
        <v>3279.031</v>
      </c>
      <c r="N3" t="s">
        <v>49</v>
      </c>
      <c r="O3">
        <v>424.8</v>
      </c>
      <c r="P3">
        <v>3862.532</v>
      </c>
      <c r="Q3" s="1">
        <f>(O3-L3)/L3</f>
        <v>0.454246687891548</v>
      </c>
      <c r="R3" s="1">
        <f>(P3-M3)/M3</f>
        <v>0.177949217314505</v>
      </c>
      <c r="S3" t="s">
        <v>50</v>
      </c>
      <c r="T3">
        <v>357.82</v>
      </c>
      <c r="U3">
        <v>4018.597</v>
      </c>
      <c r="V3" s="1">
        <f>(T3-O3)/O3</f>
        <v>-0.157674199623352</v>
      </c>
      <c r="W3" s="1">
        <f>(U3-P3)/P3</f>
        <v>0.0404048432479006</v>
      </c>
      <c r="X3" t="s">
        <v>51</v>
      </c>
      <c r="Y3">
        <v>330.33</v>
      </c>
      <c r="Z3">
        <v>3834.891</v>
      </c>
      <c r="AA3" s="2">
        <f>(Y3-T3)/T3</f>
        <v>-0.0768263372645464</v>
      </c>
      <c r="AB3" s="2">
        <f>(Z3-U3)/U3</f>
        <v>-0.04571396435124</v>
      </c>
      <c r="AC3" t="s">
        <v>45</v>
      </c>
      <c r="AD3">
        <v>363.9</v>
      </c>
      <c r="AE3">
        <v>3900.496</v>
      </c>
      <c r="AF3" s="2">
        <f>(AD3-Y3)/Y3</f>
        <v>0.101625647080193</v>
      </c>
      <c r="AG3" s="2">
        <f>(AE3-Z3)/Z3</f>
        <v>0.0171073962728015</v>
      </c>
      <c r="AH3" t="s">
        <v>52</v>
      </c>
      <c r="AI3" t="s">
        <v>41</v>
      </c>
      <c r="AJ3" t="s">
        <v>41</v>
      </c>
    </row>
    <row r="4" spans="1:36">
      <c r="A4">
        <v>118060</v>
      </c>
      <c r="B4" t="s">
        <v>53</v>
      </c>
      <c r="C4">
        <v>688800</v>
      </c>
      <c r="D4" t="s">
        <v>54</v>
      </c>
      <c r="E4" t="s">
        <v>55</v>
      </c>
      <c r="F4" t="s">
        <v>56</v>
      </c>
      <c r="G4" t="s">
        <v>57</v>
      </c>
      <c r="H4" t="s">
        <v>33</v>
      </c>
      <c r="I4" t="s">
        <v>58</v>
      </c>
      <c r="J4" t="s">
        <v>59</v>
      </c>
      <c r="K4" t="s">
        <v>60</v>
      </c>
      <c r="L4">
        <v>47.51</v>
      </c>
      <c r="M4">
        <v>3509.682</v>
      </c>
      <c r="N4" t="s">
        <v>61</v>
      </c>
      <c r="O4">
        <v>82.1</v>
      </c>
      <c r="P4">
        <v>3876.341</v>
      </c>
      <c r="Q4" s="1">
        <f>(O4-L4)/L4</f>
        <v>0.728057251105031</v>
      </c>
      <c r="R4" s="1">
        <f>(P4-M4)/M4</f>
        <v>0.104470718429761</v>
      </c>
      <c r="S4" t="s">
        <v>62</v>
      </c>
      <c r="T4">
        <v>80.18</v>
      </c>
      <c r="U4">
        <v>3976.521</v>
      </c>
      <c r="V4" s="1">
        <f>(T4-O4)/O4</f>
        <v>-0.0233861144945187</v>
      </c>
      <c r="W4" s="1">
        <f>(U4-P4)/P4</f>
        <v>0.0258439595484505</v>
      </c>
      <c r="X4" t="s">
        <v>57</v>
      </c>
      <c r="Y4">
        <v>72</v>
      </c>
      <c r="Z4">
        <v>3990.492</v>
      </c>
      <c r="AA4" s="2">
        <f>(Y4-T4)/T4</f>
        <v>-0.102020453978548</v>
      </c>
      <c r="AB4" s="2">
        <f>(Z4-U4)/U4</f>
        <v>0.00351337261892996</v>
      </c>
      <c r="AC4" t="s">
        <v>63</v>
      </c>
      <c r="AD4">
        <v>83.76</v>
      </c>
      <c r="AE4">
        <v>3889.346</v>
      </c>
      <c r="AF4" s="2">
        <f>(AD4-Y4)/Y4</f>
        <v>0.163333333333333</v>
      </c>
      <c r="AG4" s="2">
        <f>(AE4-Z4)/Z4</f>
        <v>-0.0253467492229029</v>
      </c>
      <c r="AH4" t="s">
        <v>64</v>
      </c>
      <c r="AI4" t="s">
        <v>41</v>
      </c>
      <c r="AJ4" t="s">
        <v>41</v>
      </c>
    </row>
    <row r="5" spans="1:36">
      <c r="A5" t="s">
        <v>41</v>
      </c>
      <c r="B5" t="s">
        <v>41</v>
      </c>
      <c r="C5">
        <v>688300</v>
      </c>
      <c r="D5" t="s">
        <v>65</v>
      </c>
      <c r="E5" t="s">
        <v>66</v>
      </c>
      <c r="F5" t="s">
        <v>41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>
        <v>58.8</v>
      </c>
      <c r="M5">
        <v>3766.21</v>
      </c>
      <c r="N5" t="s">
        <v>72</v>
      </c>
      <c r="O5">
        <v>55.74</v>
      </c>
      <c r="P5">
        <v>3913.758</v>
      </c>
      <c r="Q5" s="1">
        <f>(O5-L5)/L5</f>
        <v>-0.0520408163265305</v>
      </c>
      <c r="R5" s="1">
        <f>(P5-M5)/M5</f>
        <v>0.039176785150058</v>
      </c>
      <c r="S5" t="s">
        <v>67</v>
      </c>
      <c r="T5">
        <v>55.87</v>
      </c>
      <c r="U5">
        <v>3870.023</v>
      </c>
      <c r="V5" s="1">
        <f>(T5-O5)/O5</f>
        <v>0.00233225690706845</v>
      </c>
      <c r="W5" s="1">
        <f>(U5-P5)/P5</f>
        <v>-0.0111746817253391</v>
      </c>
      <c r="X5" t="s">
        <v>41</v>
      </c>
      <c r="Y5" t="s">
        <v>41</v>
      </c>
      <c r="Z5" t="s">
        <v>41</v>
      </c>
      <c r="AA5" s="2"/>
      <c r="AB5" s="2"/>
      <c r="AC5"/>
      <c r="AD5"/>
      <c r="AE5"/>
      <c r="AF5" s="2"/>
      <c r="AG5" s="2"/>
      <c r="AH5" t="s">
        <v>41</v>
      </c>
      <c r="AI5" t="s">
        <v>41</v>
      </c>
      <c r="AJ5" t="s">
        <v>41</v>
      </c>
    </row>
    <row r="6" spans="1:36">
      <c r="A6" t="s">
        <v>41</v>
      </c>
      <c r="B6" t="s">
        <v>41</v>
      </c>
      <c r="C6">
        <v>600853</v>
      </c>
      <c r="D6" s="6" t="s">
        <v>73</v>
      </c>
      <c r="E6" t="s">
        <v>55</v>
      </c>
      <c r="F6" t="s">
        <v>41</v>
      </c>
      <c r="G6" t="s">
        <v>74</v>
      </c>
      <c r="H6" t="s">
        <v>68</v>
      </c>
      <c r="I6" t="s">
        <v>75</v>
      </c>
      <c r="J6" t="s">
        <v>76</v>
      </c>
      <c r="K6" t="s">
        <v>77</v>
      </c>
      <c r="L6">
        <v>5.22</v>
      </c>
      <c r="M6">
        <v>3265.654</v>
      </c>
      <c r="N6" t="s">
        <v>78</v>
      </c>
      <c r="O6">
        <v>3.52</v>
      </c>
      <c r="P6">
        <v>3363.446</v>
      </c>
      <c r="Q6" s="1">
        <f>(O6-L6)/L6</f>
        <v>-0.325670498084291</v>
      </c>
      <c r="R6" s="1">
        <f>(P6-M6)/M6</f>
        <v>0.0299456096696098</v>
      </c>
      <c r="S6" t="s">
        <v>74</v>
      </c>
      <c r="T6">
        <v>4.05</v>
      </c>
      <c r="U6">
        <v>3582.298</v>
      </c>
      <c r="V6" s="1">
        <f>(T6-O6)/O6</f>
        <v>0.150568181818182</v>
      </c>
      <c r="W6" s="1">
        <f>(U6-P6)/P6</f>
        <v>0.0650677905933379</v>
      </c>
      <c r="X6" t="s">
        <v>41</v>
      </c>
      <c r="Y6" t="s">
        <v>41</v>
      </c>
      <c r="Z6" t="s">
        <v>41</v>
      </c>
      <c r="AA6" s="2"/>
      <c r="AB6" s="2"/>
      <c r="AC6"/>
      <c r="AD6"/>
      <c r="AE6"/>
      <c r="AF6" s="2"/>
      <c r="AG6" s="2"/>
      <c r="AH6" t="s">
        <v>41</v>
      </c>
      <c r="AI6" t="s">
        <v>41</v>
      </c>
      <c r="AJ6" t="s">
        <v>41</v>
      </c>
    </row>
    <row r="7" spans="1:36">
      <c r="A7" t="s">
        <v>41</v>
      </c>
      <c r="B7" t="s">
        <v>41</v>
      </c>
      <c r="C7">
        <v>688533</v>
      </c>
      <c r="D7" t="s">
        <v>79</v>
      </c>
      <c r="E7" t="s">
        <v>80</v>
      </c>
      <c r="F7" t="s">
        <v>41</v>
      </c>
      <c r="G7" t="s">
        <v>81</v>
      </c>
      <c r="H7" t="s">
        <v>68</v>
      </c>
      <c r="I7" t="s">
        <v>59</v>
      </c>
      <c r="J7" t="s">
        <v>82</v>
      </c>
      <c r="K7" t="s">
        <v>83</v>
      </c>
      <c r="L7">
        <v>29.35</v>
      </c>
      <c r="M7">
        <v>3868.382</v>
      </c>
      <c r="N7" t="s">
        <v>84</v>
      </c>
      <c r="O7">
        <v>26.26</v>
      </c>
      <c r="P7">
        <v>3836.766</v>
      </c>
      <c r="Q7" s="1">
        <f>(O7-L7)/L7</f>
        <v>-0.105281090289608</v>
      </c>
      <c r="R7" s="1">
        <f>(P7-M7)/M7</f>
        <v>-0.00817292604504932</v>
      </c>
      <c r="S7" t="s">
        <v>81</v>
      </c>
      <c r="T7">
        <v>30.02</v>
      </c>
      <c r="U7" t="s">
        <v>41</v>
      </c>
      <c r="V7" s="1">
        <f>(T7-O7)/O7</f>
        <v>0.143183549124143</v>
      </c>
      <c r="X7" t="s">
        <v>41</v>
      </c>
      <c r="Y7" t="s">
        <v>41</v>
      </c>
      <c r="Z7" t="s">
        <v>41</v>
      </c>
      <c r="AA7" s="2"/>
      <c r="AB7" s="2"/>
      <c r="AC7" t="s">
        <v>41</v>
      </c>
      <c r="AD7" t="s">
        <v>41</v>
      </c>
      <c r="AE7" t="s">
        <v>41</v>
      </c>
      <c r="AF7" s="2"/>
      <c r="AG7" s="2"/>
      <c r="AH7" t="s">
        <v>41</v>
      </c>
      <c r="AI7" t="s">
        <v>41</v>
      </c>
      <c r="AJ7" t="s">
        <v>41</v>
      </c>
    </row>
    <row r="8" spans="1:36">
      <c r="A8" t="s">
        <v>41</v>
      </c>
      <c r="B8" t="s">
        <v>41</v>
      </c>
      <c r="C8">
        <v>603129</v>
      </c>
      <c r="D8" t="s">
        <v>85</v>
      </c>
      <c r="E8" t="s">
        <v>86</v>
      </c>
      <c r="F8" t="s">
        <v>41</v>
      </c>
      <c r="G8" t="s">
        <v>87</v>
      </c>
      <c r="H8" t="s">
        <v>68</v>
      </c>
      <c r="I8" t="s">
        <v>58</v>
      </c>
      <c r="J8" t="s">
        <v>88</v>
      </c>
      <c r="K8" t="s">
        <v>89</v>
      </c>
      <c r="L8">
        <v>226.8</v>
      </c>
      <c r="M8">
        <v>3617.598</v>
      </c>
      <c r="N8" t="s">
        <v>90</v>
      </c>
      <c r="O8">
        <v>253</v>
      </c>
      <c r="P8">
        <v>3931.051</v>
      </c>
      <c r="Q8" s="1">
        <f>(O8-L8)/L8</f>
        <v>0.115520282186949</v>
      </c>
      <c r="R8" s="1">
        <f>(P8-M8)/M8</f>
        <v>0.0866467197295001</v>
      </c>
      <c r="S8" t="s">
        <v>87</v>
      </c>
      <c r="T8">
        <v>278.68</v>
      </c>
      <c r="U8">
        <v>3968.84</v>
      </c>
      <c r="V8" s="1">
        <f>(T8-O8)/O8</f>
        <v>0.101501976284585</v>
      </c>
      <c r="W8" s="1">
        <f>(U8-P8)/P8</f>
        <v>0.00961295083681189</v>
      </c>
      <c r="X8" t="s">
        <v>41</v>
      </c>
      <c r="Y8" t="s">
        <v>41</v>
      </c>
      <c r="Z8" t="s">
        <v>41</v>
      </c>
      <c r="AA8" s="2"/>
      <c r="AB8" s="2"/>
      <c r="AC8"/>
      <c r="AD8"/>
      <c r="AE8"/>
      <c r="AF8" s="2"/>
      <c r="AG8" s="2"/>
      <c r="AH8" t="s">
        <v>41</v>
      </c>
      <c r="AI8" t="s">
        <v>41</v>
      </c>
      <c r="AJ8" t="s">
        <v>41</v>
      </c>
    </row>
    <row r="9" spans="1:36">
      <c r="A9" t="s">
        <v>41</v>
      </c>
      <c r="B9" t="s">
        <v>41</v>
      </c>
      <c r="C9">
        <v>688200</v>
      </c>
      <c r="D9" t="s">
        <v>91</v>
      </c>
      <c r="E9" t="s">
        <v>92</v>
      </c>
      <c r="F9" t="s">
        <v>41</v>
      </c>
      <c r="G9" t="s">
        <v>87</v>
      </c>
      <c r="H9" t="s">
        <v>68</v>
      </c>
      <c r="I9" t="s">
        <v>93</v>
      </c>
      <c r="J9" t="s">
        <v>94</v>
      </c>
      <c r="K9" t="s">
        <v>58</v>
      </c>
      <c r="L9">
        <v>152.8</v>
      </c>
      <c r="M9">
        <v>3286.655</v>
      </c>
      <c r="N9" t="s">
        <v>57</v>
      </c>
      <c r="O9">
        <v>174.11</v>
      </c>
      <c r="P9">
        <v>3990.492</v>
      </c>
      <c r="Q9" s="1">
        <f>(O9-L9)/L9</f>
        <v>0.13946335078534</v>
      </c>
      <c r="R9" s="1">
        <f>(P9-M9)/M9</f>
        <v>0.214149948808135</v>
      </c>
      <c r="S9" t="s">
        <v>87</v>
      </c>
      <c r="T9">
        <v>190.2</v>
      </c>
      <c r="U9">
        <v>3968.84</v>
      </c>
      <c r="V9" s="1">
        <f>(T9-O9)/O9</f>
        <v>0.0924128424559185</v>
      </c>
      <c r="W9" s="1">
        <f>(U9-P9)/P9</f>
        <v>-0.00542589735802002</v>
      </c>
      <c r="X9" t="s">
        <v>41</v>
      </c>
      <c r="Y9" t="s">
        <v>41</v>
      </c>
      <c r="Z9" t="s">
        <v>41</v>
      </c>
      <c r="AA9" s="2"/>
      <c r="AB9" s="2"/>
      <c r="AC9"/>
      <c r="AD9"/>
      <c r="AE9"/>
      <c r="AF9" s="2"/>
      <c r="AG9" s="2"/>
      <c r="AH9" t="s">
        <v>41</v>
      </c>
      <c r="AI9" t="s">
        <v>41</v>
      </c>
      <c r="AJ9" t="s">
        <v>41</v>
      </c>
    </row>
    <row r="10" spans="1:36">
      <c r="A10">
        <v>118063</v>
      </c>
      <c r="B10" t="s">
        <v>95</v>
      </c>
      <c r="C10">
        <v>688676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71</v>
      </c>
      <c r="L10">
        <v>54.5</v>
      </c>
      <c r="M10">
        <v>3766.21</v>
      </c>
      <c r="N10" t="s">
        <v>103</v>
      </c>
      <c r="O10">
        <v>92.18</v>
      </c>
      <c r="P10">
        <v>3997.556</v>
      </c>
      <c r="Q10" s="1">
        <f>(O10-L10)/L10</f>
        <v>0.691376146788991</v>
      </c>
      <c r="R10" s="1">
        <f>(P10-M10)/M10</f>
        <v>0.0614267393480449</v>
      </c>
      <c r="S10" t="s">
        <v>104</v>
      </c>
      <c r="T10">
        <v>85.31</v>
      </c>
      <c r="U10">
        <v>3867.921</v>
      </c>
      <c r="V10" s="1">
        <f>(T10-O10)/O10</f>
        <v>-0.0745280972011283</v>
      </c>
      <c r="W10" s="1">
        <f>(U10-P10)/P10</f>
        <v>-0.0324285638525139</v>
      </c>
      <c r="X10" t="s">
        <v>99</v>
      </c>
      <c r="Y10">
        <v>90.31</v>
      </c>
      <c r="Z10">
        <v>3959.621</v>
      </c>
      <c r="AA10" s="2">
        <f>(Y10-T10)/T10</f>
        <v>0.0586097761106553</v>
      </c>
      <c r="AB10" s="2">
        <f>(Z10-U10)/U10</f>
        <v>0.0237078265042125</v>
      </c>
      <c r="AC10" t="s">
        <v>41</v>
      </c>
      <c r="AD10" t="s">
        <v>41</v>
      </c>
      <c r="AE10" t="s">
        <v>41</v>
      </c>
      <c r="AF10" s="2"/>
      <c r="AG10" s="2"/>
      <c r="AH10" t="s">
        <v>105</v>
      </c>
      <c r="AI10" t="s">
        <v>41</v>
      </c>
      <c r="AJ10" t="s">
        <v>41</v>
      </c>
    </row>
    <row r="11" spans="1:36">
      <c r="A11" t="s">
        <v>41</v>
      </c>
      <c r="B11" t="s">
        <v>41</v>
      </c>
      <c r="C11">
        <v>1301</v>
      </c>
      <c r="D11" s="6" t="s">
        <v>106</v>
      </c>
      <c r="E11" t="s">
        <v>107</v>
      </c>
      <c r="F11" t="s">
        <v>41</v>
      </c>
      <c r="G11" t="s">
        <v>108</v>
      </c>
      <c r="H11" t="s">
        <v>68</v>
      </c>
      <c r="I11" t="s">
        <v>109</v>
      </c>
      <c r="J11" t="s">
        <v>110</v>
      </c>
      <c r="K11" t="s">
        <v>111</v>
      </c>
      <c r="L11">
        <v>50.05</v>
      </c>
      <c r="M11">
        <v>3288.415</v>
      </c>
      <c r="N11" t="s">
        <v>112</v>
      </c>
      <c r="O11">
        <v>93.83</v>
      </c>
      <c r="P11">
        <v>4007.76</v>
      </c>
      <c r="Q11" s="1">
        <f>(O11-L11)/L11</f>
        <v>0.874725274725275</v>
      </c>
      <c r="R11" s="1">
        <f>(P11-M11)/M11</f>
        <v>0.218751282912893</v>
      </c>
      <c r="S11" t="s">
        <v>108</v>
      </c>
      <c r="T11">
        <v>78.63</v>
      </c>
      <c r="U11">
        <v>3876.371</v>
      </c>
      <c r="V11" s="1">
        <f>(T11-O11)/O11</f>
        <v>-0.161995097516786</v>
      </c>
      <c r="W11" s="1">
        <f>(U11-P11)/P11</f>
        <v>-0.0327836497195441</v>
      </c>
      <c r="X11" t="s">
        <v>41</v>
      </c>
      <c r="Y11" t="s">
        <v>41</v>
      </c>
      <c r="Z11" t="s">
        <v>41</v>
      </c>
      <c r="AA11" s="2"/>
      <c r="AB11" s="2"/>
      <c r="AC11"/>
      <c r="AD11"/>
      <c r="AE11"/>
      <c r="AF11" s="2"/>
      <c r="AG11" s="2"/>
      <c r="AH11" t="s">
        <v>41</v>
      </c>
      <c r="AI11" t="s">
        <v>41</v>
      </c>
      <c r="AJ11" t="s">
        <v>41</v>
      </c>
    </row>
    <row r="12" spans="1:36">
      <c r="A12">
        <v>123264</v>
      </c>
      <c r="B12" t="s">
        <v>113</v>
      </c>
      <c r="C12">
        <v>301036</v>
      </c>
      <c r="D12" s="6" t="s">
        <v>114</v>
      </c>
      <c r="E12" t="s">
        <v>115</v>
      </c>
      <c r="F12" t="s">
        <v>56</v>
      </c>
      <c r="G12" t="s">
        <v>116</v>
      </c>
      <c r="H12" t="s">
        <v>117</v>
      </c>
      <c r="I12" t="s">
        <v>118</v>
      </c>
      <c r="J12" t="s">
        <v>119</v>
      </c>
      <c r="K12" t="s">
        <v>74</v>
      </c>
      <c r="L12">
        <v>36.36</v>
      </c>
      <c r="M12">
        <v>3582.298</v>
      </c>
      <c r="N12" t="s">
        <v>120</v>
      </c>
      <c r="O12">
        <v>32.2</v>
      </c>
      <c r="P12">
        <v>3986.901</v>
      </c>
      <c r="Q12" s="1">
        <f>(O12-L12)/L12</f>
        <v>-0.114411441144114</v>
      </c>
      <c r="R12" s="1">
        <f>(P12-M12)/M12</f>
        <v>0.112945098369817</v>
      </c>
      <c r="S12" t="s">
        <v>121</v>
      </c>
      <c r="T12">
        <v>35.69</v>
      </c>
      <c r="U12">
        <v>3924.078</v>
      </c>
      <c r="V12" s="1">
        <f>(T12-O12)/O12</f>
        <v>0.108385093167702</v>
      </c>
      <c r="W12" s="1">
        <f>(U12-P12)/P12</f>
        <v>-0.0157573513864528</v>
      </c>
      <c r="X12" t="s">
        <v>116</v>
      </c>
      <c r="Y12">
        <v>34.75</v>
      </c>
      <c r="Z12">
        <v>3963.679</v>
      </c>
      <c r="AA12" s="2">
        <f>(Y12-T12)/T12</f>
        <v>-0.0263379097786494</v>
      </c>
      <c r="AB12" s="2">
        <f>(Z12-U12)/U12</f>
        <v>0.0100917973597875</v>
      </c>
      <c r="AC12" t="s">
        <v>41</v>
      </c>
      <c r="AD12" t="s">
        <v>41</v>
      </c>
      <c r="AE12" t="s">
        <v>41</v>
      </c>
      <c r="AF12" s="2"/>
      <c r="AG12" s="2"/>
      <c r="AH12" t="s">
        <v>122</v>
      </c>
      <c r="AI12" t="s">
        <v>41</v>
      </c>
      <c r="AJ12" t="s">
        <v>41</v>
      </c>
    </row>
    <row r="13" hidden="1" spans="1:36">
      <c r="A13" t="s">
        <v>41</v>
      </c>
      <c r="B13" t="s">
        <v>41</v>
      </c>
      <c r="C13">
        <v>688092</v>
      </c>
      <c r="D13" t="s">
        <v>123</v>
      </c>
      <c r="E13" t="s">
        <v>124</v>
      </c>
      <c r="F13" t="s">
        <v>41</v>
      </c>
      <c r="G13" t="s">
        <v>125</v>
      </c>
      <c r="H13" t="s">
        <v>126</v>
      </c>
      <c r="I13" t="s">
        <v>127</v>
      </c>
      <c r="J13" t="s">
        <v>128</v>
      </c>
      <c r="K13" t="s">
        <v>125</v>
      </c>
      <c r="L13">
        <v>24.36</v>
      </c>
      <c r="M13">
        <v>3864.184</v>
      </c>
      <c r="N13" t="s">
        <v>41</v>
      </c>
      <c r="O13" t="s">
        <v>41</v>
      </c>
      <c r="P13" t="s">
        <v>41</v>
      </c>
      <c r="Q13" s="2"/>
      <c r="R13" s="2"/>
      <c r="S13" t="s">
        <v>41</v>
      </c>
      <c r="T13" t="s">
        <v>41</v>
      </c>
      <c r="U13" t="s">
        <v>41</v>
      </c>
      <c r="V13" s="2"/>
      <c r="W13" s="2"/>
      <c r="X13" t="s">
        <v>41</v>
      </c>
      <c r="Y13" t="s">
        <v>41</v>
      </c>
      <c r="Z13" t="s">
        <v>41</v>
      </c>
      <c r="AA13" s="2"/>
      <c r="AB13" s="2"/>
      <c r="AC13"/>
      <c r="AD13"/>
      <c r="AE13"/>
      <c r="AF13" s="2"/>
      <c r="AG13" s="2"/>
      <c r="AH13" t="s">
        <v>41</v>
      </c>
      <c r="AI13" t="s">
        <v>41</v>
      </c>
      <c r="AJ13" t="s">
        <v>41</v>
      </c>
    </row>
    <row r="14" spans="1:36">
      <c r="A14" t="s">
        <v>41</v>
      </c>
      <c r="B14" t="s">
        <v>41</v>
      </c>
      <c r="C14">
        <v>603759</v>
      </c>
      <c r="D14" t="s">
        <v>129</v>
      </c>
      <c r="E14" t="s">
        <v>130</v>
      </c>
      <c r="F14" t="s">
        <v>41</v>
      </c>
      <c r="G14" t="s">
        <v>131</v>
      </c>
      <c r="H14" t="s">
        <v>132</v>
      </c>
      <c r="I14" t="s">
        <v>128</v>
      </c>
      <c r="J14" t="s">
        <v>133</v>
      </c>
      <c r="K14" t="s">
        <v>62</v>
      </c>
      <c r="L14">
        <v>11.74</v>
      </c>
      <c r="M14">
        <v>3976.521</v>
      </c>
      <c r="N14" t="s">
        <v>131</v>
      </c>
      <c r="O14">
        <v>10.07</v>
      </c>
      <c r="P14">
        <v>3870.278</v>
      </c>
      <c r="Q14" s="1">
        <f>(O14-L14)/L14</f>
        <v>-0.142248722316865</v>
      </c>
      <c r="R14" s="1">
        <f>(P14-M14)/M14</f>
        <v>-0.026717575488725</v>
      </c>
      <c r="S14" t="s">
        <v>41</v>
      </c>
      <c r="T14" t="s">
        <v>41</v>
      </c>
      <c r="U14" t="s">
        <v>41</v>
      </c>
      <c r="V14" s="1"/>
      <c r="W14" s="1"/>
      <c r="X14" t="s">
        <v>41</v>
      </c>
      <c r="Y14" t="s">
        <v>41</v>
      </c>
      <c r="Z14" t="s">
        <v>41</v>
      </c>
      <c r="AA14" s="2"/>
      <c r="AB14" s="2"/>
      <c r="AC14"/>
      <c r="AD14"/>
      <c r="AE14"/>
      <c r="AF14" s="2"/>
      <c r="AG14" s="2"/>
      <c r="AH14" t="s">
        <v>41</v>
      </c>
      <c r="AI14" t="s">
        <v>41</v>
      </c>
      <c r="AJ14" t="s">
        <v>41</v>
      </c>
    </row>
    <row r="15" hidden="1" spans="1:36">
      <c r="A15" t="s">
        <v>41</v>
      </c>
      <c r="B15" t="s">
        <v>41</v>
      </c>
      <c r="C15">
        <v>301059</v>
      </c>
      <c r="D15" t="s">
        <v>134</v>
      </c>
      <c r="E15" t="s">
        <v>135</v>
      </c>
      <c r="F15" t="s">
        <v>41</v>
      </c>
      <c r="G15" t="s">
        <v>136</v>
      </c>
      <c r="H15" t="s">
        <v>126</v>
      </c>
      <c r="I15" t="s">
        <v>137</v>
      </c>
      <c r="J15" t="s">
        <v>138</v>
      </c>
      <c r="K15" t="s">
        <v>136</v>
      </c>
      <c r="L15">
        <v>12.07</v>
      </c>
      <c r="M15">
        <v>3954.79</v>
      </c>
      <c r="N15" t="s">
        <v>41</v>
      </c>
      <c r="O15" t="s">
        <v>41</v>
      </c>
      <c r="P15" t="s">
        <v>41</v>
      </c>
      <c r="Q15" s="2"/>
      <c r="R15" s="2"/>
      <c r="S15" t="s">
        <v>41</v>
      </c>
      <c r="T15" t="s">
        <v>41</v>
      </c>
      <c r="U15" t="s">
        <v>41</v>
      </c>
      <c r="V15" s="2"/>
      <c r="W15" s="2"/>
      <c r="X15" t="s">
        <v>41</v>
      </c>
      <c r="Y15" t="s">
        <v>41</v>
      </c>
      <c r="Z15" t="s">
        <v>41</v>
      </c>
      <c r="AA15" s="2"/>
      <c r="AB15" s="2"/>
      <c r="AC15"/>
      <c r="AD15"/>
      <c r="AE15"/>
      <c r="AF15" s="2"/>
      <c r="AG15" s="2"/>
      <c r="AH15" t="s">
        <v>41</v>
      </c>
      <c r="AI15" t="s">
        <v>41</v>
      </c>
      <c r="AJ15" t="s">
        <v>41</v>
      </c>
    </row>
    <row r="16" spans="1:36">
      <c r="A16" t="s">
        <v>41</v>
      </c>
      <c r="B16" t="s">
        <v>41</v>
      </c>
      <c r="C16">
        <v>603500</v>
      </c>
      <c r="D16" s="6" t="s">
        <v>139</v>
      </c>
      <c r="E16" t="s">
        <v>140</v>
      </c>
      <c r="F16" t="s">
        <v>41</v>
      </c>
      <c r="G16" t="s">
        <v>141</v>
      </c>
      <c r="H16" t="s">
        <v>132</v>
      </c>
      <c r="I16" t="s">
        <v>142</v>
      </c>
      <c r="J16" t="s">
        <v>143</v>
      </c>
      <c r="K16" t="s">
        <v>136</v>
      </c>
      <c r="L16">
        <v>12.71</v>
      </c>
      <c r="M16">
        <v>3954.79</v>
      </c>
      <c r="N16" t="s">
        <v>141</v>
      </c>
      <c r="O16">
        <v>11.42</v>
      </c>
      <c r="P16">
        <v>3909.522</v>
      </c>
      <c r="Q16" s="1">
        <f>(O16-L16)/L16</f>
        <v>-0.101494885916601</v>
      </c>
      <c r="R16" s="1">
        <f>(P16-M16)/M16</f>
        <v>-0.0114463726266123</v>
      </c>
      <c r="S16" t="s">
        <v>41</v>
      </c>
      <c r="T16" t="s">
        <v>41</v>
      </c>
      <c r="U16" t="s">
        <v>41</v>
      </c>
      <c r="V16" s="1"/>
      <c r="W16" s="1"/>
      <c r="X16" t="s">
        <v>41</v>
      </c>
      <c r="Y16" t="s">
        <v>41</v>
      </c>
      <c r="Z16" t="s">
        <v>41</v>
      </c>
      <c r="AA16" s="2"/>
      <c r="AB16" s="2"/>
      <c r="AC16"/>
      <c r="AD16"/>
      <c r="AE16"/>
      <c r="AF16" s="2"/>
      <c r="AG16" s="2"/>
      <c r="AH16" t="s">
        <v>41</v>
      </c>
      <c r="AI16" t="s">
        <v>41</v>
      </c>
      <c r="AJ16" t="s">
        <v>41</v>
      </c>
    </row>
    <row r="17" hidden="1" spans="1:36">
      <c r="A17" t="s">
        <v>41</v>
      </c>
      <c r="B17" t="s">
        <v>41</v>
      </c>
      <c r="C17">
        <v>301611</v>
      </c>
      <c r="D17" t="s">
        <v>144</v>
      </c>
      <c r="E17" t="s">
        <v>145</v>
      </c>
      <c r="F17" t="s">
        <v>41</v>
      </c>
      <c r="G17" t="s">
        <v>120</v>
      </c>
      <c r="H17" t="s">
        <v>126</v>
      </c>
      <c r="I17" t="s">
        <v>83</v>
      </c>
      <c r="J17" t="s">
        <v>146</v>
      </c>
      <c r="K17" t="s">
        <v>120</v>
      </c>
      <c r="L17">
        <v>55.85</v>
      </c>
      <c r="M17">
        <v>3986.901</v>
      </c>
      <c r="N17" t="s">
        <v>41</v>
      </c>
      <c r="O17" t="s">
        <v>41</v>
      </c>
      <c r="P17" t="s">
        <v>41</v>
      </c>
      <c r="Q17" s="2"/>
      <c r="R17" s="2"/>
      <c r="S17" t="s">
        <v>41</v>
      </c>
      <c r="T17" t="s">
        <v>41</v>
      </c>
      <c r="U17" t="s">
        <v>41</v>
      </c>
      <c r="V17" s="2"/>
      <c r="W17" s="2"/>
      <c r="X17" t="s">
        <v>41</v>
      </c>
      <c r="Y17" t="s">
        <v>41</v>
      </c>
      <c r="Z17" t="s">
        <v>41</v>
      </c>
      <c r="AA17" s="2"/>
      <c r="AB17" s="2"/>
      <c r="AC17"/>
      <c r="AD17"/>
      <c r="AE17"/>
      <c r="AF17" s="2"/>
      <c r="AG17" s="2"/>
      <c r="AH17" t="s">
        <v>41</v>
      </c>
      <c r="AI17" t="s">
        <v>41</v>
      </c>
      <c r="AJ17" t="s">
        <v>41</v>
      </c>
    </row>
    <row r="18" hidden="1" spans="1:36">
      <c r="A18" t="s">
        <v>41</v>
      </c>
      <c r="B18" t="s">
        <v>41</v>
      </c>
      <c r="C18">
        <v>605589</v>
      </c>
      <c r="D18" t="s">
        <v>147</v>
      </c>
      <c r="E18" t="s">
        <v>148</v>
      </c>
      <c r="F18" t="s">
        <v>41</v>
      </c>
      <c r="G18" t="s">
        <v>120</v>
      </c>
      <c r="H18" t="s">
        <v>126</v>
      </c>
      <c r="I18" t="s">
        <v>149</v>
      </c>
      <c r="J18" t="s">
        <v>150</v>
      </c>
      <c r="K18" t="s">
        <v>120</v>
      </c>
      <c r="L18">
        <v>28.69</v>
      </c>
      <c r="M18">
        <v>3986.901</v>
      </c>
      <c r="N18" t="s">
        <v>41</v>
      </c>
      <c r="O18" t="s">
        <v>41</v>
      </c>
      <c r="P18" t="s">
        <v>41</v>
      </c>
      <c r="Q18" s="2"/>
      <c r="R18" s="2"/>
      <c r="S18" t="s">
        <v>41</v>
      </c>
      <c r="T18" t="s">
        <v>41</v>
      </c>
      <c r="U18" t="s">
        <v>41</v>
      </c>
      <c r="V18" s="2"/>
      <c r="W18" s="2"/>
      <c r="X18" t="s">
        <v>41</v>
      </c>
      <c r="Y18" t="s">
        <v>41</v>
      </c>
      <c r="Z18" t="s">
        <v>41</v>
      </c>
      <c r="AA18" s="2"/>
      <c r="AB18" s="2"/>
      <c r="AC18"/>
      <c r="AD18"/>
      <c r="AE18"/>
      <c r="AF18" s="2"/>
      <c r="AG18" s="2"/>
      <c r="AH18" t="s">
        <v>41</v>
      </c>
      <c r="AI18" t="s">
        <v>41</v>
      </c>
      <c r="AJ18" t="s">
        <v>41</v>
      </c>
    </row>
    <row r="19" hidden="1" spans="1:36">
      <c r="A19" t="s">
        <v>41</v>
      </c>
      <c r="B19" t="s">
        <v>41</v>
      </c>
      <c r="C19">
        <v>301565</v>
      </c>
      <c r="D19" t="s">
        <v>151</v>
      </c>
      <c r="E19" t="s">
        <v>152</v>
      </c>
      <c r="F19" t="s">
        <v>41</v>
      </c>
      <c r="G19" t="s">
        <v>120</v>
      </c>
      <c r="H19" t="s">
        <v>126</v>
      </c>
      <c r="I19" t="s">
        <v>127</v>
      </c>
      <c r="J19" t="s">
        <v>153</v>
      </c>
      <c r="K19" t="s">
        <v>120</v>
      </c>
      <c r="L19">
        <v>24.23</v>
      </c>
      <c r="M19">
        <v>3986.901</v>
      </c>
      <c r="N19" t="s">
        <v>41</v>
      </c>
      <c r="O19" t="s">
        <v>41</v>
      </c>
      <c r="P19" t="s">
        <v>41</v>
      </c>
      <c r="Q19" s="2"/>
      <c r="R19" s="2"/>
      <c r="S19" t="s">
        <v>41</v>
      </c>
      <c r="T19" t="s">
        <v>41</v>
      </c>
      <c r="U19" t="s">
        <v>41</v>
      </c>
      <c r="V19" s="2"/>
      <c r="W19" s="2"/>
      <c r="X19" t="s">
        <v>41</v>
      </c>
      <c r="Y19" t="s">
        <v>41</v>
      </c>
      <c r="Z19" t="s">
        <v>41</v>
      </c>
      <c r="AA19" s="2"/>
      <c r="AB19" s="2"/>
      <c r="AC19"/>
      <c r="AD19"/>
      <c r="AE19"/>
      <c r="AF19" s="2"/>
      <c r="AG19" s="2"/>
      <c r="AH19" t="s">
        <v>41</v>
      </c>
      <c r="AI19" t="s">
        <v>41</v>
      </c>
      <c r="AJ19" t="s">
        <v>41</v>
      </c>
    </row>
    <row r="20" hidden="1" spans="1:36">
      <c r="A20" t="s">
        <v>41</v>
      </c>
      <c r="B20" t="s">
        <v>41</v>
      </c>
      <c r="C20">
        <v>603290</v>
      </c>
      <c r="D20" t="s">
        <v>154</v>
      </c>
      <c r="E20" t="s">
        <v>155</v>
      </c>
      <c r="F20" t="s">
        <v>41</v>
      </c>
      <c r="G20" t="s">
        <v>120</v>
      </c>
      <c r="H20" t="s">
        <v>126</v>
      </c>
      <c r="I20" t="s">
        <v>88</v>
      </c>
      <c r="J20" t="s">
        <v>156</v>
      </c>
      <c r="K20" t="s">
        <v>120</v>
      </c>
      <c r="L20">
        <v>107.25</v>
      </c>
      <c r="M20">
        <v>3986.901</v>
      </c>
      <c r="N20" t="s">
        <v>41</v>
      </c>
      <c r="O20" t="s">
        <v>41</v>
      </c>
      <c r="P20" t="s">
        <v>41</v>
      </c>
      <c r="Q20" s="2"/>
      <c r="R20" s="2"/>
      <c r="S20" t="s">
        <v>41</v>
      </c>
      <c r="T20" t="s">
        <v>41</v>
      </c>
      <c r="U20" t="s">
        <v>41</v>
      </c>
      <c r="V20" s="2"/>
      <c r="W20" s="2"/>
      <c r="X20" t="s">
        <v>41</v>
      </c>
      <c r="Y20" t="s">
        <v>41</v>
      </c>
      <c r="Z20" t="s">
        <v>41</v>
      </c>
      <c r="AA20" s="2"/>
      <c r="AB20" s="2"/>
      <c r="AC20"/>
      <c r="AD20"/>
      <c r="AE20"/>
      <c r="AF20" s="2"/>
      <c r="AG20" s="2"/>
      <c r="AH20" t="s">
        <v>41</v>
      </c>
      <c r="AI20" t="s">
        <v>41</v>
      </c>
      <c r="AJ20" t="s">
        <v>41</v>
      </c>
    </row>
    <row r="21" hidden="1" spans="1:36">
      <c r="A21" t="s">
        <v>41</v>
      </c>
      <c r="B21" t="s">
        <v>41</v>
      </c>
      <c r="C21">
        <v>603125</v>
      </c>
      <c r="D21" t="s">
        <v>157</v>
      </c>
      <c r="E21" t="s">
        <v>115</v>
      </c>
      <c r="F21" t="s">
        <v>41</v>
      </c>
      <c r="G21" t="s">
        <v>120</v>
      </c>
      <c r="H21" t="s">
        <v>126</v>
      </c>
      <c r="I21" t="s">
        <v>158</v>
      </c>
      <c r="J21" t="s">
        <v>159</v>
      </c>
      <c r="K21" t="s">
        <v>120</v>
      </c>
      <c r="L21">
        <v>16.44</v>
      </c>
      <c r="M21">
        <v>3986.901</v>
      </c>
      <c r="N21" t="s">
        <v>41</v>
      </c>
      <c r="O21" t="s">
        <v>41</v>
      </c>
      <c r="P21" t="s">
        <v>41</v>
      </c>
      <c r="Q21" s="2"/>
      <c r="R21" s="2"/>
      <c r="S21" t="s">
        <v>41</v>
      </c>
      <c r="T21" t="s">
        <v>41</v>
      </c>
      <c r="U21" t="s">
        <v>41</v>
      </c>
      <c r="V21" s="2"/>
      <c r="W21" s="2"/>
      <c r="X21" t="s">
        <v>41</v>
      </c>
      <c r="Y21" t="s">
        <v>41</v>
      </c>
      <c r="Z21" t="s">
        <v>41</v>
      </c>
      <c r="AA21" s="2"/>
      <c r="AB21" s="2"/>
      <c r="AC21"/>
      <c r="AD21"/>
      <c r="AE21"/>
      <c r="AF21" s="2"/>
      <c r="AG21" s="2"/>
      <c r="AH21" t="s">
        <v>41</v>
      </c>
      <c r="AI21" t="s">
        <v>41</v>
      </c>
      <c r="AJ21" t="s">
        <v>41</v>
      </c>
    </row>
    <row r="22" hidden="1" spans="1:36">
      <c r="A22" t="s">
        <v>41</v>
      </c>
      <c r="B22" t="s">
        <v>41</v>
      </c>
      <c r="C22">
        <v>300881</v>
      </c>
      <c r="D22" t="s">
        <v>160</v>
      </c>
      <c r="E22" t="s">
        <v>161</v>
      </c>
      <c r="F22" t="s">
        <v>41</v>
      </c>
      <c r="G22" t="s">
        <v>120</v>
      </c>
      <c r="H22" t="s">
        <v>126</v>
      </c>
      <c r="I22" t="s">
        <v>162</v>
      </c>
      <c r="J22" t="s">
        <v>163</v>
      </c>
      <c r="K22" t="s">
        <v>120</v>
      </c>
      <c r="L22">
        <v>36.79</v>
      </c>
      <c r="M22">
        <v>3986.901</v>
      </c>
      <c r="N22" t="s">
        <v>41</v>
      </c>
      <c r="O22" t="s">
        <v>41</v>
      </c>
      <c r="P22" t="s">
        <v>41</v>
      </c>
      <c r="Q22" s="2"/>
      <c r="R22" s="2"/>
      <c r="S22" t="s">
        <v>41</v>
      </c>
      <c r="T22" t="s">
        <v>41</v>
      </c>
      <c r="U22" t="s">
        <v>41</v>
      </c>
      <c r="V22" s="2"/>
      <c r="W22" s="2"/>
      <c r="X22" t="s">
        <v>41</v>
      </c>
      <c r="Y22" t="s">
        <v>41</v>
      </c>
      <c r="Z22" t="s">
        <v>41</v>
      </c>
      <c r="AA22" s="2"/>
      <c r="AB22" s="2"/>
      <c r="AC22"/>
      <c r="AD22"/>
      <c r="AE22"/>
      <c r="AF22" s="2"/>
      <c r="AG22" s="2"/>
      <c r="AH22" t="s">
        <v>41</v>
      </c>
      <c r="AI22" t="s">
        <v>41</v>
      </c>
      <c r="AJ22" t="s">
        <v>41</v>
      </c>
    </row>
    <row r="23" hidden="1" spans="1:36">
      <c r="A23" t="s">
        <v>41</v>
      </c>
      <c r="B23" t="s">
        <v>41</v>
      </c>
      <c r="C23">
        <v>300453</v>
      </c>
      <c r="D23" t="s">
        <v>164</v>
      </c>
      <c r="E23" t="s">
        <v>165</v>
      </c>
      <c r="F23" t="s">
        <v>41</v>
      </c>
      <c r="G23" t="s">
        <v>166</v>
      </c>
      <c r="H23" t="s">
        <v>126</v>
      </c>
      <c r="I23" t="s">
        <v>167</v>
      </c>
      <c r="J23" t="s">
        <v>168</v>
      </c>
      <c r="K23" t="s">
        <v>166</v>
      </c>
      <c r="L23">
        <v>9.16</v>
      </c>
      <c r="M23">
        <v>4016.331</v>
      </c>
      <c r="N23" t="s">
        <v>41</v>
      </c>
      <c r="O23" t="s">
        <v>41</v>
      </c>
      <c r="P23" t="s">
        <v>41</v>
      </c>
      <c r="Q23" s="2"/>
      <c r="R23" s="2"/>
      <c r="S23" t="s">
        <v>41</v>
      </c>
      <c r="T23" t="s">
        <v>41</v>
      </c>
      <c r="U23" t="s">
        <v>41</v>
      </c>
      <c r="V23" s="2"/>
      <c r="W23" s="2"/>
      <c r="X23" t="s">
        <v>41</v>
      </c>
      <c r="Y23" t="s">
        <v>41</v>
      </c>
      <c r="Z23" t="s">
        <v>41</v>
      </c>
      <c r="AA23" s="2"/>
      <c r="AB23" s="2"/>
      <c r="AC23"/>
      <c r="AD23"/>
      <c r="AE23"/>
      <c r="AF23" s="2"/>
      <c r="AG23" s="2"/>
      <c r="AH23" t="s">
        <v>41</v>
      </c>
      <c r="AI23" t="s">
        <v>41</v>
      </c>
      <c r="AJ23" t="s">
        <v>41</v>
      </c>
    </row>
    <row r="24" hidden="1" spans="1:36">
      <c r="A24" t="s">
        <v>41</v>
      </c>
      <c r="B24" t="s">
        <v>41</v>
      </c>
      <c r="C24">
        <v>301499</v>
      </c>
      <c r="D24" t="s">
        <v>169</v>
      </c>
      <c r="E24" t="s">
        <v>170</v>
      </c>
      <c r="F24" t="s">
        <v>41</v>
      </c>
      <c r="G24" t="s">
        <v>171</v>
      </c>
      <c r="H24" t="s">
        <v>126</v>
      </c>
      <c r="I24" t="s">
        <v>172</v>
      </c>
      <c r="J24" t="s">
        <v>173</v>
      </c>
      <c r="K24" t="s">
        <v>171</v>
      </c>
      <c r="L24">
        <v>27.55</v>
      </c>
      <c r="M24">
        <v>3988.224</v>
      </c>
      <c r="N24" t="s">
        <v>41</v>
      </c>
      <c r="O24" t="s">
        <v>41</v>
      </c>
      <c r="P24" t="s">
        <v>41</v>
      </c>
      <c r="Q24" s="2"/>
      <c r="R24" s="2"/>
      <c r="S24" t="s">
        <v>41</v>
      </c>
      <c r="T24" t="s">
        <v>41</v>
      </c>
      <c r="U24" t="s">
        <v>41</v>
      </c>
      <c r="V24" s="2"/>
      <c r="W24" s="2"/>
      <c r="X24" t="s">
        <v>41</v>
      </c>
      <c r="Y24" t="s">
        <v>41</v>
      </c>
      <c r="Z24" t="s">
        <v>41</v>
      </c>
      <c r="AA24" s="2"/>
      <c r="AB24" s="2"/>
      <c r="AC24"/>
      <c r="AD24"/>
      <c r="AE24"/>
      <c r="AF24" s="2"/>
      <c r="AG24" s="2"/>
      <c r="AH24" t="s">
        <v>41</v>
      </c>
      <c r="AI24" t="s">
        <v>41</v>
      </c>
      <c r="AJ24" t="s">
        <v>41</v>
      </c>
    </row>
    <row r="25" hidden="1" spans="1:36">
      <c r="A25" t="s">
        <v>41</v>
      </c>
      <c r="B25" t="s">
        <v>41</v>
      </c>
      <c r="C25">
        <v>300491</v>
      </c>
      <c r="D25" t="s">
        <v>174</v>
      </c>
      <c r="E25" t="s">
        <v>175</v>
      </c>
      <c r="F25" t="s">
        <v>41</v>
      </c>
      <c r="G25" t="s">
        <v>171</v>
      </c>
      <c r="H25" t="s">
        <v>126</v>
      </c>
      <c r="I25" t="s">
        <v>172</v>
      </c>
      <c r="J25" t="s">
        <v>176</v>
      </c>
      <c r="K25" t="s">
        <v>171</v>
      </c>
      <c r="L25">
        <v>31.17</v>
      </c>
      <c r="M25">
        <v>3988.224</v>
      </c>
      <c r="N25" t="s">
        <v>41</v>
      </c>
      <c r="O25" t="s">
        <v>41</v>
      </c>
      <c r="P25" t="s">
        <v>41</v>
      </c>
      <c r="Q25" s="2"/>
      <c r="R25" s="2"/>
      <c r="S25" t="s">
        <v>41</v>
      </c>
      <c r="T25" t="s">
        <v>41</v>
      </c>
      <c r="U25" t="s">
        <v>41</v>
      </c>
      <c r="V25" s="2"/>
      <c r="W25" s="2"/>
      <c r="X25" t="s">
        <v>41</v>
      </c>
      <c r="Y25" t="s">
        <v>41</v>
      </c>
      <c r="Z25" t="s">
        <v>41</v>
      </c>
      <c r="AA25" s="2"/>
      <c r="AB25" s="2"/>
      <c r="AC25"/>
      <c r="AD25"/>
      <c r="AE25"/>
      <c r="AF25" s="2"/>
      <c r="AG25" s="2"/>
      <c r="AH25" t="s">
        <v>41</v>
      </c>
      <c r="AI25" t="s">
        <v>41</v>
      </c>
      <c r="AJ25" t="s">
        <v>41</v>
      </c>
    </row>
    <row r="26" hidden="1" spans="1:36">
      <c r="A26" t="s">
        <v>41</v>
      </c>
      <c r="B26" t="s">
        <v>41</v>
      </c>
      <c r="C26">
        <v>300909</v>
      </c>
      <c r="D26" t="s">
        <v>177</v>
      </c>
      <c r="E26" t="s">
        <v>178</v>
      </c>
      <c r="F26" t="s">
        <v>41</v>
      </c>
      <c r="G26" t="s">
        <v>179</v>
      </c>
      <c r="H26" t="s">
        <v>126</v>
      </c>
      <c r="I26" t="s">
        <v>173</v>
      </c>
      <c r="J26" t="s">
        <v>163</v>
      </c>
      <c r="K26" t="s">
        <v>179</v>
      </c>
      <c r="L26">
        <v>34.96</v>
      </c>
      <c r="M26">
        <v>3996.945</v>
      </c>
      <c r="N26" t="s">
        <v>41</v>
      </c>
      <c r="O26" t="s">
        <v>41</v>
      </c>
      <c r="P26" t="s">
        <v>41</v>
      </c>
      <c r="Q26" s="2"/>
      <c r="R26" s="2"/>
      <c r="S26" t="s">
        <v>41</v>
      </c>
      <c r="T26" t="s">
        <v>41</v>
      </c>
      <c r="U26" t="s">
        <v>41</v>
      </c>
      <c r="V26" s="2"/>
      <c r="W26" s="2"/>
      <c r="X26" t="s">
        <v>41</v>
      </c>
      <c r="Y26" t="s">
        <v>41</v>
      </c>
      <c r="Z26" t="s">
        <v>41</v>
      </c>
      <c r="AA26" s="2"/>
      <c r="AB26" s="2"/>
      <c r="AC26"/>
      <c r="AD26"/>
      <c r="AE26"/>
      <c r="AF26" s="2"/>
      <c r="AG26" s="2"/>
      <c r="AH26" t="s">
        <v>41</v>
      </c>
      <c r="AI26" t="s">
        <v>41</v>
      </c>
      <c r="AJ26" t="s">
        <v>41</v>
      </c>
    </row>
    <row r="27" hidden="1" spans="1:36">
      <c r="A27" t="s">
        <v>41</v>
      </c>
      <c r="B27" t="s">
        <v>41</v>
      </c>
      <c r="C27">
        <v>301210</v>
      </c>
      <c r="D27" t="s">
        <v>180</v>
      </c>
      <c r="E27" t="s">
        <v>181</v>
      </c>
      <c r="F27" t="s">
        <v>41</v>
      </c>
      <c r="G27" t="s">
        <v>182</v>
      </c>
      <c r="H27" t="s">
        <v>126</v>
      </c>
      <c r="I27" t="s">
        <v>102</v>
      </c>
      <c r="J27" t="s">
        <v>183</v>
      </c>
      <c r="K27" t="s">
        <v>182</v>
      </c>
      <c r="L27">
        <v>41.62</v>
      </c>
      <c r="M27">
        <v>3922.41</v>
      </c>
      <c r="N27" t="s">
        <v>41</v>
      </c>
      <c r="O27" t="s">
        <v>41</v>
      </c>
      <c r="P27" t="s">
        <v>41</v>
      </c>
      <c r="Q27" s="2"/>
      <c r="R27" s="2"/>
      <c r="S27" t="s">
        <v>41</v>
      </c>
      <c r="T27" t="s">
        <v>41</v>
      </c>
      <c r="U27" t="s">
        <v>41</v>
      </c>
      <c r="V27" s="2"/>
      <c r="W27" s="2"/>
      <c r="X27" t="s">
        <v>41</v>
      </c>
      <c r="Y27" t="s">
        <v>41</v>
      </c>
      <c r="Z27" t="s">
        <v>41</v>
      </c>
      <c r="AA27" s="2"/>
      <c r="AB27" s="2"/>
      <c r="AC27"/>
      <c r="AD27"/>
      <c r="AE27"/>
      <c r="AF27" s="2"/>
      <c r="AG27" s="2"/>
      <c r="AH27" t="s">
        <v>41</v>
      </c>
      <c r="AI27" t="s">
        <v>41</v>
      </c>
      <c r="AJ27" t="s">
        <v>41</v>
      </c>
    </row>
    <row r="28" hidden="1" spans="1:36">
      <c r="A28" t="s">
        <v>41</v>
      </c>
      <c r="B28" t="s">
        <v>41</v>
      </c>
      <c r="C28">
        <v>300815</v>
      </c>
      <c r="D28" t="s">
        <v>184</v>
      </c>
      <c r="E28" t="s">
        <v>155</v>
      </c>
      <c r="F28" t="s">
        <v>41</v>
      </c>
      <c r="G28" t="s">
        <v>185</v>
      </c>
      <c r="H28" t="s">
        <v>126</v>
      </c>
      <c r="I28" t="s">
        <v>186</v>
      </c>
      <c r="J28" t="s">
        <v>187</v>
      </c>
      <c r="K28" t="s">
        <v>185</v>
      </c>
      <c r="L28">
        <v>24.78</v>
      </c>
      <c r="M28">
        <v>3863.893</v>
      </c>
      <c r="N28" t="s">
        <v>41</v>
      </c>
      <c r="O28" t="s">
        <v>41</v>
      </c>
      <c r="P28" t="s">
        <v>41</v>
      </c>
      <c r="Q28" s="2"/>
      <c r="R28" s="2"/>
      <c r="S28" t="s">
        <v>41</v>
      </c>
      <c r="T28" t="s">
        <v>41</v>
      </c>
      <c r="U28" t="s">
        <v>41</v>
      </c>
      <c r="V28" s="2"/>
      <c r="W28" s="2"/>
      <c r="X28" t="s">
        <v>41</v>
      </c>
      <c r="Y28" t="s">
        <v>41</v>
      </c>
      <c r="Z28" t="s">
        <v>41</v>
      </c>
      <c r="AA28" s="2"/>
      <c r="AB28" s="2"/>
      <c r="AC28"/>
      <c r="AD28"/>
      <c r="AE28"/>
      <c r="AF28" s="2"/>
      <c r="AG28" s="2"/>
      <c r="AH28" t="s">
        <v>41</v>
      </c>
      <c r="AI28" t="s">
        <v>41</v>
      </c>
      <c r="AJ28" t="s">
        <v>41</v>
      </c>
    </row>
    <row r="29" spans="1:36">
      <c r="A29" t="s">
        <v>41</v>
      </c>
      <c r="B29" t="s">
        <v>41</v>
      </c>
      <c r="C29">
        <v>688798</v>
      </c>
      <c r="D29" s="6" t="s">
        <v>188</v>
      </c>
      <c r="E29" t="s">
        <v>189</v>
      </c>
      <c r="F29" t="s">
        <v>41</v>
      </c>
      <c r="G29" t="s">
        <v>81</v>
      </c>
      <c r="H29" t="s">
        <v>68</v>
      </c>
      <c r="I29" t="s">
        <v>190</v>
      </c>
      <c r="J29" t="s">
        <v>191</v>
      </c>
      <c r="K29" t="s">
        <v>192</v>
      </c>
      <c r="L29">
        <v>77.87</v>
      </c>
      <c r="M29">
        <v>3839.755</v>
      </c>
      <c r="N29" t="s">
        <v>39</v>
      </c>
      <c r="O29">
        <v>74.13</v>
      </c>
      <c r="P29">
        <v>3902.808</v>
      </c>
      <c r="Q29" s="1">
        <f>(O29-L29)/L29</f>
        <v>-0.0480287658918712</v>
      </c>
      <c r="R29" s="1">
        <f>(P29-M29)/M29</f>
        <v>0.0164210997837101</v>
      </c>
      <c r="S29" t="s">
        <v>81</v>
      </c>
      <c r="T29">
        <v>78.06</v>
      </c>
      <c r="U29" t="s">
        <v>41</v>
      </c>
      <c r="V29" s="1">
        <f>(T29-O29)/O29</f>
        <v>0.0530149736948605</v>
      </c>
      <c r="X29" t="s">
        <v>41</v>
      </c>
      <c r="Y29" t="s">
        <v>41</v>
      </c>
      <c r="Z29" t="s">
        <v>41</v>
      </c>
      <c r="AA29" s="2"/>
      <c r="AB29" s="2"/>
      <c r="AC29" t="s">
        <v>41</v>
      </c>
      <c r="AD29" t="s">
        <v>41</v>
      </c>
      <c r="AE29" t="s">
        <v>41</v>
      </c>
      <c r="AF29" s="2"/>
      <c r="AG29" s="2"/>
      <c r="AH29" t="s">
        <v>41</v>
      </c>
      <c r="AI29" t="s">
        <v>41</v>
      </c>
      <c r="AJ29" t="s">
        <v>41</v>
      </c>
    </row>
    <row r="30" hidden="1" spans="1:36">
      <c r="A30" t="s">
        <v>41</v>
      </c>
      <c r="B30" t="s">
        <v>41</v>
      </c>
      <c r="C30">
        <v>600642</v>
      </c>
      <c r="D30" t="s">
        <v>193</v>
      </c>
      <c r="E30" t="s">
        <v>194</v>
      </c>
      <c r="F30" t="s">
        <v>41</v>
      </c>
      <c r="G30" t="s">
        <v>133</v>
      </c>
      <c r="H30" t="s">
        <v>126</v>
      </c>
      <c r="I30" t="s">
        <v>195</v>
      </c>
      <c r="J30" t="s">
        <v>150</v>
      </c>
      <c r="K30" t="s">
        <v>133</v>
      </c>
      <c r="L30">
        <v>8.13</v>
      </c>
      <c r="M30">
        <v>3916.228</v>
      </c>
      <c r="N30" t="s">
        <v>41</v>
      </c>
      <c r="O30" t="s">
        <v>41</v>
      </c>
      <c r="P30" t="s">
        <v>41</v>
      </c>
      <c r="Q30" s="2"/>
      <c r="R30" s="2"/>
      <c r="S30" t="s">
        <v>41</v>
      </c>
      <c r="T30" t="s">
        <v>41</v>
      </c>
      <c r="U30" t="s">
        <v>41</v>
      </c>
      <c r="V30" s="2"/>
      <c r="W30" s="2"/>
      <c r="X30" t="s">
        <v>41</v>
      </c>
      <c r="Y30" t="s">
        <v>41</v>
      </c>
      <c r="Z30" t="s">
        <v>41</v>
      </c>
      <c r="AA30" s="2"/>
      <c r="AB30" s="2"/>
      <c r="AC30"/>
      <c r="AD30"/>
      <c r="AE30"/>
      <c r="AF30" s="2"/>
      <c r="AG30" s="2"/>
      <c r="AH30" t="s">
        <v>41</v>
      </c>
      <c r="AI30" t="s">
        <v>41</v>
      </c>
      <c r="AJ30" t="s">
        <v>41</v>
      </c>
    </row>
    <row r="31" hidden="1" spans="1:36">
      <c r="A31" t="s">
        <v>41</v>
      </c>
      <c r="B31" t="s">
        <v>41</v>
      </c>
      <c r="C31">
        <v>2913</v>
      </c>
      <c r="D31" t="s">
        <v>196</v>
      </c>
      <c r="E31" t="s">
        <v>55</v>
      </c>
      <c r="F31" t="s">
        <v>41</v>
      </c>
      <c r="G31" t="s">
        <v>197</v>
      </c>
      <c r="H31" t="s">
        <v>126</v>
      </c>
      <c r="I31" t="s">
        <v>198</v>
      </c>
      <c r="J31" t="s">
        <v>149</v>
      </c>
      <c r="K31" t="s">
        <v>197</v>
      </c>
      <c r="L31">
        <v>40.36</v>
      </c>
      <c r="M31">
        <v>3889.502</v>
      </c>
      <c r="N31" t="s">
        <v>41</v>
      </c>
      <c r="O31" t="s">
        <v>41</v>
      </c>
      <c r="P31" t="s">
        <v>41</v>
      </c>
      <c r="Q31" s="2"/>
      <c r="R31" s="2"/>
      <c r="S31" t="s">
        <v>41</v>
      </c>
      <c r="T31" t="s">
        <v>41</v>
      </c>
      <c r="U31" t="s">
        <v>41</v>
      </c>
      <c r="V31" s="2"/>
      <c r="W31" s="2"/>
      <c r="X31" t="s">
        <v>41</v>
      </c>
      <c r="Y31" t="s">
        <v>41</v>
      </c>
      <c r="Z31" t="s">
        <v>41</v>
      </c>
      <c r="AA31" s="2"/>
      <c r="AB31" s="2"/>
      <c r="AC31"/>
      <c r="AD31"/>
      <c r="AE31"/>
      <c r="AF31" s="2"/>
      <c r="AG31" s="2"/>
      <c r="AH31" t="s">
        <v>41</v>
      </c>
      <c r="AI31" t="s">
        <v>41</v>
      </c>
      <c r="AJ31" t="s">
        <v>41</v>
      </c>
    </row>
    <row r="32" hidden="1" spans="1:36">
      <c r="A32" t="s">
        <v>41</v>
      </c>
      <c r="B32" t="s">
        <v>41</v>
      </c>
      <c r="C32">
        <v>600089</v>
      </c>
      <c r="D32" t="s">
        <v>199</v>
      </c>
      <c r="E32" t="s">
        <v>200</v>
      </c>
      <c r="F32" t="s">
        <v>41</v>
      </c>
      <c r="G32" t="s">
        <v>49</v>
      </c>
      <c r="H32" t="s">
        <v>126</v>
      </c>
      <c r="I32" t="s">
        <v>149</v>
      </c>
      <c r="J32" t="s">
        <v>158</v>
      </c>
      <c r="K32" t="s">
        <v>49</v>
      </c>
      <c r="L32">
        <v>16.95</v>
      </c>
      <c r="M32">
        <v>3862.532</v>
      </c>
      <c r="N32" t="s">
        <v>41</v>
      </c>
      <c r="O32" t="s">
        <v>41</v>
      </c>
      <c r="P32" t="s">
        <v>41</v>
      </c>
      <c r="Q32" s="2"/>
      <c r="R32" s="2"/>
      <c r="S32" t="s">
        <v>41</v>
      </c>
      <c r="T32" t="s">
        <v>41</v>
      </c>
      <c r="U32" t="s">
        <v>41</v>
      </c>
      <c r="V32" s="2"/>
      <c r="W32" s="2"/>
      <c r="X32" t="s">
        <v>41</v>
      </c>
      <c r="Y32" t="s">
        <v>41</v>
      </c>
      <c r="Z32" t="s">
        <v>41</v>
      </c>
      <c r="AA32" s="2"/>
      <c r="AB32" s="2"/>
      <c r="AC32"/>
      <c r="AD32"/>
      <c r="AE32"/>
      <c r="AF32" s="2"/>
      <c r="AG32" s="2"/>
      <c r="AH32" t="s">
        <v>41</v>
      </c>
      <c r="AI32" t="s">
        <v>41</v>
      </c>
      <c r="AJ32" t="s">
        <v>41</v>
      </c>
    </row>
    <row r="33" hidden="1" spans="1:36">
      <c r="A33" t="s">
        <v>41</v>
      </c>
      <c r="B33" t="s">
        <v>41</v>
      </c>
      <c r="C33">
        <v>688201</v>
      </c>
      <c r="D33" t="s">
        <v>201</v>
      </c>
      <c r="E33" t="s">
        <v>202</v>
      </c>
      <c r="F33" t="s">
        <v>41</v>
      </c>
      <c r="G33" t="s">
        <v>203</v>
      </c>
      <c r="H33" t="s">
        <v>126</v>
      </c>
      <c r="I33" t="s">
        <v>204</v>
      </c>
      <c r="J33" t="s">
        <v>205</v>
      </c>
      <c r="K33" t="s">
        <v>203</v>
      </c>
      <c r="L33">
        <v>12.75</v>
      </c>
      <c r="M33">
        <v>3843.597</v>
      </c>
      <c r="N33" t="s">
        <v>41</v>
      </c>
      <c r="O33" t="s">
        <v>41</v>
      </c>
      <c r="P33" t="s">
        <v>41</v>
      </c>
      <c r="Q33" s="2"/>
      <c r="R33" s="2"/>
      <c r="S33" t="s">
        <v>41</v>
      </c>
      <c r="T33" t="s">
        <v>41</v>
      </c>
      <c r="U33" t="s">
        <v>41</v>
      </c>
      <c r="V33" s="2"/>
      <c r="W33" s="2"/>
      <c r="X33" t="s">
        <v>41</v>
      </c>
      <c r="Y33" t="s">
        <v>41</v>
      </c>
      <c r="Z33" t="s">
        <v>41</v>
      </c>
      <c r="AA33" s="2"/>
      <c r="AB33" s="2"/>
      <c r="AC33"/>
      <c r="AD33"/>
      <c r="AE33"/>
      <c r="AF33" s="2"/>
      <c r="AG33" s="2"/>
      <c r="AH33" t="s">
        <v>41</v>
      </c>
      <c r="AI33" t="s">
        <v>41</v>
      </c>
      <c r="AJ33" t="s">
        <v>41</v>
      </c>
    </row>
    <row r="34" spans="1:36">
      <c r="A34" t="s">
        <v>41</v>
      </c>
      <c r="B34" t="s">
        <v>41</v>
      </c>
      <c r="C34">
        <v>2452</v>
      </c>
      <c r="D34" s="6" t="s">
        <v>206</v>
      </c>
      <c r="E34" t="s">
        <v>207</v>
      </c>
      <c r="F34" t="s">
        <v>41</v>
      </c>
      <c r="G34" t="s">
        <v>208</v>
      </c>
      <c r="H34" t="s">
        <v>132</v>
      </c>
      <c r="I34" t="s">
        <v>209</v>
      </c>
      <c r="J34" t="s">
        <v>210</v>
      </c>
      <c r="K34" t="s">
        <v>191</v>
      </c>
      <c r="L34">
        <v>7.41</v>
      </c>
      <c r="M34">
        <v>3696.771</v>
      </c>
      <c r="N34" t="s">
        <v>208</v>
      </c>
      <c r="O34">
        <v>8.11</v>
      </c>
      <c r="P34">
        <v>3890.448</v>
      </c>
      <c r="Q34" s="1">
        <f>(O34-L34)/L34</f>
        <v>0.0944669365721996</v>
      </c>
      <c r="R34" s="1">
        <f>(P34-M34)/M34</f>
        <v>0.0523908567774416</v>
      </c>
      <c r="S34" t="s">
        <v>41</v>
      </c>
      <c r="T34" t="s">
        <v>41</v>
      </c>
      <c r="U34" t="s">
        <v>41</v>
      </c>
      <c r="V34" s="1"/>
      <c r="W34" s="1"/>
      <c r="X34" t="s">
        <v>41</v>
      </c>
      <c r="Y34" t="s">
        <v>41</v>
      </c>
      <c r="Z34" t="s">
        <v>41</v>
      </c>
      <c r="AA34" s="2"/>
      <c r="AB34" s="2"/>
      <c r="AC34"/>
      <c r="AD34"/>
      <c r="AE34"/>
      <c r="AF34" s="2"/>
      <c r="AG34" s="2"/>
      <c r="AH34" t="s">
        <v>41</v>
      </c>
      <c r="AI34" t="s">
        <v>41</v>
      </c>
      <c r="AJ34" t="s">
        <v>41</v>
      </c>
    </row>
    <row r="35" hidden="1" spans="1:36">
      <c r="A35" t="s">
        <v>41</v>
      </c>
      <c r="B35" t="s">
        <v>41</v>
      </c>
      <c r="C35">
        <v>1202</v>
      </c>
      <c r="D35" t="s">
        <v>211</v>
      </c>
      <c r="E35" t="s">
        <v>212</v>
      </c>
      <c r="F35" t="s">
        <v>41</v>
      </c>
      <c r="G35" t="s">
        <v>198</v>
      </c>
      <c r="H35" t="s">
        <v>126</v>
      </c>
      <c r="I35" t="s">
        <v>48</v>
      </c>
      <c r="J35" t="s">
        <v>101</v>
      </c>
      <c r="K35" t="s">
        <v>198</v>
      </c>
      <c r="L35">
        <v>13.4</v>
      </c>
      <c r="M35">
        <v>3559.952</v>
      </c>
      <c r="N35" t="s">
        <v>41</v>
      </c>
      <c r="O35" t="s">
        <v>41</v>
      </c>
      <c r="P35" t="s">
        <v>41</v>
      </c>
      <c r="Q35" s="2"/>
      <c r="R35" s="2"/>
      <c r="S35" t="s">
        <v>41</v>
      </c>
      <c r="T35" t="s">
        <v>41</v>
      </c>
      <c r="U35" t="s">
        <v>41</v>
      </c>
      <c r="V35" s="2"/>
      <c r="W35" s="2"/>
      <c r="X35" t="s">
        <v>41</v>
      </c>
      <c r="Y35" t="s">
        <v>41</v>
      </c>
      <c r="Z35" t="s">
        <v>41</v>
      </c>
      <c r="AA35" s="2"/>
      <c r="AB35" s="2"/>
      <c r="AC35"/>
      <c r="AD35"/>
      <c r="AE35"/>
      <c r="AF35" s="2"/>
      <c r="AG35" s="2"/>
      <c r="AH35" t="s">
        <v>41</v>
      </c>
      <c r="AI35" t="s">
        <v>41</v>
      </c>
      <c r="AJ35" t="s">
        <v>41</v>
      </c>
    </row>
    <row r="36" hidden="1" spans="1:36">
      <c r="A36" t="s">
        <v>41</v>
      </c>
      <c r="B36" t="s">
        <v>41</v>
      </c>
      <c r="C36">
        <v>301571</v>
      </c>
      <c r="D36" t="s">
        <v>213</v>
      </c>
      <c r="E36" t="s">
        <v>214</v>
      </c>
      <c r="F36" t="s">
        <v>41</v>
      </c>
      <c r="G36" t="s">
        <v>215</v>
      </c>
      <c r="H36" t="s">
        <v>126</v>
      </c>
      <c r="I36" t="s">
        <v>58</v>
      </c>
      <c r="J36" t="s">
        <v>216</v>
      </c>
      <c r="K36" t="s">
        <v>215</v>
      </c>
      <c r="L36">
        <v>47.93</v>
      </c>
      <c r="M36">
        <v>3593.655</v>
      </c>
      <c r="N36" t="s">
        <v>41</v>
      </c>
      <c r="O36" t="s">
        <v>41</v>
      </c>
      <c r="P36" t="s">
        <v>41</v>
      </c>
      <c r="Q36" s="2"/>
      <c r="R36" s="2"/>
      <c r="S36" t="s">
        <v>41</v>
      </c>
      <c r="T36" t="s">
        <v>41</v>
      </c>
      <c r="U36" t="s">
        <v>41</v>
      </c>
      <c r="V36" s="2"/>
      <c r="W36" s="2"/>
      <c r="X36" t="s">
        <v>41</v>
      </c>
      <c r="Y36" t="s">
        <v>41</v>
      </c>
      <c r="Z36" t="s">
        <v>41</v>
      </c>
      <c r="AA36" s="2"/>
      <c r="AB36" s="2"/>
      <c r="AC36"/>
      <c r="AD36"/>
      <c r="AE36"/>
      <c r="AF36" s="2"/>
      <c r="AG36" s="2"/>
      <c r="AH36" t="s">
        <v>41</v>
      </c>
      <c r="AI36" t="s">
        <v>41</v>
      </c>
      <c r="AJ36" t="s">
        <v>41</v>
      </c>
    </row>
    <row r="37" hidden="1" spans="1:36">
      <c r="A37" t="s">
        <v>41</v>
      </c>
      <c r="B37" t="s">
        <v>41</v>
      </c>
      <c r="C37">
        <v>300611</v>
      </c>
      <c r="D37" t="s">
        <v>217</v>
      </c>
      <c r="E37" t="s">
        <v>218</v>
      </c>
      <c r="F37" t="s">
        <v>41</v>
      </c>
      <c r="G37" t="s">
        <v>219</v>
      </c>
      <c r="H37" t="s">
        <v>126</v>
      </c>
      <c r="I37" t="s">
        <v>220</v>
      </c>
      <c r="J37" t="s">
        <v>221</v>
      </c>
      <c r="K37" t="s">
        <v>219</v>
      </c>
      <c r="L37">
        <v>25.3</v>
      </c>
      <c r="M37">
        <v>3559.791</v>
      </c>
      <c r="N37" t="s">
        <v>41</v>
      </c>
      <c r="O37" t="s">
        <v>41</v>
      </c>
      <c r="P37" t="s">
        <v>41</v>
      </c>
      <c r="Q37" s="2"/>
      <c r="R37" s="2"/>
      <c r="S37" t="s">
        <v>41</v>
      </c>
      <c r="T37" t="s">
        <v>41</v>
      </c>
      <c r="U37" t="s">
        <v>41</v>
      </c>
      <c r="V37" s="2"/>
      <c r="W37" s="2"/>
      <c r="X37" t="s">
        <v>41</v>
      </c>
      <c r="Y37" t="s">
        <v>41</v>
      </c>
      <c r="Z37" t="s">
        <v>41</v>
      </c>
      <c r="AA37" s="2"/>
      <c r="AB37" s="2"/>
      <c r="AC37"/>
      <c r="AD37"/>
      <c r="AE37"/>
      <c r="AF37" s="2"/>
      <c r="AG37" s="2"/>
      <c r="AH37" t="s">
        <v>41</v>
      </c>
      <c r="AI37" t="s">
        <v>41</v>
      </c>
      <c r="AJ37" t="s">
        <v>41</v>
      </c>
    </row>
    <row r="38" spans="1:36">
      <c r="A38" t="s">
        <v>41</v>
      </c>
      <c r="B38" t="s">
        <v>41</v>
      </c>
      <c r="C38">
        <v>300818</v>
      </c>
      <c r="D38" t="s">
        <v>222</v>
      </c>
      <c r="E38" t="s">
        <v>223</v>
      </c>
      <c r="F38" t="s">
        <v>41</v>
      </c>
      <c r="G38" t="s">
        <v>224</v>
      </c>
      <c r="H38" t="s">
        <v>132</v>
      </c>
      <c r="I38" t="s">
        <v>225</v>
      </c>
      <c r="J38" t="s">
        <v>36</v>
      </c>
      <c r="K38" t="s">
        <v>226</v>
      </c>
      <c r="L38">
        <v>19.94</v>
      </c>
      <c r="M38">
        <v>3381.582</v>
      </c>
      <c r="N38" t="s">
        <v>224</v>
      </c>
      <c r="O38">
        <v>32.7</v>
      </c>
      <c r="P38">
        <v>3875.793</v>
      </c>
      <c r="Q38" s="1">
        <f>(O38-L38)/L38</f>
        <v>0.639919759277834</v>
      </c>
      <c r="R38" s="1">
        <f>(P38-M38)/M38</f>
        <v>0.146147868068851</v>
      </c>
      <c r="S38" t="s">
        <v>41</v>
      </c>
      <c r="T38" t="s">
        <v>41</v>
      </c>
      <c r="U38" t="s">
        <v>41</v>
      </c>
      <c r="V38" s="1"/>
      <c r="W38" s="1"/>
      <c r="X38" t="s">
        <v>41</v>
      </c>
      <c r="Y38" t="s">
        <v>41</v>
      </c>
      <c r="Z38" t="s">
        <v>41</v>
      </c>
      <c r="AA38" s="2"/>
      <c r="AB38" s="2"/>
      <c r="AC38"/>
      <c r="AD38"/>
      <c r="AE38"/>
      <c r="AF38" s="2"/>
      <c r="AG38" s="2"/>
      <c r="AH38" t="s">
        <v>41</v>
      </c>
      <c r="AI38" t="s">
        <v>41</v>
      </c>
      <c r="AJ38" t="s">
        <v>41</v>
      </c>
    </row>
    <row r="39" spans="1:36">
      <c r="A39" t="s">
        <v>41</v>
      </c>
      <c r="B39" t="s">
        <v>41</v>
      </c>
      <c r="C39">
        <v>300622</v>
      </c>
      <c r="D39" t="s">
        <v>227</v>
      </c>
      <c r="E39" t="s">
        <v>228</v>
      </c>
      <c r="F39" t="s">
        <v>41</v>
      </c>
      <c r="G39" t="s">
        <v>108</v>
      </c>
      <c r="H39" t="s">
        <v>132</v>
      </c>
      <c r="I39" t="s">
        <v>229</v>
      </c>
      <c r="J39" t="s">
        <v>230</v>
      </c>
      <c r="K39" t="s">
        <v>111</v>
      </c>
      <c r="L39">
        <v>29.67</v>
      </c>
      <c r="M39">
        <v>3288.415</v>
      </c>
      <c r="N39" t="s">
        <v>108</v>
      </c>
      <c r="O39">
        <v>28.7</v>
      </c>
      <c r="P39">
        <v>3876.371</v>
      </c>
      <c r="Q39" s="1">
        <f>(O39-L39)/L39</f>
        <v>-0.0326929558476576</v>
      </c>
      <c r="R39" s="1">
        <f>(P39-M39)/M39</f>
        <v>0.178796167758631</v>
      </c>
      <c r="S39" t="s">
        <v>41</v>
      </c>
      <c r="T39" t="s">
        <v>41</v>
      </c>
      <c r="U39" t="s">
        <v>41</v>
      </c>
      <c r="V39" s="1"/>
      <c r="W39" s="1"/>
      <c r="X39" t="s">
        <v>41</v>
      </c>
      <c r="Y39" t="s">
        <v>41</v>
      </c>
      <c r="Z39" t="s">
        <v>41</v>
      </c>
      <c r="AA39" s="2"/>
      <c r="AB39" s="2"/>
      <c r="AC39"/>
      <c r="AD39"/>
      <c r="AE39"/>
      <c r="AF39" s="2"/>
      <c r="AG39" s="2"/>
      <c r="AH39" t="s">
        <v>41</v>
      </c>
      <c r="AI39" t="s">
        <v>41</v>
      </c>
      <c r="AJ39" t="s">
        <v>41</v>
      </c>
    </row>
    <row r="40" hidden="1" spans="1:36">
      <c r="A40" t="s">
        <v>41</v>
      </c>
      <c r="B40" t="s">
        <v>41</v>
      </c>
      <c r="C40">
        <v>603093</v>
      </c>
      <c r="D40" t="s">
        <v>231</v>
      </c>
      <c r="E40" t="s">
        <v>232</v>
      </c>
      <c r="F40" t="s">
        <v>41</v>
      </c>
      <c r="G40" t="s">
        <v>233</v>
      </c>
      <c r="H40" t="s">
        <v>126</v>
      </c>
      <c r="I40" t="s">
        <v>234</v>
      </c>
      <c r="J40" t="s">
        <v>235</v>
      </c>
      <c r="K40" t="s">
        <v>233</v>
      </c>
      <c r="L40">
        <v>10.58</v>
      </c>
      <c r="M40">
        <v>3297.32</v>
      </c>
      <c r="N40" t="s">
        <v>41</v>
      </c>
      <c r="O40" t="s">
        <v>41</v>
      </c>
      <c r="P40" t="s">
        <v>41</v>
      </c>
      <c r="Q40" s="2"/>
      <c r="R40" s="2"/>
      <c r="S40" t="s">
        <v>41</v>
      </c>
      <c r="T40" t="s">
        <v>41</v>
      </c>
      <c r="U40" t="s">
        <v>41</v>
      </c>
      <c r="V40" s="2"/>
      <c r="W40" s="2"/>
      <c r="X40" t="s">
        <v>41</v>
      </c>
      <c r="Y40" t="s">
        <v>41</v>
      </c>
      <c r="Z40" t="s">
        <v>41</v>
      </c>
      <c r="AA40" s="2"/>
      <c r="AB40" s="2"/>
      <c r="AC40"/>
      <c r="AD40"/>
      <c r="AE40"/>
      <c r="AF40" s="2"/>
      <c r="AG40" s="2"/>
      <c r="AH40" t="s">
        <v>41</v>
      </c>
      <c r="AI40" t="s">
        <v>41</v>
      </c>
      <c r="AJ40" t="s">
        <v>41</v>
      </c>
    </row>
    <row r="41" hidden="1" spans="1:36">
      <c r="A41" t="s">
        <v>41</v>
      </c>
      <c r="B41" t="s">
        <v>41</v>
      </c>
      <c r="C41">
        <v>601528</v>
      </c>
      <c r="D41" t="s">
        <v>236</v>
      </c>
      <c r="E41" t="s">
        <v>237</v>
      </c>
      <c r="F41" t="s">
        <v>41</v>
      </c>
      <c r="G41" t="s">
        <v>238</v>
      </c>
      <c r="H41" t="s">
        <v>126</v>
      </c>
      <c r="I41" t="s">
        <v>239</v>
      </c>
      <c r="J41" t="s">
        <v>240</v>
      </c>
      <c r="K41" t="s">
        <v>238</v>
      </c>
      <c r="L41">
        <v>5.21</v>
      </c>
      <c r="M41">
        <v>3264.814</v>
      </c>
      <c r="N41" t="s">
        <v>41</v>
      </c>
      <c r="O41" t="s">
        <v>41</v>
      </c>
      <c r="P41" t="s">
        <v>41</v>
      </c>
      <c r="Q41" s="2"/>
      <c r="R41" s="2"/>
      <c r="S41" t="s">
        <v>41</v>
      </c>
      <c r="T41" t="s">
        <v>41</v>
      </c>
      <c r="U41" t="s">
        <v>41</v>
      </c>
      <c r="V41" s="2"/>
      <c r="W41" s="2"/>
      <c r="X41" t="s">
        <v>41</v>
      </c>
      <c r="Y41" t="s">
        <v>41</v>
      </c>
      <c r="Z41" t="s">
        <v>41</v>
      </c>
      <c r="AA41" s="2"/>
      <c r="AB41" s="2"/>
      <c r="AC41"/>
      <c r="AD41"/>
      <c r="AE41"/>
      <c r="AF41" s="2"/>
      <c r="AG41" s="2"/>
      <c r="AH41" t="s">
        <v>41</v>
      </c>
      <c r="AI41" t="s">
        <v>41</v>
      </c>
      <c r="AJ41" t="s">
        <v>41</v>
      </c>
    </row>
    <row r="42" hidden="1" spans="1:36">
      <c r="A42" t="s">
        <v>41</v>
      </c>
      <c r="B42" t="s">
        <v>41</v>
      </c>
      <c r="C42">
        <v>601577</v>
      </c>
      <c r="D42" t="s">
        <v>241</v>
      </c>
      <c r="E42" t="s">
        <v>242</v>
      </c>
      <c r="F42" t="s">
        <v>41</v>
      </c>
      <c r="G42" t="s">
        <v>243</v>
      </c>
      <c r="H42" t="s">
        <v>126</v>
      </c>
      <c r="I42" t="s">
        <v>244</v>
      </c>
      <c r="J42" t="s">
        <v>245</v>
      </c>
      <c r="K42" t="s">
        <v>243</v>
      </c>
      <c r="L42">
        <v>5.36</v>
      </c>
      <c r="M42">
        <v>3045.067</v>
      </c>
      <c r="N42" t="s">
        <v>41</v>
      </c>
      <c r="O42" t="s">
        <v>41</v>
      </c>
      <c r="P42" t="s">
        <v>41</v>
      </c>
      <c r="Q42" s="2"/>
      <c r="R42" s="2"/>
      <c r="S42" t="s">
        <v>41</v>
      </c>
      <c r="T42" t="s">
        <v>41</v>
      </c>
      <c r="U42" t="s">
        <v>41</v>
      </c>
      <c r="V42" s="2"/>
      <c r="W42" s="2"/>
      <c r="X42" t="s">
        <v>41</v>
      </c>
      <c r="Y42" t="s">
        <v>41</v>
      </c>
      <c r="Z42" t="s">
        <v>41</v>
      </c>
      <c r="AA42" s="2"/>
      <c r="AB42" s="2"/>
      <c r="AC42"/>
      <c r="AD42"/>
      <c r="AE42"/>
      <c r="AF42" s="2"/>
      <c r="AG42" s="2"/>
      <c r="AH42" t="s">
        <v>41</v>
      </c>
      <c r="AI42" t="s">
        <v>41</v>
      </c>
      <c r="AJ42" t="s">
        <v>41</v>
      </c>
    </row>
    <row r="43" hidden="1" spans="1:36">
      <c r="A43" t="s">
        <v>41</v>
      </c>
      <c r="B43" t="s">
        <v>41</v>
      </c>
      <c r="C43">
        <v>601187</v>
      </c>
      <c r="D43" t="s">
        <v>246</v>
      </c>
      <c r="E43" t="s">
        <v>237</v>
      </c>
      <c r="F43" t="s">
        <v>41</v>
      </c>
      <c r="G43" t="s">
        <v>247</v>
      </c>
      <c r="H43" t="s">
        <v>126</v>
      </c>
      <c r="I43" t="s">
        <v>248</v>
      </c>
      <c r="J43" t="s">
        <v>249</v>
      </c>
      <c r="K43" t="s">
        <v>247</v>
      </c>
      <c r="L43">
        <v>4.37</v>
      </c>
      <c r="M43">
        <v>3093.862</v>
      </c>
      <c r="N43" t="s">
        <v>41</v>
      </c>
      <c r="O43" t="s">
        <v>41</v>
      </c>
      <c r="P43" t="s">
        <v>41</v>
      </c>
      <c r="Q43" s="2"/>
      <c r="R43" s="2"/>
      <c r="S43" t="s">
        <v>41</v>
      </c>
      <c r="T43" t="s">
        <v>41</v>
      </c>
      <c r="U43" t="s">
        <v>41</v>
      </c>
      <c r="V43" s="2"/>
      <c r="W43" s="2"/>
      <c r="X43" t="s">
        <v>41</v>
      </c>
      <c r="Y43" t="s">
        <v>41</v>
      </c>
      <c r="Z43" t="s">
        <v>41</v>
      </c>
      <c r="AA43" s="2"/>
      <c r="AB43" s="2"/>
      <c r="AC43"/>
      <c r="AD43"/>
      <c r="AE43"/>
      <c r="AF43" s="2"/>
      <c r="AG43" s="2"/>
      <c r="AH43" t="s">
        <v>41</v>
      </c>
      <c r="AI43" t="s">
        <v>41</v>
      </c>
      <c r="AJ43" t="s">
        <v>41</v>
      </c>
    </row>
    <row r="44" hidden="1" spans="1:36">
      <c r="A44" t="s">
        <v>41</v>
      </c>
      <c r="B44" t="s">
        <v>41</v>
      </c>
      <c r="C44">
        <v>688210</v>
      </c>
      <c r="D44" t="s">
        <v>250</v>
      </c>
      <c r="E44" t="s">
        <v>251</v>
      </c>
      <c r="F44" t="s">
        <v>41</v>
      </c>
      <c r="G44" t="s">
        <v>252</v>
      </c>
      <c r="H44" t="s">
        <v>132</v>
      </c>
      <c r="I44" t="s">
        <v>253</v>
      </c>
      <c r="J44" t="s">
        <v>254</v>
      </c>
      <c r="K44" t="s">
        <v>255</v>
      </c>
      <c r="L44" t="s">
        <v>41</v>
      </c>
      <c r="M44" t="s">
        <v>41</v>
      </c>
      <c r="N44" t="s">
        <v>252</v>
      </c>
      <c r="O44">
        <v>49.5</v>
      </c>
      <c r="P44">
        <v>3867.921</v>
      </c>
      <c r="Q44" s="2"/>
      <c r="R44" s="2"/>
      <c r="S44" t="s">
        <v>41</v>
      </c>
      <c r="T44" t="s">
        <v>41</v>
      </c>
      <c r="U44" t="s">
        <v>41</v>
      </c>
      <c r="V44" s="2"/>
      <c r="W44" s="2"/>
      <c r="X44" t="s">
        <v>41</v>
      </c>
      <c r="Y44" t="s">
        <v>41</v>
      </c>
      <c r="Z44" t="s">
        <v>41</v>
      </c>
      <c r="AA44" s="2"/>
      <c r="AB44" s="2"/>
      <c r="AC44"/>
      <c r="AD44"/>
      <c r="AE44"/>
      <c r="AF44" s="2"/>
      <c r="AG44" s="2"/>
      <c r="AH44" t="s">
        <v>41</v>
      </c>
      <c r="AI44" t="s">
        <v>41</v>
      </c>
      <c r="AJ44" t="s">
        <v>41</v>
      </c>
    </row>
    <row r="45" hidden="1" spans="1:36">
      <c r="A45" t="s">
        <v>41</v>
      </c>
      <c r="B45" t="s">
        <v>41</v>
      </c>
      <c r="C45">
        <v>688150</v>
      </c>
      <c r="D45" t="s">
        <v>256</v>
      </c>
      <c r="E45" t="s">
        <v>257</v>
      </c>
      <c r="F45" t="s">
        <v>41</v>
      </c>
      <c r="G45" t="s">
        <v>258</v>
      </c>
      <c r="H45" t="s">
        <v>259</v>
      </c>
      <c r="I45" t="s">
        <v>260</v>
      </c>
      <c r="J45" t="s">
        <v>258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s="2"/>
      <c r="R45" s="2"/>
      <c r="S45" t="s">
        <v>41</v>
      </c>
      <c r="T45" t="s">
        <v>41</v>
      </c>
      <c r="U45" t="s">
        <v>41</v>
      </c>
      <c r="V45" s="2"/>
      <c r="W45" s="2"/>
      <c r="X45" t="s">
        <v>41</v>
      </c>
      <c r="Y45" t="s">
        <v>41</v>
      </c>
      <c r="Z45" t="s">
        <v>41</v>
      </c>
      <c r="AA45" s="2"/>
      <c r="AB45" s="2"/>
      <c r="AC45"/>
      <c r="AD45"/>
      <c r="AE45"/>
      <c r="AF45" s="2"/>
      <c r="AG45" s="2"/>
      <c r="AH45" t="s">
        <v>41</v>
      </c>
      <c r="AI45" t="s">
        <v>41</v>
      </c>
      <c r="AJ45" t="s">
        <v>41</v>
      </c>
    </row>
    <row r="46" hidden="1" spans="1:36">
      <c r="A46" t="s">
        <v>41</v>
      </c>
      <c r="B46" t="s">
        <v>41</v>
      </c>
      <c r="C46">
        <v>300893</v>
      </c>
      <c r="D46" t="s">
        <v>261</v>
      </c>
      <c r="E46" t="s">
        <v>262</v>
      </c>
      <c r="F46" t="s">
        <v>41</v>
      </c>
      <c r="G46" t="s">
        <v>263</v>
      </c>
      <c r="H46" t="s">
        <v>259</v>
      </c>
      <c r="I46" t="s">
        <v>264</v>
      </c>
      <c r="J46" t="s">
        <v>263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s="2"/>
      <c r="R46" s="2"/>
      <c r="S46" t="s">
        <v>41</v>
      </c>
      <c r="T46" t="s">
        <v>41</v>
      </c>
      <c r="U46" t="s">
        <v>41</v>
      </c>
      <c r="V46" s="2"/>
      <c r="W46" s="2"/>
      <c r="X46" t="s">
        <v>41</v>
      </c>
      <c r="Y46" t="s">
        <v>41</v>
      </c>
      <c r="Z46" t="s">
        <v>41</v>
      </c>
      <c r="AA46" s="2"/>
      <c r="AB46" s="2"/>
      <c r="AC46"/>
      <c r="AD46"/>
      <c r="AE46"/>
      <c r="AF46" s="2"/>
      <c r="AG46" s="2"/>
      <c r="AH46" t="s">
        <v>41</v>
      </c>
      <c r="AI46" t="s">
        <v>41</v>
      </c>
      <c r="AJ46" t="s">
        <v>41</v>
      </c>
    </row>
    <row r="47" hidden="1" spans="1:36">
      <c r="A47" t="s">
        <v>41</v>
      </c>
      <c r="B47" t="s">
        <v>41</v>
      </c>
      <c r="C47">
        <v>603809</v>
      </c>
      <c r="D47" t="s">
        <v>265</v>
      </c>
      <c r="E47" t="s">
        <v>266</v>
      </c>
      <c r="F47" t="s">
        <v>41</v>
      </c>
      <c r="G47" t="s">
        <v>267</v>
      </c>
      <c r="H47" t="s">
        <v>259</v>
      </c>
      <c r="I47" t="s">
        <v>112</v>
      </c>
      <c r="J47" t="s">
        <v>267</v>
      </c>
      <c r="K47" t="s">
        <v>41</v>
      </c>
      <c r="L47" t="s">
        <v>41</v>
      </c>
      <c r="M47" t="s">
        <v>41</v>
      </c>
      <c r="N47" t="s">
        <v>41</v>
      </c>
      <c r="O47" t="s">
        <v>41</v>
      </c>
      <c r="P47" t="s">
        <v>41</v>
      </c>
      <c r="Q47" s="2"/>
      <c r="R47" s="2"/>
      <c r="S47" t="s">
        <v>41</v>
      </c>
      <c r="T47" t="s">
        <v>41</v>
      </c>
      <c r="U47" t="s">
        <v>41</v>
      </c>
      <c r="V47" s="2"/>
      <c r="W47" s="2"/>
      <c r="X47" t="s">
        <v>41</v>
      </c>
      <c r="Y47" t="s">
        <v>41</v>
      </c>
      <c r="Z47" t="s">
        <v>41</v>
      </c>
      <c r="AA47" s="2"/>
      <c r="AB47" s="2"/>
      <c r="AC47"/>
      <c r="AD47"/>
      <c r="AE47"/>
      <c r="AF47" s="2"/>
      <c r="AG47" s="2"/>
      <c r="AH47" t="s">
        <v>41</v>
      </c>
      <c r="AI47" t="s">
        <v>41</v>
      </c>
      <c r="AJ47" t="s">
        <v>41</v>
      </c>
    </row>
    <row r="48" hidden="1" spans="1:36">
      <c r="A48" t="s">
        <v>41</v>
      </c>
      <c r="B48" t="s">
        <v>41</v>
      </c>
      <c r="C48">
        <v>301459</v>
      </c>
      <c r="D48" t="s">
        <v>268</v>
      </c>
      <c r="E48" t="s">
        <v>269</v>
      </c>
      <c r="F48" t="s">
        <v>41</v>
      </c>
      <c r="G48" t="s">
        <v>270</v>
      </c>
      <c r="H48" t="s">
        <v>126</v>
      </c>
      <c r="I48" t="s">
        <v>271</v>
      </c>
      <c r="J48" t="s">
        <v>90</v>
      </c>
      <c r="K48" t="s">
        <v>270</v>
      </c>
      <c r="L48">
        <v>44.72</v>
      </c>
      <c r="M48" t="s">
        <v>41</v>
      </c>
      <c r="N48" t="s">
        <v>41</v>
      </c>
      <c r="O48" t="s">
        <v>41</v>
      </c>
      <c r="P48" t="s">
        <v>41</v>
      </c>
      <c r="Q48" s="2"/>
      <c r="R48" s="2"/>
      <c r="S48" t="s">
        <v>41</v>
      </c>
      <c r="T48" t="s">
        <v>41</v>
      </c>
      <c r="U48" t="s">
        <v>41</v>
      </c>
      <c r="V48" s="2"/>
      <c r="W48" s="2"/>
      <c r="X48" t="s">
        <v>41</v>
      </c>
      <c r="Y48" t="s">
        <v>41</v>
      </c>
      <c r="Z48" t="s">
        <v>41</v>
      </c>
      <c r="AA48" s="2"/>
      <c r="AB48" s="2"/>
      <c r="AC48"/>
      <c r="AD48"/>
      <c r="AE48"/>
      <c r="AF48" s="2"/>
      <c r="AG48" s="2"/>
      <c r="AH48" t="s">
        <v>41</v>
      </c>
      <c r="AI48" t="s">
        <v>41</v>
      </c>
      <c r="AJ48" t="s">
        <v>41</v>
      </c>
    </row>
    <row r="49" hidden="1" spans="1:36">
      <c r="A49" t="s">
        <v>41</v>
      </c>
      <c r="B49" t="s">
        <v>41</v>
      </c>
      <c r="C49">
        <v>688377</v>
      </c>
      <c r="D49" t="s">
        <v>272</v>
      </c>
      <c r="E49" t="s">
        <v>273</v>
      </c>
      <c r="F49" t="s">
        <v>41</v>
      </c>
      <c r="G49" t="s">
        <v>116</v>
      </c>
      <c r="H49" t="s">
        <v>126</v>
      </c>
      <c r="I49" t="s">
        <v>136</v>
      </c>
      <c r="J49" t="s">
        <v>274</v>
      </c>
      <c r="K49" t="s">
        <v>116</v>
      </c>
      <c r="L49">
        <v>36</v>
      </c>
      <c r="M49">
        <v>3963.679</v>
      </c>
      <c r="N49" t="s">
        <v>41</v>
      </c>
      <c r="O49" t="s">
        <v>41</v>
      </c>
      <c r="P49" t="s">
        <v>41</v>
      </c>
      <c r="Q49" s="2"/>
      <c r="R49" s="2"/>
      <c r="S49" t="s">
        <v>41</v>
      </c>
      <c r="T49" t="s">
        <v>41</v>
      </c>
      <c r="U49" t="s">
        <v>41</v>
      </c>
      <c r="V49" s="2"/>
      <c r="W49" s="2"/>
      <c r="X49" t="s">
        <v>41</v>
      </c>
      <c r="Y49" t="s">
        <v>41</v>
      </c>
      <c r="Z49" t="s">
        <v>41</v>
      </c>
      <c r="AA49" s="2"/>
      <c r="AB49" s="2"/>
      <c r="AC49"/>
      <c r="AD49"/>
      <c r="AE49"/>
      <c r="AF49" s="2"/>
      <c r="AG49" s="2"/>
      <c r="AH49" t="s">
        <v>41</v>
      </c>
      <c r="AI49" t="s">
        <v>41</v>
      </c>
      <c r="AJ49" t="s">
        <v>41</v>
      </c>
    </row>
    <row r="50" hidden="1" spans="1:36">
      <c r="A50" t="s">
        <v>41</v>
      </c>
      <c r="B50" t="s">
        <v>41</v>
      </c>
      <c r="C50">
        <v>603270</v>
      </c>
      <c r="D50" t="s">
        <v>275</v>
      </c>
      <c r="E50" t="s">
        <v>55</v>
      </c>
      <c r="F50" t="s">
        <v>41</v>
      </c>
      <c r="G50" t="s">
        <v>38</v>
      </c>
      <c r="H50" t="s">
        <v>259</v>
      </c>
      <c r="I50" t="s">
        <v>120</v>
      </c>
      <c r="J50" t="s">
        <v>38</v>
      </c>
      <c r="K50" t="s">
        <v>41</v>
      </c>
      <c r="L50" t="s">
        <v>41</v>
      </c>
      <c r="M50" t="s">
        <v>41</v>
      </c>
      <c r="N50" t="s">
        <v>41</v>
      </c>
      <c r="O50" t="s">
        <v>41</v>
      </c>
      <c r="P50" t="s">
        <v>41</v>
      </c>
      <c r="Q50" s="2"/>
      <c r="R50" s="2"/>
      <c r="S50" t="s">
        <v>41</v>
      </c>
      <c r="T50" t="s">
        <v>41</v>
      </c>
      <c r="U50" t="s">
        <v>41</v>
      </c>
      <c r="V50" s="2"/>
      <c r="W50" s="2"/>
      <c r="X50" t="s">
        <v>41</v>
      </c>
      <c r="Y50" t="s">
        <v>41</v>
      </c>
      <c r="Z50" t="s">
        <v>41</v>
      </c>
      <c r="AA50" s="2"/>
      <c r="AB50" s="2"/>
      <c r="AC50"/>
      <c r="AD50"/>
      <c r="AE50"/>
      <c r="AF50" s="2"/>
      <c r="AG50" s="2"/>
      <c r="AH50" t="s">
        <v>41</v>
      </c>
      <c r="AI50" t="s">
        <v>41</v>
      </c>
      <c r="AJ50" t="s">
        <v>41</v>
      </c>
    </row>
    <row r="51" hidden="1" spans="1:36">
      <c r="A51" t="s">
        <v>41</v>
      </c>
      <c r="B51" t="s">
        <v>41</v>
      </c>
      <c r="C51">
        <v>603786</v>
      </c>
      <c r="D51" t="s">
        <v>276</v>
      </c>
      <c r="E51" t="s">
        <v>277</v>
      </c>
      <c r="F51" t="s">
        <v>41</v>
      </c>
      <c r="G51" t="s">
        <v>260</v>
      </c>
      <c r="H51" t="s">
        <v>259</v>
      </c>
      <c r="I51" t="s">
        <v>278</v>
      </c>
      <c r="J51" t="s">
        <v>260</v>
      </c>
      <c r="K51" t="s">
        <v>41</v>
      </c>
      <c r="L51" t="s">
        <v>41</v>
      </c>
      <c r="M51" t="s">
        <v>41</v>
      </c>
      <c r="N51" t="s">
        <v>41</v>
      </c>
      <c r="O51" t="s">
        <v>41</v>
      </c>
      <c r="P51" t="s">
        <v>41</v>
      </c>
      <c r="Q51" s="2"/>
      <c r="R51" s="2"/>
      <c r="S51" t="s">
        <v>41</v>
      </c>
      <c r="T51" t="s">
        <v>41</v>
      </c>
      <c r="U51" t="s">
        <v>41</v>
      </c>
      <c r="V51" s="2"/>
      <c r="W51" s="2"/>
      <c r="X51" t="s">
        <v>41</v>
      </c>
      <c r="Y51" t="s">
        <v>41</v>
      </c>
      <c r="Z51" t="s">
        <v>41</v>
      </c>
      <c r="AA51" s="2"/>
      <c r="AB51" s="2"/>
      <c r="AC51"/>
      <c r="AD51"/>
      <c r="AE51"/>
      <c r="AF51" s="2"/>
      <c r="AG51" s="2"/>
      <c r="AH51" t="s">
        <v>41</v>
      </c>
      <c r="AI51" t="s">
        <v>41</v>
      </c>
      <c r="AJ51" t="s">
        <v>41</v>
      </c>
    </row>
    <row r="52" hidden="1" spans="1:36">
      <c r="A52" t="s">
        <v>41</v>
      </c>
      <c r="B52" t="s">
        <v>41</v>
      </c>
      <c r="C52">
        <v>301626</v>
      </c>
      <c r="D52" t="s">
        <v>279</v>
      </c>
      <c r="E52" t="s">
        <v>280</v>
      </c>
      <c r="F52" t="s">
        <v>41</v>
      </c>
      <c r="G52" t="s">
        <v>281</v>
      </c>
      <c r="H52" t="s">
        <v>126</v>
      </c>
      <c r="I52" t="s">
        <v>166</v>
      </c>
      <c r="J52" t="s">
        <v>282</v>
      </c>
      <c r="K52" t="s">
        <v>281</v>
      </c>
      <c r="L52">
        <v>165.2</v>
      </c>
      <c r="M52">
        <v>3873.318</v>
      </c>
      <c r="N52" t="s">
        <v>41</v>
      </c>
      <c r="O52" t="s">
        <v>41</v>
      </c>
      <c r="P52" t="s">
        <v>41</v>
      </c>
      <c r="Q52" s="2"/>
      <c r="R52" s="2"/>
      <c r="S52" t="s">
        <v>41</v>
      </c>
      <c r="T52" t="s">
        <v>41</v>
      </c>
      <c r="U52" t="s">
        <v>41</v>
      </c>
      <c r="V52" s="2"/>
      <c r="W52" s="2"/>
      <c r="X52" t="s">
        <v>41</v>
      </c>
      <c r="Y52" t="s">
        <v>41</v>
      </c>
      <c r="Z52" t="s">
        <v>41</v>
      </c>
      <c r="AA52" s="2"/>
      <c r="AB52" s="2"/>
      <c r="AC52"/>
      <c r="AD52"/>
      <c r="AE52"/>
      <c r="AF52" s="2"/>
      <c r="AG52" s="2"/>
      <c r="AH52" t="s">
        <v>41</v>
      </c>
      <c r="AI52" t="s">
        <v>41</v>
      </c>
      <c r="AJ52" t="s">
        <v>41</v>
      </c>
    </row>
    <row r="53" hidden="1" spans="1:36">
      <c r="A53" t="s">
        <v>41</v>
      </c>
      <c r="B53" t="s">
        <v>41</v>
      </c>
      <c r="C53">
        <v>605196</v>
      </c>
      <c r="D53" t="s">
        <v>283</v>
      </c>
      <c r="E53" t="s">
        <v>115</v>
      </c>
      <c r="F53" t="s">
        <v>41</v>
      </c>
      <c r="G53" t="s">
        <v>103</v>
      </c>
      <c r="H53" t="s">
        <v>259</v>
      </c>
      <c r="I53" t="s">
        <v>284</v>
      </c>
      <c r="J53" t="s">
        <v>103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s="2"/>
      <c r="R53" s="2"/>
      <c r="S53" t="s">
        <v>41</v>
      </c>
      <c r="T53" t="s">
        <v>41</v>
      </c>
      <c r="U53" t="s">
        <v>41</v>
      </c>
      <c r="V53" s="2"/>
      <c r="W53" s="2"/>
      <c r="X53" t="s">
        <v>41</v>
      </c>
      <c r="Y53" t="s">
        <v>41</v>
      </c>
      <c r="Z53" t="s">
        <v>41</v>
      </c>
      <c r="AA53" s="2"/>
      <c r="AB53" s="2"/>
      <c r="AC53"/>
      <c r="AD53"/>
      <c r="AE53"/>
      <c r="AF53" s="2"/>
      <c r="AG53" s="2"/>
      <c r="AH53" t="s">
        <v>41</v>
      </c>
      <c r="AI53" t="s">
        <v>41</v>
      </c>
      <c r="AJ53" t="s">
        <v>41</v>
      </c>
    </row>
    <row r="54" hidden="1" spans="1:36">
      <c r="A54" t="s">
        <v>41</v>
      </c>
      <c r="B54" t="s">
        <v>41</v>
      </c>
      <c r="C54">
        <v>301215</v>
      </c>
      <c r="D54" t="s">
        <v>285</v>
      </c>
      <c r="E54" t="s">
        <v>286</v>
      </c>
      <c r="F54" t="s">
        <v>41</v>
      </c>
      <c r="G54" t="s">
        <v>281</v>
      </c>
      <c r="H54" t="s">
        <v>126</v>
      </c>
      <c r="I54" t="s">
        <v>287</v>
      </c>
      <c r="J54" t="s">
        <v>288</v>
      </c>
      <c r="K54" t="s">
        <v>281</v>
      </c>
      <c r="L54">
        <v>6.23</v>
      </c>
      <c r="M54">
        <v>3873.318</v>
      </c>
      <c r="N54" t="s">
        <v>41</v>
      </c>
      <c r="O54" t="s">
        <v>41</v>
      </c>
      <c r="P54" t="s">
        <v>41</v>
      </c>
      <c r="Q54" s="2"/>
      <c r="R54" s="2"/>
      <c r="S54" t="s">
        <v>41</v>
      </c>
      <c r="T54" t="s">
        <v>41</v>
      </c>
      <c r="U54" t="s">
        <v>41</v>
      </c>
      <c r="V54" s="2"/>
      <c r="W54" s="2"/>
      <c r="X54" t="s">
        <v>41</v>
      </c>
      <c r="Y54" t="s">
        <v>41</v>
      </c>
      <c r="Z54" t="s">
        <v>41</v>
      </c>
      <c r="AA54" s="2"/>
      <c r="AB54" s="2"/>
      <c r="AC54"/>
      <c r="AD54"/>
      <c r="AE54"/>
      <c r="AF54" s="2"/>
      <c r="AG54" s="2"/>
      <c r="AH54" t="s">
        <v>41</v>
      </c>
      <c r="AI54" t="s">
        <v>41</v>
      </c>
      <c r="AJ54" t="s">
        <v>41</v>
      </c>
    </row>
    <row r="55" hidden="1" spans="1:36">
      <c r="A55" t="s">
        <v>41</v>
      </c>
      <c r="B55" t="s">
        <v>41</v>
      </c>
      <c r="C55">
        <v>301132</v>
      </c>
      <c r="D55" t="s">
        <v>289</v>
      </c>
      <c r="E55" t="s">
        <v>290</v>
      </c>
      <c r="F55" t="s">
        <v>41</v>
      </c>
      <c r="G55" t="s">
        <v>87</v>
      </c>
      <c r="H55" t="s">
        <v>126</v>
      </c>
      <c r="I55" t="s">
        <v>133</v>
      </c>
      <c r="J55" t="s">
        <v>136</v>
      </c>
      <c r="K55" t="s">
        <v>87</v>
      </c>
      <c r="L55">
        <v>33.3</v>
      </c>
      <c r="M55">
        <v>3968.84</v>
      </c>
      <c r="N55" t="s">
        <v>41</v>
      </c>
      <c r="O55" t="s">
        <v>41</v>
      </c>
      <c r="P55" t="s">
        <v>41</v>
      </c>
      <c r="Q55" s="2"/>
      <c r="R55" s="2"/>
      <c r="S55" t="s">
        <v>41</v>
      </c>
      <c r="T55" t="s">
        <v>41</v>
      </c>
      <c r="U55" t="s">
        <v>41</v>
      </c>
      <c r="V55" s="2"/>
      <c r="W55" s="2"/>
      <c r="X55" t="s">
        <v>41</v>
      </c>
      <c r="Y55" t="s">
        <v>41</v>
      </c>
      <c r="Z55" t="s">
        <v>41</v>
      </c>
      <c r="AA55" s="2"/>
      <c r="AB55" s="2"/>
      <c r="AC55"/>
      <c r="AD55"/>
      <c r="AE55"/>
      <c r="AF55" s="2"/>
      <c r="AG55" s="2"/>
      <c r="AH55" t="s">
        <v>41</v>
      </c>
      <c r="AI55" t="s">
        <v>41</v>
      </c>
      <c r="AJ55" t="s">
        <v>41</v>
      </c>
    </row>
    <row r="56" hidden="1" spans="1:36">
      <c r="A56" t="s">
        <v>41</v>
      </c>
      <c r="B56" t="s">
        <v>41</v>
      </c>
      <c r="C56">
        <v>603112</v>
      </c>
      <c r="D56" t="s">
        <v>291</v>
      </c>
      <c r="E56" t="s">
        <v>292</v>
      </c>
      <c r="F56" t="s">
        <v>41</v>
      </c>
      <c r="G56" t="s">
        <v>116</v>
      </c>
      <c r="H56" t="s">
        <v>126</v>
      </c>
      <c r="I56" t="s">
        <v>293</v>
      </c>
      <c r="J56" t="s">
        <v>197</v>
      </c>
      <c r="K56" t="s">
        <v>116</v>
      </c>
      <c r="L56">
        <v>17.61</v>
      </c>
      <c r="M56">
        <v>3963.679</v>
      </c>
      <c r="N56" t="s">
        <v>41</v>
      </c>
      <c r="O56" t="s">
        <v>41</v>
      </c>
      <c r="P56" t="s">
        <v>41</v>
      </c>
      <c r="Q56" s="2"/>
      <c r="R56" s="2"/>
      <c r="S56" t="s">
        <v>41</v>
      </c>
      <c r="T56" t="s">
        <v>41</v>
      </c>
      <c r="U56" t="s">
        <v>41</v>
      </c>
      <c r="V56" s="2"/>
      <c r="W56" s="2"/>
      <c r="X56" t="s">
        <v>41</v>
      </c>
      <c r="Y56" t="s">
        <v>41</v>
      </c>
      <c r="Z56" t="s">
        <v>41</v>
      </c>
      <c r="AA56" s="2"/>
      <c r="AB56" s="2"/>
      <c r="AC56"/>
      <c r="AD56"/>
      <c r="AE56"/>
      <c r="AF56" s="2"/>
      <c r="AG56" s="2"/>
      <c r="AH56" t="s">
        <v>41</v>
      </c>
      <c r="AI56" t="s">
        <v>41</v>
      </c>
      <c r="AJ56" t="s">
        <v>41</v>
      </c>
    </row>
    <row r="57" hidden="1" spans="1:36">
      <c r="A57" t="s">
        <v>41</v>
      </c>
      <c r="B57" t="s">
        <v>41</v>
      </c>
      <c r="C57">
        <v>300975</v>
      </c>
      <c r="D57" t="s">
        <v>294</v>
      </c>
      <c r="E57" t="s">
        <v>55</v>
      </c>
      <c r="F57" t="s">
        <v>41</v>
      </c>
      <c r="G57" t="s">
        <v>295</v>
      </c>
      <c r="H57" t="s">
        <v>259</v>
      </c>
      <c r="I57" t="s">
        <v>173</v>
      </c>
      <c r="J57" t="s">
        <v>295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s="2"/>
      <c r="R57" s="2"/>
      <c r="S57" t="s">
        <v>41</v>
      </c>
      <c r="T57" t="s">
        <v>41</v>
      </c>
      <c r="U57" t="s">
        <v>41</v>
      </c>
      <c r="V57" s="2"/>
      <c r="W57" s="2"/>
      <c r="X57" t="s">
        <v>41</v>
      </c>
      <c r="Y57" t="s">
        <v>41</v>
      </c>
      <c r="Z57" t="s">
        <v>41</v>
      </c>
      <c r="AA57" s="2"/>
      <c r="AB57" s="2"/>
      <c r="AC57"/>
      <c r="AD57"/>
      <c r="AE57"/>
      <c r="AF57" s="2"/>
      <c r="AG57" s="2"/>
      <c r="AH57" t="s">
        <v>41</v>
      </c>
      <c r="AI57" t="s">
        <v>41</v>
      </c>
      <c r="AJ57" t="s">
        <v>41</v>
      </c>
    </row>
    <row r="58" hidden="1" spans="1:36">
      <c r="A58" t="s">
        <v>41</v>
      </c>
      <c r="B58" t="s">
        <v>41</v>
      </c>
      <c r="C58">
        <v>688484</v>
      </c>
      <c r="D58" t="s">
        <v>296</v>
      </c>
      <c r="E58" t="s">
        <v>297</v>
      </c>
      <c r="F58" t="s">
        <v>41</v>
      </c>
      <c r="G58" t="s">
        <v>108</v>
      </c>
      <c r="H58" t="s">
        <v>126</v>
      </c>
      <c r="I58" t="s">
        <v>298</v>
      </c>
      <c r="J58" t="s">
        <v>49</v>
      </c>
      <c r="K58" t="s">
        <v>108</v>
      </c>
      <c r="L58">
        <v>37.45</v>
      </c>
      <c r="M58">
        <v>3876.371</v>
      </c>
      <c r="N58" t="s">
        <v>41</v>
      </c>
      <c r="O58" t="s">
        <v>41</v>
      </c>
      <c r="P58" t="s">
        <v>41</v>
      </c>
      <c r="Q58" s="2"/>
      <c r="R58" s="2"/>
      <c r="S58" t="s">
        <v>41</v>
      </c>
      <c r="T58" t="s">
        <v>41</v>
      </c>
      <c r="U58" t="s">
        <v>41</v>
      </c>
      <c r="V58" s="2"/>
      <c r="W58" s="2"/>
      <c r="X58" t="s">
        <v>41</v>
      </c>
      <c r="Y58" t="s">
        <v>41</v>
      </c>
      <c r="Z58" t="s">
        <v>41</v>
      </c>
      <c r="AA58" s="2"/>
      <c r="AB58" s="2"/>
      <c r="AC58"/>
      <c r="AD58"/>
      <c r="AE58"/>
      <c r="AF58" s="2"/>
      <c r="AG58" s="2"/>
      <c r="AH58" t="s">
        <v>41</v>
      </c>
      <c r="AI58" t="s">
        <v>41</v>
      </c>
      <c r="AJ58" t="s">
        <v>41</v>
      </c>
    </row>
    <row r="59" hidden="1" spans="1:36">
      <c r="A59" t="s">
        <v>41</v>
      </c>
      <c r="B59" t="s">
        <v>41</v>
      </c>
      <c r="C59">
        <v>300660</v>
      </c>
      <c r="D59" t="s">
        <v>299</v>
      </c>
      <c r="E59" t="s">
        <v>300</v>
      </c>
      <c r="F59" t="s">
        <v>41</v>
      </c>
      <c r="G59" t="s">
        <v>141</v>
      </c>
      <c r="H59" t="s">
        <v>126</v>
      </c>
      <c r="I59" t="s">
        <v>183</v>
      </c>
      <c r="J59" t="s">
        <v>61</v>
      </c>
      <c r="K59" t="s">
        <v>141</v>
      </c>
      <c r="L59">
        <v>50.44</v>
      </c>
      <c r="M59">
        <v>3909.522</v>
      </c>
      <c r="N59" t="s">
        <v>41</v>
      </c>
      <c r="O59" t="s">
        <v>41</v>
      </c>
      <c r="P59" t="s">
        <v>41</v>
      </c>
      <c r="Q59" s="2"/>
      <c r="R59" s="2"/>
      <c r="S59" t="s">
        <v>41</v>
      </c>
      <c r="T59" t="s">
        <v>41</v>
      </c>
      <c r="U59" t="s">
        <v>41</v>
      </c>
      <c r="V59" s="2"/>
      <c r="W59" s="2"/>
      <c r="X59" t="s">
        <v>41</v>
      </c>
      <c r="Y59" t="s">
        <v>41</v>
      </c>
      <c r="Z59" t="s">
        <v>41</v>
      </c>
      <c r="AA59" s="2"/>
      <c r="AB59" s="2"/>
      <c r="AC59"/>
      <c r="AD59"/>
      <c r="AE59"/>
      <c r="AF59" s="2"/>
      <c r="AG59" s="2"/>
      <c r="AH59" t="s">
        <v>41</v>
      </c>
      <c r="AI59" t="s">
        <v>41</v>
      </c>
      <c r="AJ59" t="s">
        <v>41</v>
      </c>
    </row>
    <row r="60" hidden="1" spans="1:36">
      <c r="A60" t="s">
        <v>41</v>
      </c>
      <c r="B60" t="s">
        <v>41</v>
      </c>
      <c r="C60">
        <v>1282</v>
      </c>
      <c r="D60" t="s">
        <v>301</v>
      </c>
      <c r="E60" t="s">
        <v>178</v>
      </c>
      <c r="F60" t="s">
        <v>41</v>
      </c>
      <c r="G60" t="s">
        <v>302</v>
      </c>
      <c r="H60" t="s">
        <v>259</v>
      </c>
      <c r="I60" t="s">
        <v>203</v>
      </c>
      <c r="J60" t="s">
        <v>302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s="2"/>
      <c r="R60" s="2"/>
      <c r="S60" t="s">
        <v>41</v>
      </c>
      <c r="T60" t="s">
        <v>41</v>
      </c>
      <c r="U60" t="s">
        <v>41</v>
      </c>
      <c r="V60" s="2"/>
      <c r="W60" s="2"/>
      <c r="X60" t="s">
        <v>41</v>
      </c>
      <c r="Y60" t="s">
        <v>41</v>
      </c>
      <c r="Z60" t="s">
        <v>41</v>
      </c>
      <c r="AA60" s="2"/>
      <c r="AB60" s="2"/>
      <c r="AC60"/>
      <c r="AD60"/>
      <c r="AE60"/>
      <c r="AF60" s="2"/>
      <c r="AG60" s="2"/>
      <c r="AH60" t="s">
        <v>41</v>
      </c>
      <c r="AI60" t="s">
        <v>41</v>
      </c>
      <c r="AJ60" t="s">
        <v>41</v>
      </c>
    </row>
    <row r="61" hidden="1" spans="1:36">
      <c r="A61" t="s">
        <v>41</v>
      </c>
      <c r="B61" t="s">
        <v>41</v>
      </c>
      <c r="C61">
        <v>301149</v>
      </c>
      <c r="D61" t="s">
        <v>303</v>
      </c>
      <c r="E61" t="s">
        <v>304</v>
      </c>
      <c r="F61" t="s">
        <v>41</v>
      </c>
      <c r="G61" t="s">
        <v>146</v>
      </c>
      <c r="H61" t="s">
        <v>259</v>
      </c>
      <c r="I61" t="s">
        <v>305</v>
      </c>
      <c r="J61" t="s">
        <v>146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s="2"/>
      <c r="R61" s="2"/>
      <c r="S61" t="s">
        <v>41</v>
      </c>
      <c r="T61" t="s">
        <v>41</v>
      </c>
      <c r="U61" t="s">
        <v>41</v>
      </c>
      <c r="V61" s="2"/>
      <c r="W61" s="2"/>
      <c r="X61" t="s">
        <v>41</v>
      </c>
      <c r="Y61" t="s">
        <v>41</v>
      </c>
      <c r="Z61" t="s">
        <v>41</v>
      </c>
      <c r="AA61" s="2"/>
      <c r="AB61" s="2"/>
      <c r="AC61"/>
      <c r="AD61"/>
      <c r="AE61"/>
      <c r="AF61" s="2"/>
      <c r="AG61" s="2"/>
      <c r="AH61" t="s">
        <v>41</v>
      </c>
      <c r="AI61" t="s">
        <v>41</v>
      </c>
      <c r="AJ61" t="s">
        <v>41</v>
      </c>
    </row>
    <row r="62" hidden="1" spans="1:36">
      <c r="A62" t="s">
        <v>41</v>
      </c>
      <c r="B62" t="s">
        <v>41</v>
      </c>
      <c r="C62">
        <v>300631</v>
      </c>
      <c r="D62" t="s">
        <v>306</v>
      </c>
      <c r="E62" t="s">
        <v>307</v>
      </c>
      <c r="F62" t="s">
        <v>41</v>
      </c>
      <c r="G62" t="s">
        <v>138</v>
      </c>
      <c r="H62" t="s">
        <v>259</v>
      </c>
      <c r="I62" t="s">
        <v>149</v>
      </c>
      <c r="J62" t="s">
        <v>138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s="2"/>
      <c r="R62" s="2"/>
      <c r="S62" t="s">
        <v>41</v>
      </c>
      <c r="T62" t="s">
        <v>41</v>
      </c>
      <c r="U62" t="s">
        <v>41</v>
      </c>
      <c r="V62" s="2"/>
      <c r="W62" s="2"/>
      <c r="X62" t="s">
        <v>41</v>
      </c>
      <c r="Y62" t="s">
        <v>41</v>
      </c>
      <c r="Z62" t="s">
        <v>41</v>
      </c>
      <c r="AA62" s="2"/>
      <c r="AB62" s="2"/>
      <c r="AC62"/>
      <c r="AD62"/>
      <c r="AE62"/>
      <c r="AF62" s="2"/>
      <c r="AG62" s="2"/>
      <c r="AH62" t="s">
        <v>41</v>
      </c>
      <c r="AI62" t="s">
        <v>41</v>
      </c>
      <c r="AJ62" t="s">
        <v>41</v>
      </c>
    </row>
    <row r="63" hidden="1" spans="1:36">
      <c r="A63" t="s">
        <v>41</v>
      </c>
      <c r="B63" t="s">
        <v>41</v>
      </c>
      <c r="C63">
        <v>300709</v>
      </c>
      <c r="D63" t="s">
        <v>308</v>
      </c>
      <c r="E63" t="s">
        <v>309</v>
      </c>
      <c r="F63" t="s">
        <v>41</v>
      </c>
      <c r="G63" t="s">
        <v>149</v>
      </c>
      <c r="H63" t="s">
        <v>259</v>
      </c>
      <c r="I63" t="s">
        <v>310</v>
      </c>
      <c r="J63" t="s">
        <v>149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s="2"/>
      <c r="R63" s="2"/>
      <c r="S63" t="s">
        <v>41</v>
      </c>
      <c r="T63" t="s">
        <v>41</v>
      </c>
      <c r="U63" t="s">
        <v>41</v>
      </c>
      <c r="V63" s="2"/>
      <c r="W63" s="2"/>
      <c r="X63" t="s">
        <v>41</v>
      </c>
      <c r="Y63" t="s">
        <v>41</v>
      </c>
      <c r="Z63" t="s">
        <v>41</v>
      </c>
      <c r="AA63" s="2"/>
      <c r="AB63" s="2"/>
      <c r="AC63"/>
      <c r="AD63"/>
      <c r="AE63"/>
      <c r="AF63" s="2"/>
      <c r="AG63" s="2"/>
      <c r="AH63" t="s">
        <v>41</v>
      </c>
      <c r="AI63" t="s">
        <v>41</v>
      </c>
      <c r="AJ63" t="s">
        <v>41</v>
      </c>
    </row>
    <row r="64" hidden="1" spans="1:36">
      <c r="A64" t="s">
        <v>41</v>
      </c>
      <c r="B64" t="s">
        <v>41</v>
      </c>
      <c r="C64">
        <v>600456</v>
      </c>
      <c r="D64" t="s">
        <v>311</v>
      </c>
      <c r="E64" t="s">
        <v>312</v>
      </c>
      <c r="F64" t="s">
        <v>41</v>
      </c>
      <c r="G64" t="s">
        <v>63</v>
      </c>
      <c r="H64" t="s">
        <v>126</v>
      </c>
      <c r="I64" t="s">
        <v>313</v>
      </c>
      <c r="J64" t="s">
        <v>314</v>
      </c>
      <c r="K64" t="s">
        <v>63</v>
      </c>
      <c r="L64">
        <v>33.25</v>
      </c>
      <c r="M64">
        <v>3889.346</v>
      </c>
      <c r="N64" t="s">
        <v>41</v>
      </c>
      <c r="O64" t="s">
        <v>41</v>
      </c>
      <c r="P64" t="s">
        <v>41</v>
      </c>
      <c r="Q64" s="2"/>
      <c r="R64" s="2"/>
      <c r="S64" t="s">
        <v>41</v>
      </c>
      <c r="T64" t="s">
        <v>41</v>
      </c>
      <c r="U64" t="s">
        <v>41</v>
      </c>
      <c r="V64" s="2"/>
      <c r="W64" s="2"/>
      <c r="X64" t="s">
        <v>41</v>
      </c>
      <c r="Y64" t="s">
        <v>41</v>
      </c>
      <c r="Z64" t="s">
        <v>41</v>
      </c>
      <c r="AA64" s="2"/>
      <c r="AB64" s="2"/>
      <c r="AC64"/>
      <c r="AD64"/>
      <c r="AE64"/>
      <c r="AF64" s="2"/>
      <c r="AG64" s="2"/>
      <c r="AH64" t="s">
        <v>41</v>
      </c>
      <c r="AI64" t="s">
        <v>41</v>
      </c>
      <c r="AJ64" t="s">
        <v>41</v>
      </c>
    </row>
    <row r="65" hidden="1" spans="1:36">
      <c r="A65" t="s">
        <v>41</v>
      </c>
      <c r="B65" t="s">
        <v>41</v>
      </c>
      <c r="C65">
        <v>300964</v>
      </c>
      <c r="D65" t="s">
        <v>315</v>
      </c>
      <c r="E65" t="s">
        <v>316</v>
      </c>
      <c r="F65" t="s">
        <v>41</v>
      </c>
      <c r="G65" t="s">
        <v>317</v>
      </c>
      <c r="H65" t="s">
        <v>259</v>
      </c>
      <c r="I65" t="s">
        <v>318</v>
      </c>
      <c r="J65" t="s">
        <v>317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s="2"/>
      <c r="R65" s="2"/>
      <c r="S65" t="s">
        <v>41</v>
      </c>
      <c r="T65" t="s">
        <v>41</v>
      </c>
      <c r="U65" t="s">
        <v>41</v>
      </c>
      <c r="V65" s="2"/>
      <c r="W65" s="2"/>
      <c r="X65" t="s">
        <v>41</v>
      </c>
      <c r="Y65" t="s">
        <v>41</v>
      </c>
      <c r="Z65" t="s">
        <v>41</v>
      </c>
      <c r="AA65" s="2"/>
      <c r="AB65" s="2"/>
      <c r="AC65"/>
      <c r="AD65"/>
      <c r="AE65"/>
      <c r="AF65" s="2"/>
      <c r="AG65" s="2"/>
      <c r="AH65" t="s">
        <v>41</v>
      </c>
      <c r="AI65" t="s">
        <v>41</v>
      </c>
      <c r="AJ65" t="s">
        <v>41</v>
      </c>
    </row>
    <row r="66" hidden="1" spans="1:36">
      <c r="A66" t="s">
        <v>41</v>
      </c>
      <c r="B66" t="s">
        <v>41</v>
      </c>
      <c r="C66">
        <v>300751</v>
      </c>
      <c r="D66" t="s">
        <v>319</v>
      </c>
      <c r="E66" t="s">
        <v>320</v>
      </c>
      <c r="F66" t="s">
        <v>41</v>
      </c>
      <c r="G66" t="s">
        <v>321</v>
      </c>
      <c r="H66" t="s">
        <v>259</v>
      </c>
      <c r="I66" t="s">
        <v>322</v>
      </c>
      <c r="J66" t="s">
        <v>321</v>
      </c>
      <c r="K66" t="s">
        <v>41</v>
      </c>
      <c r="L66" t="s">
        <v>41</v>
      </c>
      <c r="M66" t="s">
        <v>41</v>
      </c>
      <c r="N66" t="s">
        <v>41</v>
      </c>
      <c r="O66" t="s">
        <v>41</v>
      </c>
      <c r="P66" t="s">
        <v>41</v>
      </c>
      <c r="Q66" s="2"/>
      <c r="R66" s="2"/>
      <c r="S66" t="s">
        <v>41</v>
      </c>
      <c r="T66" t="s">
        <v>41</v>
      </c>
      <c r="U66" t="s">
        <v>41</v>
      </c>
      <c r="V66" s="2"/>
      <c r="W66" s="2"/>
      <c r="X66" t="s">
        <v>41</v>
      </c>
      <c r="Y66" t="s">
        <v>41</v>
      </c>
      <c r="Z66" t="s">
        <v>41</v>
      </c>
      <c r="AA66" s="2"/>
      <c r="AB66" s="2"/>
      <c r="AC66"/>
      <c r="AD66"/>
      <c r="AE66"/>
      <c r="AF66" s="2"/>
      <c r="AG66" s="2"/>
      <c r="AH66" t="s">
        <v>41</v>
      </c>
      <c r="AI66" t="s">
        <v>41</v>
      </c>
      <c r="AJ66" t="s">
        <v>41</v>
      </c>
    </row>
    <row r="67" hidden="1" spans="1:36">
      <c r="A67" t="s">
        <v>41</v>
      </c>
      <c r="B67" t="s">
        <v>41</v>
      </c>
      <c r="C67">
        <v>600928</v>
      </c>
      <c r="D67" t="s">
        <v>323</v>
      </c>
      <c r="E67" t="s">
        <v>200</v>
      </c>
      <c r="F67" t="s">
        <v>41</v>
      </c>
      <c r="G67" t="s">
        <v>322</v>
      </c>
      <c r="H67" t="s">
        <v>259</v>
      </c>
      <c r="I67" t="s">
        <v>77</v>
      </c>
      <c r="J67" t="s">
        <v>322</v>
      </c>
      <c r="K67" t="s">
        <v>41</v>
      </c>
      <c r="L67" t="s">
        <v>41</v>
      </c>
      <c r="M67" t="s">
        <v>41</v>
      </c>
      <c r="N67" t="s">
        <v>41</v>
      </c>
      <c r="O67" t="s">
        <v>41</v>
      </c>
      <c r="P67" t="s">
        <v>41</v>
      </c>
      <c r="Q67" s="2"/>
      <c r="R67" s="2"/>
      <c r="S67" t="s">
        <v>41</v>
      </c>
      <c r="T67" t="s">
        <v>41</v>
      </c>
      <c r="U67" t="s">
        <v>41</v>
      </c>
      <c r="V67" s="2"/>
      <c r="W67" s="2"/>
      <c r="X67" t="s">
        <v>41</v>
      </c>
      <c r="Y67" t="s">
        <v>41</v>
      </c>
      <c r="Z67" t="s">
        <v>41</v>
      </c>
      <c r="AA67" s="2"/>
      <c r="AB67" s="2"/>
      <c r="AC67"/>
      <c r="AD67"/>
      <c r="AE67"/>
      <c r="AF67" s="2"/>
      <c r="AG67" s="2"/>
      <c r="AH67" t="s">
        <v>41</v>
      </c>
      <c r="AI67" t="s">
        <v>41</v>
      </c>
      <c r="AJ67" t="s">
        <v>41</v>
      </c>
    </row>
    <row r="68" hidden="1" spans="1:36">
      <c r="A68" t="s">
        <v>41</v>
      </c>
      <c r="B68" t="s">
        <v>41</v>
      </c>
      <c r="C68">
        <v>600368</v>
      </c>
      <c r="D68" t="s">
        <v>324</v>
      </c>
      <c r="E68" t="s">
        <v>325</v>
      </c>
      <c r="F68" t="s">
        <v>41</v>
      </c>
      <c r="G68" t="s">
        <v>326</v>
      </c>
      <c r="H68" t="s">
        <v>259</v>
      </c>
      <c r="I68" t="s">
        <v>109</v>
      </c>
      <c r="J68" t="s">
        <v>326</v>
      </c>
      <c r="K68" t="s">
        <v>41</v>
      </c>
      <c r="L68" t="s">
        <v>41</v>
      </c>
      <c r="M68" t="s">
        <v>41</v>
      </c>
      <c r="N68" t="s">
        <v>41</v>
      </c>
      <c r="O68" t="s">
        <v>41</v>
      </c>
      <c r="P68" t="s">
        <v>41</v>
      </c>
      <c r="Q68" s="2"/>
      <c r="R68" s="2"/>
      <c r="S68" t="s">
        <v>41</v>
      </c>
      <c r="T68" t="s">
        <v>41</v>
      </c>
      <c r="U68" t="s">
        <v>41</v>
      </c>
      <c r="V68" s="2"/>
      <c r="W68" s="2"/>
      <c r="X68" t="s">
        <v>41</v>
      </c>
      <c r="Y68" t="s">
        <v>41</v>
      </c>
      <c r="Z68" t="s">
        <v>41</v>
      </c>
      <c r="AA68" s="2"/>
      <c r="AB68" s="2"/>
      <c r="AC68"/>
      <c r="AD68"/>
      <c r="AE68"/>
      <c r="AF68" s="2"/>
      <c r="AG68" s="2"/>
      <c r="AH68" t="s">
        <v>41</v>
      </c>
      <c r="AI68" t="s">
        <v>41</v>
      </c>
      <c r="AJ68" t="s">
        <v>41</v>
      </c>
    </row>
    <row r="69" hidden="1" spans="1:36">
      <c r="A69" t="s">
        <v>41</v>
      </c>
      <c r="B69" t="s">
        <v>41</v>
      </c>
      <c r="C69">
        <v>1380</v>
      </c>
      <c r="D69" t="s">
        <v>327</v>
      </c>
      <c r="E69" t="s">
        <v>328</v>
      </c>
      <c r="F69" t="s">
        <v>41</v>
      </c>
      <c r="G69" t="s">
        <v>224</v>
      </c>
      <c r="H69" t="s">
        <v>126</v>
      </c>
      <c r="I69" t="s">
        <v>221</v>
      </c>
      <c r="J69" t="s">
        <v>329</v>
      </c>
      <c r="K69" t="s">
        <v>224</v>
      </c>
      <c r="L69">
        <v>22.74</v>
      </c>
      <c r="M69">
        <v>3875.793</v>
      </c>
      <c r="N69" t="s">
        <v>41</v>
      </c>
      <c r="O69" t="s">
        <v>41</v>
      </c>
      <c r="P69" t="s">
        <v>41</v>
      </c>
      <c r="Q69" s="2"/>
      <c r="R69" s="2"/>
      <c r="S69" t="s">
        <v>41</v>
      </c>
      <c r="T69" t="s">
        <v>41</v>
      </c>
      <c r="U69" t="s">
        <v>41</v>
      </c>
      <c r="V69" s="2"/>
      <c r="W69" s="2"/>
      <c r="X69" t="s">
        <v>41</v>
      </c>
      <c r="Y69" t="s">
        <v>41</v>
      </c>
      <c r="Z69" t="s">
        <v>41</v>
      </c>
      <c r="AA69" s="2"/>
      <c r="AB69" s="2"/>
      <c r="AC69"/>
      <c r="AD69"/>
      <c r="AE69"/>
      <c r="AF69" s="2"/>
      <c r="AG69" s="2"/>
      <c r="AH69" t="s">
        <v>41</v>
      </c>
      <c r="AI69" t="s">
        <v>41</v>
      </c>
      <c r="AJ69" t="s">
        <v>41</v>
      </c>
    </row>
    <row r="70" hidden="1" spans="1:36">
      <c r="A70" t="s">
        <v>41</v>
      </c>
      <c r="B70" t="s">
        <v>41</v>
      </c>
      <c r="C70">
        <v>2997</v>
      </c>
      <c r="D70" t="s">
        <v>330</v>
      </c>
      <c r="E70" t="s">
        <v>145</v>
      </c>
      <c r="F70" t="s">
        <v>41</v>
      </c>
      <c r="G70" t="s">
        <v>119</v>
      </c>
      <c r="H70" t="s">
        <v>259</v>
      </c>
      <c r="I70" t="s">
        <v>331</v>
      </c>
      <c r="J70" t="s">
        <v>119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s="2"/>
      <c r="R70" s="2"/>
      <c r="S70" t="s">
        <v>41</v>
      </c>
      <c r="T70" t="s">
        <v>41</v>
      </c>
      <c r="U70" t="s">
        <v>41</v>
      </c>
      <c r="V70" s="2"/>
      <c r="W70" s="2"/>
      <c r="X70" t="s">
        <v>41</v>
      </c>
      <c r="Y70" t="s">
        <v>41</v>
      </c>
      <c r="Z70" t="s">
        <v>41</v>
      </c>
      <c r="AA70" s="2"/>
      <c r="AB70" s="2"/>
      <c r="AC70"/>
      <c r="AD70"/>
      <c r="AE70"/>
      <c r="AF70" s="2"/>
      <c r="AG70" s="2"/>
      <c r="AH70" t="s">
        <v>41</v>
      </c>
      <c r="AI70" t="s">
        <v>41</v>
      </c>
      <c r="AJ70" t="s">
        <v>41</v>
      </c>
    </row>
    <row r="71" hidden="1" spans="1:36">
      <c r="A71" t="s">
        <v>41</v>
      </c>
      <c r="B71" t="s">
        <v>41</v>
      </c>
      <c r="C71">
        <v>2550</v>
      </c>
      <c r="D71" t="s">
        <v>332</v>
      </c>
      <c r="E71" t="s">
        <v>55</v>
      </c>
      <c r="F71" t="s">
        <v>41</v>
      </c>
      <c r="G71" t="s">
        <v>333</v>
      </c>
      <c r="H71" t="s">
        <v>259</v>
      </c>
      <c r="I71" t="s">
        <v>334</v>
      </c>
      <c r="J71" t="s">
        <v>333</v>
      </c>
      <c r="K71" t="s">
        <v>41</v>
      </c>
      <c r="L71" t="s">
        <v>41</v>
      </c>
      <c r="M71" t="s">
        <v>41</v>
      </c>
      <c r="N71" t="s">
        <v>41</v>
      </c>
      <c r="O71" t="s">
        <v>41</v>
      </c>
      <c r="P71" t="s">
        <v>41</v>
      </c>
      <c r="Q71" s="2"/>
      <c r="R71" s="2"/>
      <c r="S71" t="s">
        <v>41</v>
      </c>
      <c r="T71" t="s">
        <v>41</v>
      </c>
      <c r="U71" t="s">
        <v>41</v>
      </c>
      <c r="V71" s="2"/>
      <c r="W71" s="2"/>
      <c r="X71" t="s">
        <v>41</v>
      </c>
      <c r="Y71" t="s">
        <v>41</v>
      </c>
      <c r="Z71" t="s">
        <v>41</v>
      </c>
      <c r="AA71" s="2"/>
      <c r="AB71" s="2"/>
      <c r="AC71"/>
      <c r="AD71"/>
      <c r="AE71"/>
      <c r="AF71" s="2"/>
      <c r="AG71" s="2"/>
      <c r="AH71" t="s">
        <v>41</v>
      </c>
      <c r="AI71" t="s">
        <v>41</v>
      </c>
      <c r="AJ71" t="s">
        <v>41</v>
      </c>
    </row>
    <row r="72" hidden="1" spans="1:36">
      <c r="A72" t="s">
        <v>41</v>
      </c>
      <c r="B72" t="s">
        <v>41</v>
      </c>
      <c r="C72">
        <v>300432</v>
      </c>
      <c r="D72" t="s">
        <v>335</v>
      </c>
      <c r="E72" t="s">
        <v>336</v>
      </c>
      <c r="F72" t="s">
        <v>41</v>
      </c>
      <c r="G72" t="s">
        <v>337</v>
      </c>
      <c r="H72" t="s">
        <v>259</v>
      </c>
      <c r="I72" t="s">
        <v>338</v>
      </c>
      <c r="J72" t="s">
        <v>337</v>
      </c>
      <c r="K72" t="s">
        <v>41</v>
      </c>
      <c r="L72" t="s">
        <v>41</v>
      </c>
      <c r="M72" t="s">
        <v>41</v>
      </c>
      <c r="N72" t="s">
        <v>41</v>
      </c>
      <c r="O72" t="s">
        <v>41</v>
      </c>
      <c r="P72" t="s">
        <v>41</v>
      </c>
      <c r="Q72" s="2"/>
      <c r="R72" s="2"/>
      <c r="S72" t="s">
        <v>41</v>
      </c>
      <c r="T72" t="s">
        <v>41</v>
      </c>
      <c r="U72" t="s">
        <v>41</v>
      </c>
      <c r="V72" s="2"/>
      <c r="W72" s="2"/>
      <c r="X72" t="s">
        <v>41</v>
      </c>
      <c r="Y72" t="s">
        <v>41</v>
      </c>
      <c r="Z72" t="s">
        <v>41</v>
      </c>
      <c r="AA72" s="2"/>
      <c r="AB72" s="2"/>
      <c r="AC72"/>
      <c r="AD72"/>
      <c r="AE72"/>
      <c r="AF72" s="2"/>
      <c r="AG72" s="2"/>
      <c r="AH72" t="s">
        <v>41</v>
      </c>
      <c r="AI72" t="s">
        <v>41</v>
      </c>
      <c r="AJ72" t="s">
        <v>41</v>
      </c>
    </row>
    <row r="73" hidden="1" spans="1:36">
      <c r="A73" t="s">
        <v>41</v>
      </c>
      <c r="B73" t="s">
        <v>41</v>
      </c>
      <c r="C73">
        <v>605016</v>
      </c>
      <c r="D73" t="s">
        <v>339</v>
      </c>
      <c r="E73" t="s">
        <v>340</v>
      </c>
      <c r="F73" t="s">
        <v>41</v>
      </c>
      <c r="G73" t="s">
        <v>341</v>
      </c>
      <c r="H73" t="s">
        <v>259</v>
      </c>
      <c r="I73" t="s">
        <v>342</v>
      </c>
      <c r="J73" t="s">
        <v>341</v>
      </c>
      <c r="K73" t="s">
        <v>41</v>
      </c>
      <c r="L73" t="s">
        <v>41</v>
      </c>
      <c r="M73" t="s">
        <v>41</v>
      </c>
      <c r="N73" t="s">
        <v>41</v>
      </c>
      <c r="O73" t="s">
        <v>41</v>
      </c>
      <c r="P73" t="s">
        <v>41</v>
      </c>
      <c r="Q73" s="2"/>
      <c r="R73" s="2"/>
      <c r="S73" t="s">
        <v>41</v>
      </c>
      <c r="T73" t="s">
        <v>41</v>
      </c>
      <c r="U73" t="s">
        <v>41</v>
      </c>
      <c r="V73" s="2"/>
      <c r="W73" s="2"/>
      <c r="X73" t="s">
        <v>41</v>
      </c>
      <c r="Y73" t="s">
        <v>41</v>
      </c>
      <c r="Z73" t="s">
        <v>41</v>
      </c>
      <c r="AA73" s="2"/>
      <c r="AB73" s="2"/>
      <c r="AC73"/>
      <c r="AD73"/>
      <c r="AE73"/>
      <c r="AF73" s="2"/>
      <c r="AG73" s="2"/>
      <c r="AH73" t="s">
        <v>41</v>
      </c>
      <c r="AI73" t="s">
        <v>41</v>
      </c>
      <c r="AJ73" t="s">
        <v>41</v>
      </c>
    </row>
    <row r="74" hidden="1" spans="1:36">
      <c r="A74" t="s">
        <v>41</v>
      </c>
      <c r="B74" t="s">
        <v>41</v>
      </c>
      <c r="C74">
        <v>300502</v>
      </c>
      <c r="D74" t="s">
        <v>343</v>
      </c>
      <c r="E74" t="s">
        <v>344</v>
      </c>
      <c r="F74" t="s">
        <v>41</v>
      </c>
      <c r="G74" t="s">
        <v>345</v>
      </c>
      <c r="H74" t="s">
        <v>259</v>
      </c>
      <c r="I74" t="s">
        <v>346</v>
      </c>
      <c r="J74" t="s">
        <v>345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 t="s">
        <v>41</v>
      </c>
      <c r="Q74" s="2"/>
      <c r="R74" s="2"/>
      <c r="S74" t="s">
        <v>41</v>
      </c>
      <c r="T74" t="s">
        <v>41</v>
      </c>
      <c r="U74" t="s">
        <v>41</v>
      </c>
      <c r="V74" s="2"/>
      <c r="W74" s="2"/>
      <c r="X74" t="s">
        <v>41</v>
      </c>
      <c r="Y74" t="s">
        <v>41</v>
      </c>
      <c r="Z74" t="s">
        <v>41</v>
      </c>
      <c r="AA74" s="2"/>
      <c r="AB74" s="2"/>
      <c r="AC74"/>
      <c r="AD74"/>
      <c r="AE74"/>
      <c r="AF74" s="2"/>
      <c r="AG74" s="2"/>
      <c r="AH74" t="s">
        <v>41</v>
      </c>
      <c r="AI74" t="s">
        <v>41</v>
      </c>
      <c r="AJ74" t="s">
        <v>41</v>
      </c>
    </row>
    <row r="75" hidden="1" spans="1:36">
      <c r="A75" t="s">
        <v>41</v>
      </c>
      <c r="B75" t="s">
        <v>41</v>
      </c>
      <c r="C75">
        <v>600389</v>
      </c>
      <c r="D75" t="s">
        <v>347</v>
      </c>
      <c r="E75" t="s">
        <v>232</v>
      </c>
      <c r="F75" t="s">
        <v>41</v>
      </c>
      <c r="G75" t="s">
        <v>348</v>
      </c>
      <c r="H75" t="s">
        <v>259</v>
      </c>
      <c r="I75" t="s">
        <v>349</v>
      </c>
      <c r="J75" t="s">
        <v>348</v>
      </c>
      <c r="K75" t="s">
        <v>41</v>
      </c>
      <c r="L75" t="s">
        <v>41</v>
      </c>
      <c r="M75" t="s">
        <v>41</v>
      </c>
      <c r="N75" t="s">
        <v>41</v>
      </c>
      <c r="O75" t="s">
        <v>41</v>
      </c>
      <c r="P75" t="s">
        <v>41</v>
      </c>
      <c r="Q75" s="2"/>
      <c r="R75" s="2"/>
      <c r="S75" t="s">
        <v>41</v>
      </c>
      <c r="T75" t="s">
        <v>41</v>
      </c>
      <c r="U75" t="s">
        <v>41</v>
      </c>
      <c r="V75" s="2"/>
      <c r="W75" s="2"/>
      <c r="X75" t="s">
        <v>41</v>
      </c>
      <c r="Y75" t="s">
        <v>41</v>
      </c>
      <c r="Z75" t="s">
        <v>41</v>
      </c>
      <c r="AA75" s="2"/>
      <c r="AB75" s="2"/>
      <c r="AC75"/>
      <c r="AD75"/>
      <c r="AE75"/>
      <c r="AF75" s="2"/>
      <c r="AG75" s="2"/>
      <c r="AH75" t="s">
        <v>41</v>
      </c>
      <c r="AI75" t="s">
        <v>41</v>
      </c>
      <c r="AJ75" t="s">
        <v>41</v>
      </c>
    </row>
    <row r="76" hidden="1" spans="1:36">
      <c r="A76" t="s">
        <v>41</v>
      </c>
      <c r="B76" t="s">
        <v>41</v>
      </c>
      <c r="C76">
        <v>603255</v>
      </c>
      <c r="D76" t="s">
        <v>350</v>
      </c>
      <c r="E76" t="s">
        <v>145</v>
      </c>
      <c r="F76" t="s">
        <v>41</v>
      </c>
      <c r="G76" t="s">
        <v>351</v>
      </c>
      <c r="H76" t="s">
        <v>259</v>
      </c>
      <c r="I76" t="s">
        <v>352</v>
      </c>
      <c r="J76" t="s">
        <v>351</v>
      </c>
      <c r="K76" t="s">
        <v>41</v>
      </c>
      <c r="L76" t="s">
        <v>41</v>
      </c>
      <c r="M76" t="s">
        <v>41</v>
      </c>
      <c r="N76" t="s">
        <v>41</v>
      </c>
      <c r="O76" t="s">
        <v>41</v>
      </c>
      <c r="P76" t="s">
        <v>41</v>
      </c>
      <c r="Q76" s="2"/>
      <c r="R76" s="2"/>
      <c r="S76" t="s">
        <v>41</v>
      </c>
      <c r="T76" t="s">
        <v>41</v>
      </c>
      <c r="U76" t="s">
        <v>41</v>
      </c>
      <c r="V76" s="2"/>
      <c r="W76" s="2"/>
      <c r="X76" t="s">
        <v>41</v>
      </c>
      <c r="Y76" t="s">
        <v>41</v>
      </c>
      <c r="Z76" t="s">
        <v>41</v>
      </c>
      <c r="AA76" s="2"/>
      <c r="AB76" s="2"/>
      <c r="AC76"/>
      <c r="AD76"/>
      <c r="AE76"/>
      <c r="AF76" s="2"/>
      <c r="AG76" s="2"/>
      <c r="AH76" t="s">
        <v>41</v>
      </c>
      <c r="AI76" t="s">
        <v>41</v>
      </c>
      <c r="AJ76" t="s">
        <v>41</v>
      </c>
    </row>
    <row r="77" hidden="1" spans="1:36">
      <c r="A77" t="s">
        <v>41</v>
      </c>
      <c r="B77" t="s">
        <v>41</v>
      </c>
      <c r="C77">
        <v>887</v>
      </c>
      <c r="D77" t="s">
        <v>353</v>
      </c>
      <c r="E77" t="s">
        <v>148</v>
      </c>
      <c r="F77" t="s">
        <v>41</v>
      </c>
      <c r="G77" t="s">
        <v>99</v>
      </c>
      <c r="H77" t="s">
        <v>259</v>
      </c>
      <c r="I77" t="s">
        <v>354</v>
      </c>
      <c r="J77" t="s">
        <v>99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s="2"/>
      <c r="R77" s="2"/>
      <c r="S77" t="s">
        <v>41</v>
      </c>
      <c r="T77" t="s">
        <v>41</v>
      </c>
      <c r="U77" t="s">
        <v>41</v>
      </c>
      <c r="V77" s="2"/>
      <c r="W77" s="2"/>
      <c r="X77" t="s">
        <v>41</v>
      </c>
      <c r="Y77" t="s">
        <v>41</v>
      </c>
      <c r="Z77" t="s">
        <v>41</v>
      </c>
      <c r="AA77" s="2"/>
      <c r="AB77" s="2"/>
      <c r="AC77"/>
      <c r="AD77"/>
      <c r="AE77"/>
      <c r="AF77" s="2"/>
      <c r="AG77" s="2"/>
      <c r="AH77" t="s">
        <v>41</v>
      </c>
      <c r="AI77" t="s">
        <v>41</v>
      </c>
      <c r="AJ77" t="s">
        <v>41</v>
      </c>
    </row>
    <row r="78" hidden="1" spans="1:36">
      <c r="A78" t="s">
        <v>41</v>
      </c>
      <c r="B78" t="s">
        <v>41</v>
      </c>
      <c r="C78">
        <v>300181</v>
      </c>
      <c r="D78" t="s">
        <v>355</v>
      </c>
      <c r="E78" t="s">
        <v>356</v>
      </c>
      <c r="F78" t="s">
        <v>41</v>
      </c>
      <c r="G78" t="s">
        <v>208</v>
      </c>
      <c r="H78" t="s">
        <v>259</v>
      </c>
      <c r="I78" t="s">
        <v>354</v>
      </c>
      <c r="J78" t="s">
        <v>208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s="2"/>
      <c r="R78" s="2"/>
      <c r="S78" t="s">
        <v>41</v>
      </c>
      <c r="T78" t="s">
        <v>41</v>
      </c>
      <c r="U78" t="s">
        <v>41</v>
      </c>
      <c r="V78" s="2"/>
      <c r="W78" s="2"/>
      <c r="X78" t="s">
        <v>41</v>
      </c>
      <c r="Y78" t="s">
        <v>41</v>
      </c>
      <c r="Z78" t="s">
        <v>41</v>
      </c>
      <c r="AA78" s="2"/>
      <c r="AB78" s="2"/>
      <c r="AC78"/>
      <c r="AD78"/>
      <c r="AE78"/>
      <c r="AF78" s="2"/>
      <c r="AG78" s="2"/>
      <c r="AH78" t="s">
        <v>41</v>
      </c>
      <c r="AI78" t="s">
        <v>41</v>
      </c>
      <c r="AJ78" t="s">
        <v>41</v>
      </c>
    </row>
    <row r="79" hidden="1" spans="1:36">
      <c r="A79" t="s">
        <v>41</v>
      </c>
      <c r="B79" t="s">
        <v>41</v>
      </c>
      <c r="C79">
        <v>301018</v>
      </c>
      <c r="D79" t="s">
        <v>357</v>
      </c>
      <c r="E79" t="s">
        <v>55</v>
      </c>
      <c r="F79" t="s">
        <v>41</v>
      </c>
      <c r="G79" t="s">
        <v>67</v>
      </c>
      <c r="H79" t="s">
        <v>358</v>
      </c>
      <c r="I79" t="s">
        <v>67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s="2"/>
      <c r="R79" s="2"/>
      <c r="S79" t="s">
        <v>41</v>
      </c>
      <c r="T79" t="s">
        <v>41</v>
      </c>
      <c r="U79" t="s">
        <v>41</v>
      </c>
      <c r="V79" s="2"/>
      <c r="W79" s="2"/>
      <c r="X79" t="s">
        <v>41</v>
      </c>
      <c r="Y79" t="s">
        <v>41</v>
      </c>
      <c r="Z79" t="s">
        <v>41</v>
      </c>
      <c r="AA79" s="2"/>
      <c r="AB79" s="2"/>
      <c r="AC79"/>
      <c r="AD79"/>
      <c r="AE79"/>
      <c r="AF79" s="2"/>
      <c r="AG79" s="2"/>
      <c r="AH79" t="s">
        <v>41</v>
      </c>
      <c r="AI79" t="s">
        <v>41</v>
      </c>
      <c r="AJ79" t="s">
        <v>41</v>
      </c>
    </row>
    <row r="80" hidden="1" spans="1:36">
      <c r="A80" t="s">
        <v>41</v>
      </c>
      <c r="B80" t="s">
        <v>41</v>
      </c>
      <c r="C80">
        <v>301000</v>
      </c>
      <c r="D80" t="s">
        <v>359</v>
      </c>
      <c r="E80" t="s">
        <v>360</v>
      </c>
      <c r="F80" t="s">
        <v>41</v>
      </c>
      <c r="G80" t="s">
        <v>121</v>
      </c>
      <c r="H80" t="s">
        <v>259</v>
      </c>
      <c r="I80" t="s">
        <v>90</v>
      </c>
      <c r="J80" t="s">
        <v>121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s="2"/>
      <c r="R80" s="2"/>
      <c r="S80" t="s">
        <v>41</v>
      </c>
      <c r="T80" t="s">
        <v>41</v>
      </c>
      <c r="U80" t="s">
        <v>41</v>
      </c>
      <c r="V80" s="2"/>
      <c r="W80" s="2"/>
      <c r="X80" t="s">
        <v>41</v>
      </c>
      <c r="Y80" t="s">
        <v>41</v>
      </c>
      <c r="Z80" t="s">
        <v>41</v>
      </c>
      <c r="AA80" s="2"/>
      <c r="AB80" s="2"/>
      <c r="AC80"/>
      <c r="AD80"/>
      <c r="AE80"/>
      <c r="AF80" s="2"/>
      <c r="AG80" s="2"/>
      <c r="AH80" t="s">
        <v>41</v>
      </c>
      <c r="AI80" t="s">
        <v>41</v>
      </c>
      <c r="AJ80" t="s">
        <v>41</v>
      </c>
    </row>
    <row r="81" hidden="1" spans="1:36">
      <c r="A81" t="s">
        <v>41</v>
      </c>
      <c r="B81" t="s">
        <v>41</v>
      </c>
      <c r="C81">
        <v>688480</v>
      </c>
      <c r="D81" t="s">
        <v>361</v>
      </c>
      <c r="E81" t="s">
        <v>362</v>
      </c>
      <c r="F81" t="s">
        <v>41</v>
      </c>
      <c r="G81" t="s">
        <v>39</v>
      </c>
      <c r="H81" t="s">
        <v>259</v>
      </c>
      <c r="I81" t="s">
        <v>120</v>
      </c>
      <c r="J81" t="s">
        <v>39</v>
      </c>
      <c r="K81" t="s">
        <v>41</v>
      </c>
      <c r="L81" t="s">
        <v>41</v>
      </c>
      <c r="M81" t="s">
        <v>41</v>
      </c>
      <c r="N81" t="s">
        <v>41</v>
      </c>
      <c r="O81" t="s">
        <v>41</v>
      </c>
      <c r="P81" t="s">
        <v>41</v>
      </c>
      <c r="Q81" s="2"/>
      <c r="R81" s="2"/>
      <c r="S81" t="s">
        <v>41</v>
      </c>
      <c r="T81" t="s">
        <v>41</v>
      </c>
      <c r="U81" t="s">
        <v>41</v>
      </c>
      <c r="V81" s="2"/>
      <c r="W81" s="2"/>
      <c r="X81" t="s">
        <v>41</v>
      </c>
      <c r="Y81" t="s">
        <v>41</v>
      </c>
      <c r="Z81" t="s">
        <v>41</v>
      </c>
      <c r="AA81" s="2"/>
      <c r="AB81" s="2"/>
      <c r="AC81"/>
      <c r="AD81"/>
      <c r="AE81"/>
      <c r="AF81" s="2"/>
      <c r="AG81" s="2"/>
      <c r="AH81" t="s">
        <v>41</v>
      </c>
      <c r="AI81" t="s">
        <v>41</v>
      </c>
      <c r="AJ81" t="s">
        <v>41</v>
      </c>
    </row>
    <row r="82" hidden="1" spans="1:36">
      <c r="A82" t="s">
        <v>41</v>
      </c>
      <c r="B82" t="s">
        <v>41</v>
      </c>
      <c r="C82">
        <v>422</v>
      </c>
      <c r="D82" t="s">
        <v>363</v>
      </c>
      <c r="E82" t="s">
        <v>364</v>
      </c>
      <c r="F82" t="s">
        <v>41</v>
      </c>
      <c r="G82" t="s">
        <v>365</v>
      </c>
      <c r="H82" t="s">
        <v>126</v>
      </c>
      <c r="I82" t="s">
        <v>366</v>
      </c>
      <c r="J82" t="s">
        <v>252</v>
      </c>
      <c r="K82" t="s">
        <v>365</v>
      </c>
      <c r="L82">
        <v>14.21</v>
      </c>
      <c r="M82">
        <v>3965.28</v>
      </c>
      <c r="N82" t="s">
        <v>41</v>
      </c>
      <c r="O82" t="s">
        <v>41</v>
      </c>
      <c r="P82" t="s">
        <v>41</v>
      </c>
      <c r="Q82" s="2"/>
      <c r="R82" s="2"/>
      <c r="S82" t="s">
        <v>41</v>
      </c>
      <c r="T82" t="s">
        <v>41</v>
      </c>
      <c r="U82" t="s">
        <v>41</v>
      </c>
      <c r="V82" s="2"/>
      <c r="W82" s="2"/>
      <c r="X82" t="s">
        <v>41</v>
      </c>
      <c r="Y82" t="s">
        <v>41</v>
      </c>
      <c r="Z82" t="s">
        <v>41</v>
      </c>
      <c r="AA82" s="2"/>
      <c r="AB82" s="2"/>
      <c r="AC82"/>
      <c r="AD82"/>
      <c r="AE82"/>
      <c r="AF82" s="2"/>
      <c r="AG82" s="2"/>
      <c r="AH82" t="s">
        <v>41</v>
      </c>
      <c r="AI82" t="s">
        <v>41</v>
      </c>
      <c r="AJ82" t="s">
        <v>41</v>
      </c>
    </row>
    <row r="83" hidden="1" spans="1:36">
      <c r="A83" t="s">
        <v>41</v>
      </c>
      <c r="B83" t="s">
        <v>41</v>
      </c>
      <c r="C83">
        <v>2948</v>
      </c>
      <c r="D83" t="s">
        <v>367</v>
      </c>
      <c r="E83" t="s">
        <v>368</v>
      </c>
      <c r="F83" t="s">
        <v>41</v>
      </c>
      <c r="G83" t="s">
        <v>369</v>
      </c>
      <c r="H83" t="s">
        <v>358</v>
      </c>
      <c r="I83" t="s">
        <v>369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s="2"/>
      <c r="R83" s="2"/>
      <c r="S83" t="s">
        <v>41</v>
      </c>
      <c r="T83" t="s">
        <v>41</v>
      </c>
      <c r="U83" t="s">
        <v>41</v>
      </c>
      <c r="V83" s="2"/>
      <c r="W83" s="2"/>
      <c r="X83" t="s">
        <v>41</v>
      </c>
      <c r="Y83" t="s">
        <v>41</v>
      </c>
      <c r="Z83" t="s">
        <v>41</v>
      </c>
      <c r="AA83" s="2"/>
      <c r="AB83" s="2"/>
      <c r="AC83"/>
      <c r="AD83"/>
      <c r="AE83"/>
      <c r="AF83" s="2"/>
      <c r="AG83" s="2"/>
      <c r="AH83" t="s">
        <v>41</v>
      </c>
      <c r="AI83" t="s">
        <v>41</v>
      </c>
      <c r="AJ83" t="s">
        <v>41</v>
      </c>
    </row>
    <row r="84" hidden="1" spans="1:36">
      <c r="A84" t="s">
        <v>41</v>
      </c>
      <c r="B84" t="s">
        <v>41</v>
      </c>
      <c r="C84">
        <v>300697</v>
      </c>
      <c r="D84" t="s">
        <v>370</v>
      </c>
      <c r="E84" t="s">
        <v>371</v>
      </c>
      <c r="F84" t="s">
        <v>41</v>
      </c>
      <c r="G84" t="s">
        <v>87</v>
      </c>
      <c r="H84" t="s">
        <v>126</v>
      </c>
      <c r="I84" t="s">
        <v>369</v>
      </c>
      <c r="J84" t="s">
        <v>39</v>
      </c>
      <c r="K84" t="s">
        <v>87</v>
      </c>
      <c r="L84">
        <v>16.78</v>
      </c>
      <c r="M84">
        <v>3968.84</v>
      </c>
      <c r="N84" t="s">
        <v>41</v>
      </c>
      <c r="O84" t="s">
        <v>41</v>
      </c>
      <c r="P84" t="s">
        <v>41</v>
      </c>
      <c r="Q84" s="2"/>
      <c r="R84" s="2"/>
      <c r="S84" t="s">
        <v>41</v>
      </c>
      <c r="T84" t="s">
        <v>41</v>
      </c>
      <c r="U84" t="s">
        <v>41</v>
      </c>
      <c r="V84" s="2"/>
      <c r="W84" s="2"/>
      <c r="X84" t="s">
        <v>41</v>
      </c>
      <c r="Y84" t="s">
        <v>41</v>
      </c>
      <c r="Z84" t="s">
        <v>41</v>
      </c>
      <c r="AA84" s="2"/>
      <c r="AB84" s="2"/>
      <c r="AC84"/>
      <c r="AD84"/>
      <c r="AE84"/>
      <c r="AF84" s="2"/>
      <c r="AG84" s="2"/>
      <c r="AH84" t="s">
        <v>41</v>
      </c>
      <c r="AI84" t="s">
        <v>41</v>
      </c>
      <c r="AJ84" t="s">
        <v>41</v>
      </c>
    </row>
    <row r="85" hidden="1" spans="1:36">
      <c r="A85" t="s">
        <v>41</v>
      </c>
      <c r="B85" t="s">
        <v>41</v>
      </c>
      <c r="C85">
        <v>300727</v>
      </c>
      <c r="D85" t="s">
        <v>372</v>
      </c>
      <c r="E85" t="s">
        <v>140</v>
      </c>
      <c r="F85" t="s">
        <v>41</v>
      </c>
      <c r="G85" t="s">
        <v>203</v>
      </c>
      <c r="H85" t="s">
        <v>358</v>
      </c>
      <c r="I85" t="s">
        <v>203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s="2"/>
      <c r="R85" s="2"/>
      <c r="S85" t="s">
        <v>41</v>
      </c>
      <c r="T85" t="s">
        <v>41</v>
      </c>
      <c r="U85" t="s">
        <v>41</v>
      </c>
      <c r="V85" s="2"/>
      <c r="W85" s="2"/>
      <c r="X85" t="s">
        <v>41</v>
      </c>
      <c r="Y85" t="s">
        <v>41</v>
      </c>
      <c r="Z85" t="s">
        <v>41</v>
      </c>
      <c r="AA85" s="2"/>
      <c r="AB85" s="2"/>
      <c r="AC85"/>
      <c r="AD85"/>
      <c r="AE85"/>
      <c r="AF85" s="2"/>
      <c r="AG85" s="2"/>
      <c r="AH85" t="s">
        <v>41</v>
      </c>
      <c r="AI85" t="s">
        <v>41</v>
      </c>
      <c r="AJ85" t="s">
        <v>41</v>
      </c>
    </row>
    <row r="86" hidden="1" spans="1:36">
      <c r="A86" t="s">
        <v>41</v>
      </c>
      <c r="B86" t="s">
        <v>41</v>
      </c>
      <c r="C86">
        <v>2430</v>
      </c>
      <c r="D86" t="s">
        <v>373</v>
      </c>
      <c r="E86" t="s">
        <v>374</v>
      </c>
      <c r="F86" t="s">
        <v>41</v>
      </c>
      <c r="G86" t="s">
        <v>375</v>
      </c>
      <c r="H86" t="s">
        <v>358</v>
      </c>
      <c r="I86" t="s">
        <v>375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 t="s">
        <v>41</v>
      </c>
      <c r="Q86" s="2"/>
      <c r="R86" s="2"/>
      <c r="S86" t="s">
        <v>41</v>
      </c>
      <c r="T86" t="s">
        <v>41</v>
      </c>
      <c r="U86" t="s">
        <v>41</v>
      </c>
      <c r="V86" s="2"/>
      <c r="W86" s="2"/>
      <c r="X86" t="s">
        <v>41</v>
      </c>
      <c r="Y86" t="s">
        <v>41</v>
      </c>
      <c r="Z86" t="s">
        <v>41</v>
      </c>
      <c r="AA86" s="2"/>
      <c r="AB86" s="2"/>
      <c r="AC86"/>
      <c r="AD86"/>
      <c r="AE86"/>
      <c r="AF86" s="2"/>
      <c r="AG86" s="2"/>
      <c r="AH86" t="s">
        <v>41</v>
      </c>
      <c r="AI86" t="s">
        <v>41</v>
      </c>
      <c r="AJ86" t="s">
        <v>41</v>
      </c>
    </row>
    <row r="87" hidden="1" spans="1:36">
      <c r="A87" t="s">
        <v>41</v>
      </c>
      <c r="B87" t="s">
        <v>41</v>
      </c>
      <c r="C87">
        <v>301026</v>
      </c>
      <c r="D87" t="s">
        <v>376</v>
      </c>
      <c r="E87" t="s">
        <v>377</v>
      </c>
      <c r="F87" t="s">
        <v>41</v>
      </c>
      <c r="G87" t="s">
        <v>110</v>
      </c>
      <c r="H87" t="s">
        <v>358</v>
      </c>
      <c r="I87" t="s">
        <v>110</v>
      </c>
      <c r="J87" t="s">
        <v>41</v>
      </c>
      <c r="K87" t="s">
        <v>41</v>
      </c>
      <c r="L87" t="s">
        <v>41</v>
      </c>
      <c r="M87" t="s">
        <v>41</v>
      </c>
      <c r="N87" t="s">
        <v>41</v>
      </c>
      <c r="O87" t="s">
        <v>41</v>
      </c>
      <c r="P87" t="s">
        <v>41</v>
      </c>
      <c r="Q87" s="2"/>
      <c r="R87" s="2"/>
      <c r="S87" t="s">
        <v>41</v>
      </c>
      <c r="T87" t="s">
        <v>41</v>
      </c>
      <c r="U87" t="s">
        <v>41</v>
      </c>
      <c r="V87" s="2"/>
      <c r="W87" s="2"/>
      <c r="X87" t="s">
        <v>41</v>
      </c>
      <c r="Y87" t="s">
        <v>41</v>
      </c>
      <c r="Z87" t="s">
        <v>41</v>
      </c>
      <c r="AA87" s="2"/>
      <c r="AB87" s="2"/>
      <c r="AC87"/>
      <c r="AD87"/>
      <c r="AE87"/>
      <c r="AF87" s="2"/>
      <c r="AG87" s="2"/>
      <c r="AH87" t="s">
        <v>41</v>
      </c>
      <c r="AI87" t="s">
        <v>41</v>
      </c>
      <c r="AJ87" t="s">
        <v>41</v>
      </c>
    </row>
    <row r="88" hidden="1" spans="1:36">
      <c r="A88" t="s">
        <v>41</v>
      </c>
      <c r="B88" t="s">
        <v>41</v>
      </c>
      <c r="C88">
        <v>600618</v>
      </c>
      <c r="D88" t="s">
        <v>378</v>
      </c>
      <c r="E88" t="s">
        <v>379</v>
      </c>
      <c r="F88" t="s">
        <v>41</v>
      </c>
      <c r="G88" t="s">
        <v>380</v>
      </c>
      <c r="H88" t="s">
        <v>358</v>
      </c>
      <c r="I88" t="s">
        <v>380</v>
      </c>
      <c r="J88" t="s">
        <v>41</v>
      </c>
      <c r="K88" t="s">
        <v>41</v>
      </c>
      <c r="L88" t="s">
        <v>41</v>
      </c>
      <c r="M88" t="s">
        <v>41</v>
      </c>
      <c r="N88" t="s">
        <v>41</v>
      </c>
      <c r="O88" t="s">
        <v>41</v>
      </c>
      <c r="P88" t="s">
        <v>41</v>
      </c>
      <c r="Q88" s="2"/>
      <c r="R88" s="2"/>
      <c r="S88" t="s">
        <v>41</v>
      </c>
      <c r="T88" t="s">
        <v>41</v>
      </c>
      <c r="U88" t="s">
        <v>41</v>
      </c>
      <c r="V88" s="2"/>
      <c r="W88" s="2"/>
      <c r="X88" t="s">
        <v>41</v>
      </c>
      <c r="Y88" t="s">
        <v>41</v>
      </c>
      <c r="Z88" t="s">
        <v>41</v>
      </c>
      <c r="AA88" s="2"/>
      <c r="AB88" s="2"/>
      <c r="AC88"/>
      <c r="AD88"/>
      <c r="AE88"/>
      <c r="AF88" s="2"/>
      <c r="AG88" s="2"/>
      <c r="AH88" t="s">
        <v>41</v>
      </c>
      <c r="AI88" t="s">
        <v>41</v>
      </c>
      <c r="AJ88" t="s">
        <v>41</v>
      </c>
    </row>
    <row r="89" hidden="1" spans="1:36">
      <c r="A89" t="s">
        <v>41</v>
      </c>
      <c r="B89" t="s">
        <v>41</v>
      </c>
      <c r="C89">
        <v>603339</v>
      </c>
      <c r="D89" t="s">
        <v>381</v>
      </c>
      <c r="E89" t="s">
        <v>382</v>
      </c>
      <c r="F89" t="s">
        <v>41</v>
      </c>
      <c r="G89" t="s">
        <v>81</v>
      </c>
      <c r="H89" t="s">
        <v>259</v>
      </c>
      <c r="I89" t="s">
        <v>351</v>
      </c>
      <c r="J89" t="s">
        <v>81</v>
      </c>
      <c r="K89" t="s">
        <v>41</v>
      </c>
      <c r="L89" t="s">
        <v>41</v>
      </c>
      <c r="M89" t="s">
        <v>41</v>
      </c>
      <c r="N89" t="s">
        <v>41</v>
      </c>
      <c r="O89" t="s">
        <v>41</v>
      </c>
      <c r="P89" t="s">
        <v>41</v>
      </c>
      <c r="Q89" s="2"/>
      <c r="R89" s="2"/>
      <c r="S89" t="s">
        <v>41</v>
      </c>
      <c r="T89" t="s">
        <v>41</v>
      </c>
      <c r="U89" t="s">
        <v>41</v>
      </c>
      <c r="V89" s="2"/>
      <c r="W89" s="2"/>
      <c r="X89" t="s">
        <v>41</v>
      </c>
      <c r="Y89" t="s">
        <v>41</v>
      </c>
      <c r="Z89" t="s">
        <v>41</v>
      </c>
      <c r="AA89" s="2"/>
      <c r="AB89" s="2"/>
      <c r="AC89"/>
      <c r="AD89"/>
      <c r="AE89"/>
      <c r="AF89" s="2"/>
      <c r="AG89" s="2"/>
      <c r="AH89" t="s">
        <v>41</v>
      </c>
      <c r="AI89" t="s">
        <v>41</v>
      </c>
      <c r="AJ89" t="s">
        <v>41</v>
      </c>
    </row>
    <row r="90" spans="1:36">
      <c r="A90">
        <v>123260</v>
      </c>
      <c r="B90" t="s">
        <v>383</v>
      </c>
      <c r="C90">
        <v>301398</v>
      </c>
      <c r="D90" t="s">
        <v>384</v>
      </c>
      <c r="E90" t="s">
        <v>223</v>
      </c>
      <c r="F90" t="s">
        <v>31</v>
      </c>
      <c r="G90" t="s">
        <v>103</v>
      </c>
      <c r="H90" t="s">
        <v>33</v>
      </c>
      <c r="I90" t="s">
        <v>255</v>
      </c>
      <c r="J90" t="s">
        <v>255</v>
      </c>
      <c r="K90" t="s">
        <v>220</v>
      </c>
      <c r="L90">
        <v>37.84</v>
      </c>
      <c r="M90">
        <v>3335.746</v>
      </c>
      <c r="N90" t="s">
        <v>385</v>
      </c>
      <c r="O90">
        <v>50.19</v>
      </c>
      <c r="P90">
        <v>3825.759</v>
      </c>
      <c r="Q90" s="1">
        <f t="shared" ref="Q67:Q130" si="1">(O90-L90)/L90</f>
        <v>0.326374207188161</v>
      </c>
      <c r="R90" s="1">
        <f t="shared" ref="R67:R130" si="2">(P90-M90)/M90</f>
        <v>0.146897575534828</v>
      </c>
      <c r="S90" t="s">
        <v>386</v>
      </c>
      <c r="T90">
        <v>49.04</v>
      </c>
      <c r="U90">
        <v>3912.21</v>
      </c>
      <c r="V90" s="1">
        <f t="shared" ref="V67:V130" si="3">(T90-O90)/O90</f>
        <v>-0.0229129308627216</v>
      </c>
      <c r="W90" s="1">
        <f t="shared" ref="W67:W130" si="4">(U90-P90)/P90</f>
        <v>0.0225970846569269</v>
      </c>
      <c r="X90" t="s">
        <v>103</v>
      </c>
      <c r="Y90">
        <v>53.01</v>
      </c>
      <c r="Z90">
        <v>3997.556</v>
      </c>
      <c r="AA90" s="2">
        <f t="shared" ref="AA67:AA130" si="5">(Y90-T90)/T90</f>
        <v>0.0809543230016313</v>
      </c>
      <c r="AB90" s="2">
        <f t="shared" ref="AB67:AB130" si="6">(Z90-U90)/U90</f>
        <v>0.0218152911014491</v>
      </c>
      <c r="AC90" t="s">
        <v>84</v>
      </c>
      <c r="AD90">
        <v>48.4</v>
      </c>
      <c r="AE90">
        <v>3836.766</v>
      </c>
      <c r="AF90" s="2">
        <f t="shared" ref="AF67:AF130" si="7">(AD90-Y90)/Y90</f>
        <v>-0.0869647236370496</v>
      </c>
      <c r="AG90" s="2">
        <f t="shared" ref="AG67:AG130" si="8">(AE90-Z90)/Z90</f>
        <v>-0.0402220756882455</v>
      </c>
      <c r="AH90" t="s">
        <v>387</v>
      </c>
      <c r="AI90" t="s">
        <v>41</v>
      </c>
      <c r="AJ90" t="s">
        <v>41</v>
      </c>
    </row>
    <row r="91" spans="1:36">
      <c r="A91">
        <v>118059</v>
      </c>
      <c r="B91" t="s">
        <v>388</v>
      </c>
      <c r="C91">
        <v>688352</v>
      </c>
      <c r="D91" t="s">
        <v>389</v>
      </c>
      <c r="E91" t="s">
        <v>390</v>
      </c>
      <c r="F91" t="s">
        <v>98</v>
      </c>
      <c r="G91" t="s">
        <v>288</v>
      </c>
      <c r="H91" t="s">
        <v>33</v>
      </c>
      <c r="I91" t="s">
        <v>255</v>
      </c>
      <c r="J91" t="s">
        <v>255</v>
      </c>
      <c r="K91" t="s">
        <v>391</v>
      </c>
      <c r="L91">
        <v>11</v>
      </c>
      <c r="M91">
        <v>3448.453</v>
      </c>
      <c r="N91" t="s">
        <v>392</v>
      </c>
      <c r="O91">
        <v>11.77</v>
      </c>
      <c r="P91">
        <v>3875.309</v>
      </c>
      <c r="Q91" s="1">
        <f t="shared" si="1"/>
        <v>0.07</v>
      </c>
      <c r="R91" s="1">
        <f t="shared" si="2"/>
        <v>0.123781881324756</v>
      </c>
      <c r="S91" t="s">
        <v>386</v>
      </c>
      <c r="T91">
        <v>13.49</v>
      </c>
      <c r="U91">
        <v>3912.21</v>
      </c>
      <c r="V91" s="1">
        <f t="shared" si="3"/>
        <v>0.146134239592184</v>
      </c>
      <c r="W91" s="1">
        <f t="shared" si="4"/>
        <v>0.00952207940063614</v>
      </c>
      <c r="X91" t="s">
        <v>288</v>
      </c>
      <c r="Y91">
        <v>13.79</v>
      </c>
      <c r="Z91">
        <v>3976.521</v>
      </c>
      <c r="AA91" s="2">
        <f t="shared" si="5"/>
        <v>0.0222386953298739</v>
      </c>
      <c r="AB91" s="2">
        <f t="shared" si="6"/>
        <v>0.0164385347412333</v>
      </c>
      <c r="AC91" t="s">
        <v>51</v>
      </c>
      <c r="AD91">
        <v>12.22</v>
      </c>
      <c r="AE91">
        <v>3834.891</v>
      </c>
      <c r="AF91" s="2">
        <f t="shared" si="7"/>
        <v>-0.113850616388687</v>
      </c>
      <c r="AG91" s="2">
        <f t="shared" si="8"/>
        <v>-0.0356165603048494</v>
      </c>
      <c r="AH91" t="s">
        <v>393</v>
      </c>
      <c r="AI91" t="s">
        <v>41</v>
      </c>
      <c r="AJ91" t="s">
        <v>41</v>
      </c>
    </row>
    <row r="92" spans="1:36">
      <c r="A92">
        <v>123259</v>
      </c>
      <c r="B92" t="s">
        <v>394</v>
      </c>
      <c r="C92">
        <v>300763</v>
      </c>
      <c r="D92" t="s">
        <v>395</v>
      </c>
      <c r="E92" t="s">
        <v>396</v>
      </c>
      <c r="F92" t="s">
        <v>397</v>
      </c>
      <c r="G92" t="s">
        <v>192</v>
      </c>
      <c r="H92" t="s">
        <v>33</v>
      </c>
      <c r="I92" t="s">
        <v>255</v>
      </c>
      <c r="J92" t="s">
        <v>255</v>
      </c>
      <c r="K92" t="s">
        <v>398</v>
      </c>
      <c r="L92">
        <v>47.49</v>
      </c>
      <c r="M92">
        <v>3145.549</v>
      </c>
      <c r="N92" t="s">
        <v>198</v>
      </c>
      <c r="O92">
        <v>57.86</v>
      </c>
      <c r="P92">
        <v>3559.952</v>
      </c>
      <c r="Q92" s="1">
        <f t="shared" si="1"/>
        <v>0.218361760370604</v>
      </c>
      <c r="R92" s="1">
        <f t="shared" si="2"/>
        <v>0.131742662409646</v>
      </c>
      <c r="S92" t="s">
        <v>162</v>
      </c>
      <c r="T92">
        <v>82.62</v>
      </c>
      <c r="U92">
        <v>3821.833</v>
      </c>
      <c r="V92" s="1">
        <f t="shared" si="3"/>
        <v>0.427929484963706</v>
      </c>
      <c r="W92" s="1">
        <f t="shared" si="4"/>
        <v>0.0735630705133102</v>
      </c>
      <c r="X92" t="s">
        <v>192</v>
      </c>
      <c r="Y92">
        <v>75.29</v>
      </c>
      <c r="Z92">
        <v>3839.755</v>
      </c>
      <c r="AA92" s="2">
        <f t="shared" si="5"/>
        <v>-0.088719438392641</v>
      </c>
      <c r="AB92" s="2">
        <f t="shared" si="6"/>
        <v>0.00468937287422031</v>
      </c>
      <c r="AC92" t="s">
        <v>112</v>
      </c>
      <c r="AD92">
        <v>85.17</v>
      </c>
      <c r="AE92">
        <v>4007.76</v>
      </c>
      <c r="AF92" s="2">
        <f t="shared" si="7"/>
        <v>0.131225926417851</v>
      </c>
      <c r="AG92" s="2">
        <f t="shared" si="8"/>
        <v>0.0437540936856649</v>
      </c>
      <c r="AH92" t="s">
        <v>399</v>
      </c>
      <c r="AI92" t="s">
        <v>41</v>
      </c>
      <c r="AJ92" t="s">
        <v>41</v>
      </c>
    </row>
    <row r="93" spans="1:36">
      <c r="A93">
        <v>110099</v>
      </c>
      <c r="B93" t="s">
        <v>400</v>
      </c>
      <c r="C93">
        <v>600483</v>
      </c>
      <c r="D93" t="s">
        <v>401</v>
      </c>
      <c r="E93" t="s">
        <v>402</v>
      </c>
      <c r="F93" t="s">
        <v>98</v>
      </c>
      <c r="G93" t="s">
        <v>254</v>
      </c>
      <c r="H93" t="s">
        <v>33</v>
      </c>
      <c r="I93" t="s">
        <v>255</v>
      </c>
      <c r="J93" t="s">
        <v>255</v>
      </c>
      <c r="K93" t="s">
        <v>403</v>
      </c>
      <c r="L93">
        <v>9.2</v>
      </c>
      <c r="M93">
        <v>3286.407</v>
      </c>
      <c r="N93" t="s">
        <v>198</v>
      </c>
      <c r="O93">
        <v>9.38</v>
      </c>
      <c r="P93">
        <v>3559.952</v>
      </c>
      <c r="Q93" s="1">
        <f t="shared" si="1"/>
        <v>0.0195652173913045</v>
      </c>
      <c r="R93" s="1">
        <f t="shared" si="2"/>
        <v>0.0832352779190161</v>
      </c>
      <c r="S93" t="s">
        <v>150</v>
      </c>
      <c r="T93">
        <v>9.55</v>
      </c>
      <c r="U93">
        <v>3812.514</v>
      </c>
      <c r="V93" s="1">
        <f t="shared" si="3"/>
        <v>0.0181236673773987</v>
      </c>
      <c r="W93" s="1">
        <f t="shared" si="4"/>
        <v>0.0709453385888349</v>
      </c>
      <c r="X93" t="s">
        <v>254</v>
      </c>
      <c r="Y93">
        <v>9.7</v>
      </c>
      <c r="Z93">
        <v>3889.502</v>
      </c>
      <c r="AA93" s="2">
        <f t="shared" si="5"/>
        <v>0.0157068062827224</v>
      </c>
      <c r="AB93" s="2">
        <f t="shared" si="6"/>
        <v>0.0201934996173128</v>
      </c>
      <c r="AC93" t="s">
        <v>120</v>
      </c>
      <c r="AD93">
        <v>10.09</v>
      </c>
      <c r="AE93">
        <v>3986.901</v>
      </c>
      <c r="AF93" s="2">
        <f t="shared" si="7"/>
        <v>0.0402061855670104</v>
      </c>
      <c r="AG93" s="2">
        <f t="shared" si="8"/>
        <v>0.0250415091700685</v>
      </c>
      <c r="AH93" t="s">
        <v>404</v>
      </c>
      <c r="AI93" t="s">
        <v>41</v>
      </c>
      <c r="AJ93" t="s">
        <v>41</v>
      </c>
    </row>
    <row r="94" spans="1:36">
      <c r="A94">
        <v>113699</v>
      </c>
      <c r="B94" t="s">
        <v>405</v>
      </c>
      <c r="C94">
        <v>603979</v>
      </c>
      <c r="D94" t="s">
        <v>406</v>
      </c>
      <c r="E94" t="s">
        <v>194</v>
      </c>
      <c r="F94" t="s">
        <v>397</v>
      </c>
      <c r="G94" t="s">
        <v>407</v>
      </c>
      <c r="H94" t="s">
        <v>33</v>
      </c>
      <c r="I94" t="s">
        <v>255</v>
      </c>
      <c r="J94" t="s">
        <v>255</v>
      </c>
      <c r="K94" t="s">
        <v>338</v>
      </c>
      <c r="L94">
        <v>41.48</v>
      </c>
      <c r="M94">
        <v>3367.989</v>
      </c>
      <c r="N94" t="s">
        <v>219</v>
      </c>
      <c r="O94">
        <v>48.48</v>
      </c>
      <c r="P94">
        <v>3559.791</v>
      </c>
      <c r="Q94" s="1">
        <f t="shared" si="1"/>
        <v>0.168756027000964</v>
      </c>
      <c r="R94" s="1">
        <f t="shared" si="2"/>
        <v>0.0569485232879324</v>
      </c>
      <c r="S94" t="s">
        <v>149</v>
      </c>
      <c r="T94">
        <v>52.27</v>
      </c>
      <c r="U94">
        <v>3727.288</v>
      </c>
      <c r="V94" s="1">
        <f t="shared" si="3"/>
        <v>0.0781765676567658</v>
      </c>
      <c r="W94" s="1">
        <f t="shared" si="4"/>
        <v>0.0470524814518605</v>
      </c>
      <c r="X94" t="s">
        <v>407</v>
      </c>
      <c r="Y94">
        <v>65.8</v>
      </c>
      <c r="Z94">
        <v>3828.106</v>
      </c>
      <c r="AA94" s="2">
        <f t="shared" si="5"/>
        <v>0.258848287736751</v>
      </c>
      <c r="AB94" s="2">
        <f t="shared" si="6"/>
        <v>0.0270486208739438</v>
      </c>
      <c r="AC94" t="s">
        <v>179</v>
      </c>
      <c r="AD94">
        <v>69.12</v>
      </c>
      <c r="AE94">
        <v>3996.945</v>
      </c>
      <c r="AF94" s="2">
        <f t="shared" si="7"/>
        <v>0.0504559270516718</v>
      </c>
      <c r="AG94" s="2">
        <f t="shared" si="8"/>
        <v>0.0441051005379684</v>
      </c>
      <c r="AH94" t="s">
        <v>408</v>
      </c>
      <c r="AI94" t="s">
        <v>41</v>
      </c>
      <c r="AJ94" t="s">
        <v>41</v>
      </c>
    </row>
    <row r="95" spans="1:36">
      <c r="A95">
        <v>113697</v>
      </c>
      <c r="B95" t="s">
        <v>409</v>
      </c>
      <c r="C95">
        <v>603308</v>
      </c>
      <c r="D95" t="s">
        <v>410</v>
      </c>
      <c r="E95" t="s">
        <v>155</v>
      </c>
      <c r="F95" t="s">
        <v>98</v>
      </c>
      <c r="G95" t="s">
        <v>293</v>
      </c>
      <c r="H95" t="s">
        <v>33</v>
      </c>
      <c r="I95" t="s">
        <v>255</v>
      </c>
      <c r="J95" t="s">
        <v>255</v>
      </c>
      <c r="K95" t="s">
        <v>411</v>
      </c>
      <c r="L95">
        <v>19.6</v>
      </c>
      <c r="M95">
        <v>3297.288</v>
      </c>
      <c r="N95" t="s">
        <v>412</v>
      </c>
      <c r="O95">
        <v>27.16</v>
      </c>
      <c r="P95">
        <v>3605.727</v>
      </c>
      <c r="Q95" s="1">
        <f t="shared" si="1"/>
        <v>0.385714285714286</v>
      </c>
      <c r="R95" s="1">
        <f t="shared" si="2"/>
        <v>0.0935432391711006</v>
      </c>
      <c r="S95" t="s">
        <v>138</v>
      </c>
      <c r="T95">
        <v>28.95</v>
      </c>
      <c r="U95">
        <v>3813.557</v>
      </c>
      <c r="V95" s="1">
        <f t="shared" si="3"/>
        <v>0.0659057437407953</v>
      </c>
      <c r="W95" s="1">
        <f t="shared" si="4"/>
        <v>0.0576388617330153</v>
      </c>
      <c r="X95" t="s">
        <v>293</v>
      </c>
      <c r="Y95">
        <v>31</v>
      </c>
      <c r="Z95">
        <v>3820.089</v>
      </c>
      <c r="AA95" s="2">
        <f t="shared" si="5"/>
        <v>0.0708117443868739</v>
      </c>
      <c r="AB95" s="2">
        <f t="shared" si="6"/>
        <v>0.00171283659848277</v>
      </c>
      <c r="AC95" t="s">
        <v>72</v>
      </c>
      <c r="AD95">
        <v>35.3</v>
      </c>
      <c r="AE95">
        <v>3913.758</v>
      </c>
      <c r="AF95" s="2">
        <f t="shared" si="7"/>
        <v>0.138709677419355</v>
      </c>
      <c r="AG95" s="2">
        <f t="shared" si="8"/>
        <v>0.0245201093482377</v>
      </c>
      <c r="AH95" t="s">
        <v>413</v>
      </c>
      <c r="AI95" t="s">
        <v>41</v>
      </c>
      <c r="AJ95" t="s">
        <v>41</v>
      </c>
    </row>
    <row r="96" spans="1:36">
      <c r="A96">
        <v>123258</v>
      </c>
      <c r="B96" t="s">
        <v>414</v>
      </c>
      <c r="C96">
        <v>300843</v>
      </c>
      <c r="D96" t="s">
        <v>415</v>
      </c>
      <c r="E96" t="s">
        <v>223</v>
      </c>
      <c r="F96" t="s">
        <v>56</v>
      </c>
      <c r="G96" t="s">
        <v>203</v>
      </c>
      <c r="H96" t="s">
        <v>33</v>
      </c>
      <c r="I96" t="s">
        <v>255</v>
      </c>
      <c r="J96" t="s">
        <v>255</v>
      </c>
      <c r="K96" t="s">
        <v>109</v>
      </c>
      <c r="L96">
        <v>27.1</v>
      </c>
      <c r="M96">
        <v>3160.755</v>
      </c>
      <c r="N96" t="s">
        <v>416</v>
      </c>
      <c r="O96">
        <v>28.69</v>
      </c>
      <c r="P96">
        <v>3384.099</v>
      </c>
      <c r="Q96" s="1">
        <f t="shared" si="1"/>
        <v>0.0586715867158671</v>
      </c>
      <c r="R96" s="1">
        <f t="shared" si="2"/>
        <v>0.0706615982573784</v>
      </c>
      <c r="S96" t="s">
        <v>417</v>
      </c>
      <c r="T96">
        <v>30.88</v>
      </c>
      <c r="U96">
        <v>3615.717</v>
      </c>
      <c r="V96" s="1">
        <f t="shared" si="3"/>
        <v>0.0763332171488323</v>
      </c>
      <c r="W96" s="1">
        <f t="shared" si="4"/>
        <v>0.0684430331382149</v>
      </c>
      <c r="X96" t="s">
        <v>203</v>
      </c>
      <c r="Y96">
        <v>64.8</v>
      </c>
      <c r="Z96">
        <v>3843.597</v>
      </c>
      <c r="AA96" s="2">
        <f t="shared" si="5"/>
        <v>1.09844559585492</v>
      </c>
      <c r="AB96" s="2">
        <f t="shared" si="6"/>
        <v>0.0630248440350835</v>
      </c>
      <c r="AC96" t="s">
        <v>146</v>
      </c>
      <c r="AD96">
        <v>55.3</v>
      </c>
      <c r="AE96">
        <v>3812.221</v>
      </c>
      <c r="AF96" s="2">
        <f t="shared" si="7"/>
        <v>-0.146604938271605</v>
      </c>
      <c r="AG96" s="2">
        <f t="shared" si="8"/>
        <v>-0.00816318672326995</v>
      </c>
      <c r="AH96" t="s">
        <v>418</v>
      </c>
      <c r="AI96" t="s">
        <v>41</v>
      </c>
      <c r="AJ96" t="s">
        <v>41</v>
      </c>
    </row>
    <row r="97" spans="1:36">
      <c r="A97">
        <v>127111</v>
      </c>
      <c r="B97" t="s">
        <v>419</v>
      </c>
      <c r="C97">
        <v>2626</v>
      </c>
      <c r="D97" t="s">
        <v>420</v>
      </c>
      <c r="E97" t="s">
        <v>421</v>
      </c>
      <c r="F97" t="s">
        <v>397</v>
      </c>
      <c r="G97" t="s">
        <v>71</v>
      </c>
      <c r="H97" t="s">
        <v>33</v>
      </c>
      <c r="I97" t="s">
        <v>255</v>
      </c>
      <c r="J97" t="s">
        <v>255</v>
      </c>
      <c r="K97" t="s">
        <v>422</v>
      </c>
      <c r="L97">
        <v>15.69</v>
      </c>
      <c r="M97">
        <v>2918.715</v>
      </c>
      <c r="N97" t="s">
        <v>423</v>
      </c>
      <c r="O97">
        <v>14.12</v>
      </c>
      <c r="P97">
        <v>3087.529</v>
      </c>
      <c r="Q97" s="1">
        <f t="shared" si="1"/>
        <v>-0.10006373486297</v>
      </c>
      <c r="R97" s="1">
        <f t="shared" si="2"/>
        <v>0.0578384665854665</v>
      </c>
      <c r="S97" t="s">
        <v>424</v>
      </c>
      <c r="T97">
        <v>15.72</v>
      </c>
      <c r="U97">
        <v>3346.01</v>
      </c>
      <c r="V97" s="1">
        <f t="shared" si="3"/>
        <v>0.113314447592068</v>
      </c>
      <c r="W97" s="1">
        <f t="shared" si="4"/>
        <v>0.0837177561733024</v>
      </c>
      <c r="X97" t="s">
        <v>71</v>
      </c>
      <c r="Y97">
        <v>18.99</v>
      </c>
      <c r="Z97">
        <v>3766.21</v>
      </c>
      <c r="AA97" s="2">
        <f t="shared" si="5"/>
        <v>0.208015267175572</v>
      </c>
      <c r="AB97" s="2">
        <f t="shared" si="6"/>
        <v>0.125582410094411</v>
      </c>
      <c r="AC97" t="s">
        <v>298</v>
      </c>
      <c r="AD97">
        <v>20.41</v>
      </c>
      <c r="AE97">
        <v>3826.841</v>
      </c>
      <c r="AF97" s="2">
        <f t="shared" si="7"/>
        <v>0.0747761979989469</v>
      </c>
      <c r="AG97" s="2">
        <f t="shared" si="8"/>
        <v>0.0160986774502749</v>
      </c>
      <c r="AH97" t="s">
        <v>425</v>
      </c>
      <c r="AI97" t="s">
        <v>41</v>
      </c>
      <c r="AJ97" t="s">
        <v>41</v>
      </c>
    </row>
    <row r="98" spans="1:36">
      <c r="A98">
        <v>113698</v>
      </c>
      <c r="B98" t="s">
        <v>426</v>
      </c>
      <c r="C98">
        <v>603037</v>
      </c>
      <c r="D98" t="s">
        <v>427</v>
      </c>
      <c r="E98" t="s">
        <v>428</v>
      </c>
      <c r="F98" t="s">
        <v>56</v>
      </c>
      <c r="G98" t="s">
        <v>191</v>
      </c>
      <c r="H98" t="s">
        <v>33</v>
      </c>
      <c r="I98" t="s">
        <v>255</v>
      </c>
      <c r="J98" t="s">
        <v>255</v>
      </c>
      <c r="K98" t="s">
        <v>429</v>
      </c>
      <c r="L98">
        <v>9.61</v>
      </c>
      <c r="M98">
        <v>3280.263</v>
      </c>
      <c r="N98" t="s">
        <v>430</v>
      </c>
      <c r="O98">
        <v>10.39</v>
      </c>
      <c r="P98">
        <v>3276.73</v>
      </c>
      <c r="Q98" s="1">
        <f t="shared" si="1"/>
        <v>0.0811654526534861</v>
      </c>
      <c r="R98" s="1">
        <f t="shared" si="2"/>
        <v>-0.00107704778549766</v>
      </c>
      <c r="S98" t="s">
        <v>431</v>
      </c>
      <c r="T98">
        <v>11.79</v>
      </c>
      <c r="U98">
        <v>3388.729</v>
      </c>
      <c r="V98" s="1">
        <f t="shared" si="3"/>
        <v>0.134744947064485</v>
      </c>
      <c r="W98" s="1">
        <f t="shared" si="4"/>
        <v>0.034180112490196</v>
      </c>
      <c r="X98" t="s">
        <v>191</v>
      </c>
      <c r="Y98">
        <v>13</v>
      </c>
      <c r="Z98">
        <v>3696.771</v>
      </c>
      <c r="AA98" s="2">
        <f t="shared" si="5"/>
        <v>0.102629346904156</v>
      </c>
      <c r="AB98" s="2">
        <f t="shared" si="6"/>
        <v>0.0909019281270353</v>
      </c>
      <c r="AC98" t="s">
        <v>146</v>
      </c>
      <c r="AD98">
        <v>12.7</v>
      </c>
      <c r="AE98">
        <v>3812.221</v>
      </c>
      <c r="AF98" s="2">
        <f t="shared" si="7"/>
        <v>-0.0230769230769231</v>
      </c>
      <c r="AG98" s="2">
        <f t="shared" si="8"/>
        <v>0.0312299571707308</v>
      </c>
      <c r="AH98" t="s">
        <v>432</v>
      </c>
      <c r="AI98" t="s">
        <v>41</v>
      </c>
      <c r="AJ98" t="s">
        <v>41</v>
      </c>
    </row>
    <row r="99" spans="1:36">
      <c r="A99">
        <v>118058</v>
      </c>
      <c r="B99" t="s">
        <v>433</v>
      </c>
      <c r="C99">
        <v>688147</v>
      </c>
      <c r="D99" t="s">
        <v>434</v>
      </c>
      <c r="E99" t="s">
        <v>435</v>
      </c>
      <c r="F99" t="s">
        <v>397</v>
      </c>
      <c r="G99" t="s">
        <v>436</v>
      </c>
      <c r="H99" t="s">
        <v>33</v>
      </c>
      <c r="I99" t="s">
        <v>255</v>
      </c>
      <c r="J99" t="s">
        <v>255</v>
      </c>
      <c r="K99" t="s">
        <v>437</v>
      </c>
      <c r="L99">
        <v>30.29</v>
      </c>
      <c r="M99">
        <v>3330.726</v>
      </c>
      <c r="N99" t="s">
        <v>438</v>
      </c>
      <c r="O99">
        <v>29.91</v>
      </c>
      <c r="P99">
        <v>3348.372</v>
      </c>
      <c r="Q99" s="1">
        <f t="shared" si="1"/>
        <v>-0.0125453945196434</v>
      </c>
      <c r="R99" s="1">
        <f t="shared" si="2"/>
        <v>0.00529794405183727</v>
      </c>
      <c r="S99" t="s">
        <v>439</v>
      </c>
      <c r="T99">
        <v>29.83</v>
      </c>
      <c r="U99">
        <v>3472.319</v>
      </c>
      <c r="V99" s="1">
        <f t="shared" si="3"/>
        <v>-0.00267469073888338</v>
      </c>
      <c r="W99" s="1">
        <f t="shared" si="4"/>
        <v>0.0370170936801527</v>
      </c>
      <c r="X99" t="s">
        <v>436</v>
      </c>
      <c r="Y99">
        <v>34.24</v>
      </c>
      <c r="Z99">
        <v>3633.995</v>
      </c>
      <c r="AA99" s="2">
        <f t="shared" si="5"/>
        <v>0.147837747234328</v>
      </c>
      <c r="AB99" s="2">
        <f t="shared" si="6"/>
        <v>0.0465613902409312</v>
      </c>
      <c r="AC99" t="s">
        <v>168</v>
      </c>
      <c r="AD99">
        <v>39.84</v>
      </c>
      <c r="AE99">
        <v>3800.35</v>
      </c>
      <c r="AF99" s="2">
        <f t="shared" si="7"/>
        <v>0.163551401869159</v>
      </c>
      <c r="AG99" s="2">
        <f t="shared" si="8"/>
        <v>0.0457774432821179</v>
      </c>
      <c r="AH99" t="s">
        <v>440</v>
      </c>
      <c r="AI99" t="s">
        <v>41</v>
      </c>
      <c r="AJ99" t="s">
        <v>41</v>
      </c>
    </row>
    <row r="100" spans="1:36">
      <c r="A100">
        <v>127110</v>
      </c>
      <c r="B100" t="s">
        <v>441</v>
      </c>
      <c r="C100">
        <v>3816</v>
      </c>
      <c r="D100" t="s">
        <v>442</v>
      </c>
      <c r="E100" t="s">
        <v>443</v>
      </c>
      <c r="F100" t="s">
        <v>444</v>
      </c>
      <c r="G100" t="s">
        <v>82</v>
      </c>
      <c r="H100" t="s">
        <v>33</v>
      </c>
      <c r="I100" t="s">
        <v>255</v>
      </c>
      <c r="J100" t="s">
        <v>255</v>
      </c>
      <c r="K100" t="s">
        <v>445</v>
      </c>
      <c r="L100">
        <v>4.09</v>
      </c>
      <c r="M100">
        <v>3268.11</v>
      </c>
      <c r="N100" t="s">
        <v>446</v>
      </c>
      <c r="O100">
        <v>3.6</v>
      </c>
      <c r="P100">
        <v>3332.483</v>
      </c>
      <c r="Q100" s="1">
        <f t="shared" si="1"/>
        <v>-0.119804400977995</v>
      </c>
      <c r="R100" s="1">
        <f t="shared" si="2"/>
        <v>0.0196973174097567</v>
      </c>
      <c r="S100" t="s">
        <v>447</v>
      </c>
      <c r="T100">
        <v>3.59</v>
      </c>
      <c r="U100">
        <v>3426.429</v>
      </c>
      <c r="V100" s="1">
        <f t="shared" si="3"/>
        <v>-0.00277777777777784</v>
      </c>
      <c r="W100" s="1">
        <f t="shared" si="4"/>
        <v>0.0281909915219372</v>
      </c>
      <c r="X100" t="s">
        <v>82</v>
      </c>
      <c r="Y100">
        <v>3.7</v>
      </c>
      <c r="Z100">
        <v>3493.05</v>
      </c>
      <c r="AA100" s="2">
        <f t="shared" si="5"/>
        <v>0.030640668523677</v>
      </c>
      <c r="AB100" s="2">
        <f t="shared" si="6"/>
        <v>0.0194432746162258</v>
      </c>
      <c r="AC100" t="s">
        <v>215</v>
      </c>
      <c r="AD100">
        <v>3.75</v>
      </c>
      <c r="AE100">
        <v>3593.655</v>
      </c>
      <c r="AF100" s="2">
        <f t="shared" si="7"/>
        <v>0.0135135135135135</v>
      </c>
      <c r="AG100" s="2">
        <f t="shared" si="8"/>
        <v>0.0288014772190493</v>
      </c>
      <c r="AH100" t="s">
        <v>448</v>
      </c>
      <c r="AI100" t="s">
        <v>41</v>
      </c>
      <c r="AJ100" t="s">
        <v>41</v>
      </c>
    </row>
    <row r="101" spans="1:36">
      <c r="A101">
        <v>111023</v>
      </c>
      <c r="B101" t="s">
        <v>449</v>
      </c>
      <c r="C101">
        <v>605167</v>
      </c>
      <c r="D101" t="s">
        <v>450</v>
      </c>
      <c r="E101" t="s">
        <v>145</v>
      </c>
      <c r="F101" t="s">
        <v>397</v>
      </c>
      <c r="G101" t="s">
        <v>451</v>
      </c>
      <c r="H101" t="s">
        <v>33</v>
      </c>
      <c r="I101" t="s">
        <v>255</v>
      </c>
      <c r="J101" t="s">
        <v>255</v>
      </c>
      <c r="K101" t="s">
        <v>452</v>
      </c>
      <c r="L101">
        <v>7.98</v>
      </c>
      <c r="M101">
        <v>2896.306</v>
      </c>
      <c r="N101" t="s">
        <v>453</v>
      </c>
      <c r="O101">
        <v>8.84</v>
      </c>
      <c r="P101">
        <v>3291.434</v>
      </c>
      <c r="Q101" s="1">
        <f t="shared" si="1"/>
        <v>0.107769423558897</v>
      </c>
      <c r="R101" s="1">
        <f t="shared" si="2"/>
        <v>0.136424811466744</v>
      </c>
      <c r="S101" t="s">
        <v>454</v>
      </c>
      <c r="T101">
        <v>11.12</v>
      </c>
      <c r="U101">
        <v>3347.487</v>
      </c>
      <c r="V101" s="1">
        <f t="shared" si="3"/>
        <v>0.257918552036199</v>
      </c>
      <c r="W101" s="1">
        <f t="shared" si="4"/>
        <v>0.0170299632318314</v>
      </c>
      <c r="X101" t="s">
        <v>451</v>
      </c>
      <c r="Y101">
        <v>11.83</v>
      </c>
      <c r="Z101">
        <v>3461.151</v>
      </c>
      <c r="AA101" s="2">
        <f t="shared" si="5"/>
        <v>0.0638489208633094</v>
      </c>
      <c r="AB101" s="2">
        <f t="shared" si="6"/>
        <v>0.0339550235744007</v>
      </c>
      <c r="AC101" t="s">
        <v>455</v>
      </c>
      <c r="AD101">
        <v>11.29</v>
      </c>
      <c r="AE101">
        <v>3581.861</v>
      </c>
      <c r="AF101" s="2">
        <f t="shared" si="7"/>
        <v>-0.0456466610312765</v>
      </c>
      <c r="AG101" s="2">
        <f t="shared" si="8"/>
        <v>0.0348756815290636</v>
      </c>
      <c r="AH101" t="s">
        <v>456</v>
      </c>
      <c r="AI101" t="s">
        <v>41</v>
      </c>
      <c r="AJ101" t="s">
        <v>41</v>
      </c>
    </row>
    <row r="102" spans="1:36">
      <c r="A102">
        <v>113696</v>
      </c>
      <c r="B102" t="s">
        <v>457</v>
      </c>
      <c r="C102">
        <v>603596</v>
      </c>
      <c r="D102" t="s">
        <v>458</v>
      </c>
      <c r="E102" t="s">
        <v>459</v>
      </c>
      <c r="F102" t="s">
        <v>397</v>
      </c>
      <c r="G102" t="s">
        <v>460</v>
      </c>
      <c r="H102" t="s">
        <v>33</v>
      </c>
      <c r="I102" t="s">
        <v>255</v>
      </c>
      <c r="J102" t="s">
        <v>255</v>
      </c>
      <c r="K102" t="s">
        <v>461</v>
      </c>
      <c r="L102">
        <v>41.51</v>
      </c>
      <c r="M102">
        <v>2938.749</v>
      </c>
      <c r="N102" t="s">
        <v>462</v>
      </c>
      <c r="O102">
        <v>58.6</v>
      </c>
      <c r="P102">
        <v>3373.028</v>
      </c>
      <c r="Q102" s="1">
        <f t="shared" si="1"/>
        <v>0.411708022163334</v>
      </c>
      <c r="R102" s="1">
        <f t="shared" si="2"/>
        <v>0.147776826125675</v>
      </c>
      <c r="S102" t="s">
        <v>463</v>
      </c>
      <c r="T102">
        <v>61.91</v>
      </c>
      <c r="U102">
        <v>3373.749</v>
      </c>
      <c r="V102" s="1">
        <f t="shared" si="3"/>
        <v>0.0564846416382252</v>
      </c>
      <c r="W102" s="1">
        <f t="shared" si="4"/>
        <v>0.00021375452560726</v>
      </c>
      <c r="X102" t="s">
        <v>460</v>
      </c>
      <c r="Y102">
        <v>50.66</v>
      </c>
      <c r="Z102">
        <v>3457.747</v>
      </c>
      <c r="AA102" s="2">
        <f t="shared" si="5"/>
        <v>-0.181715393312874</v>
      </c>
      <c r="AB102" s="2">
        <f t="shared" si="6"/>
        <v>0.0248975249788885</v>
      </c>
      <c r="AC102" t="s">
        <v>464</v>
      </c>
      <c r="AD102">
        <v>49.7</v>
      </c>
      <c r="AE102">
        <v>3597.937</v>
      </c>
      <c r="AF102" s="2">
        <f t="shared" si="7"/>
        <v>-0.0189498618239241</v>
      </c>
      <c r="AG102" s="2">
        <f t="shared" si="8"/>
        <v>0.0405437413437131</v>
      </c>
      <c r="AH102" t="s">
        <v>465</v>
      </c>
      <c r="AI102" t="s">
        <v>41</v>
      </c>
      <c r="AJ102" t="s">
        <v>41</v>
      </c>
    </row>
    <row r="103" spans="1:36">
      <c r="A103">
        <v>118057</v>
      </c>
      <c r="B103" t="s">
        <v>466</v>
      </c>
      <c r="C103">
        <v>688362</v>
      </c>
      <c r="D103" t="s">
        <v>467</v>
      </c>
      <c r="E103" t="s">
        <v>468</v>
      </c>
      <c r="F103" t="s">
        <v>31</v>
      </c>
      <c r="G103" t="s">
        <v>391</v>
      </c>
      <c r="H103" t="s">
        <v>33</v>
      </c>
      <c r="I103" t="s">
        <v>255</v>
      </c>
      <c r="J103" t="s">
        <v>255</v>
      </c>
      <c r="K103" t="s">
        <v>469</v>
      </c>
      <c r="L103">
        <v>17.63</v>
      </c>
      <c r="M103">
        <v>2863.126</v>
      </c>
      <c r="N103" t="s">
        <v>470</v>
      </c>
      <c r="O103">
        <v>24.06</v>
      </c>
      <c r="P103">
        <v>3096.576</v>
      </c>
      <c r="Q103" s="1">
        <f t="shared" si="1"/>
        <v>0.364719228587635</v>
      </c>
      <c r="R103" s="1">
        <f t="shared" si="2"/>
        <v>0.0815367538836921</v>
      </c>
      <c r="S103" t="s">
        <v>471</v>
      </c>
      <c r="T103">
        <v>26.5</v>
      </c>
      <c r="U103">
        <v>3367.462</v>
      </c>
      <c r="V103" s="1">
        <f t="shared" si="3"/>
        <v>0.101413133832087</v>
      </c>
      <c r="W103" s="1">
        <f t="shared" si="4"/>
        <v>0.0874792028356481</v>
      </c>
      <c r="X103" t="s">
        <v>391</v>
      </c>
      <c r="Y103">
        <v>28.43</v>
      </c>
      <c r="Z103">
        <v>3448.453</v>
      </c>
      <c r="AA103" s="2">
        <f t="shared" si="5"/>
        <v>0.0728301886792453</v>
      </c>
      <c r="AB103" s="2">
        <f t="shared" si="6"/>
        <v>0.0240510509101513</v>
      </c>
      <c r="AC103" t="s">
        <v>472</v>
      </c>
      <c r="AD103">
        <v>27.98</v>
      </c>
      <c r="AE103">
        <v>3503.777</v>
      </c>
      <c r="AF103" s="2">
        <f t="shared" si="7"/>
        <v>-0.015828350334154</v>
      </c>
      <c r="AG103" s="2">
        <f t="shared" si="8"/>
        <v>0.0160431358641107</v>
      </c>
      <c r="AH103" t="s">
        <v>473</v>
      </c>
      <c r="AI103" t="s">
        <v>41</v>
      </c>
      <c r="AJ103" t="s">
        <v>41</v>
      </c>
    </row>
    <row r="104" spans="1:36">
      <c r="A104">
        <v>113695</v>
      </c>
      <c r="B104" t="s">
        <v>474</v>
      </c>
      <c r="C104">
        <v>603097</v>
      </c>
      <c r="D104" t="s">
        <v>475</v>
      </c>
      <c r="E104" t="s">
        <v>476</v>
      </c>
      <c r="F104" t="s">
        <v>31</v>
      </c>
      <c r="G104" t="s">
        <v>317</v>
      </c>
      <c r="H104" t="s">
        <v>33</v>
      </c>
      <c r="I104" t="s">
        <v>255</v>
      </c>
      <c r="J104" t="s">
        <v>255</v>
      </c>
      <c r="K104" t="s">
        <v>477</v>
      </c>
      <c r="L104">
        <v>22.82</v>
      </c>
      <c r="M104">
        <v>3336.497</v>
      </c>
      <c r="N104" t="s">
        <v>478</v>
      </c>
      <c r="O104">
        <v>23.48</v>
      </c>
      <c r="P104">
        <v>3429.759</v>
      </c>
      <c r="Q104" s="1">
        <f t="shared" si="1"/>
        <v>0.0289219982471516</v>
      </c>
      <c r="R104" s="1">
        <f t="shared" si="2"/>
        <v>0.0279520706897084</v>
      </c>
      <c r="S104" t="s">
        <v>479</v>
      </c>
      <c r="T104">
        <v>21.93</v>
      </c>
      <c r="U104">
        <v>3316.114</v>
      </c>
      <c r="V104" s="1">
        <f t="shared" si="3"/>
        <v>-0.0660136286201022</v>
      </c>
      <c r="W104" s="1">
        <f t="shared" si="4"/>
        <v>-0.0331349812042187</v>
      </c>
      <c r="X104" t="s">
        <v>317</v>
      </c>
      <c r="Y104">
        <v>21.64</v>
      </c>
      <c r="Z104">
        <v>3359.895</v>
      </c>
      <c r="AA104" s="2">
        <f t="shared" si="5"/>
        <v>-0.0132238942088463</v>
      </c>
      <c r="AB104" s="2">
        <f t="shared" si="6"/>
        <v>0.0132025014821565</v>
      </c>
      <c r="AC104" t="s">
        <v>60</v>
      </c>
      <c r="AD104">
        <v>21.98</v>
      </c>
      <c r="AE104">
        <v>3509.682</v>
      </c>
      <c r="AF104" s="2">
        <f t="shared" si="7"/>
        <v>0.0157116451016636</v>
      </c>
      <c r="AG104" s="2">
        <f t="shared" si="8"/>
        <v>0.0445808574375091</v>
      </c>
      <c r="AH104" t="s">
        <v>480</v>
      </c>
      <c r="AI104" t="s">
        <v>41</v>
      </c>
      <c r="AJ104" t="s">
        <v>41</v>
      </c>
    </row>
    <row r="105" spans="1:36">
      <c r="A105">
        <v>111022</v>
      </c>
      <c r="B105" t="s">
        <v>481</v>
      </c>
      <c r="C105">
        <v>605319</v>
      </c>
      <c r="D105" t="s">
        <v>482</v>
      </c>
      <c r="E105" t="s">
        <v>483</v>
      </c>
      <c r="F105" t="s">
        <v>56</v>
      </c>
      <c r="G105" t="s">
        <v>484</v>
      </c>
      <c r="H105" t="s">
        <v>33</v>
      </c>
      <c r="I105" t="s">
        <v>255</v>
      </c>
      <c r="J105" t="s">
        <v>255</v>
      </c>
      <c r="K105" t="s">
        <v>485</v>
      </c>
      <c r="L105">
        <v>11.06</v>
      </c>
      <c r="M105">
        <v>2788.314</v>
      </c>
      <c r="N105" t="s">
        <v>118</v>
      </c>
      <c r="O105">
        <v>22.59</v>
      </c>
      <c r="P105">
        <v>3368.697</v>
      </c>
      <c r="Q105" s="1">
        <f t="shared" si="1"/>
        <v>1.04249547920434</v>
      </c>
      <c r="R105" s="1">
        <f t="shared" si="2"/>
        <v>0.208148364925902</v>
      </c>
      <c r="S105" t="s">
        <v>101</v>
      </c>
      <c r="T105">
        <v>22.59</v>
      </c>
      <c r="U105">
        <v>3369.245</v>
      </c>
      <c r="V105" s="1">
        <f t="shared" si="3"/>
        <v>0</v>
      </c>
      <c r="W105" s="1">
        <f t="shared" si="4"/>
        <v>0.000162674173426632</v>
      </c>
      <c r="X105" t="s">
        <v>484</v>
      </c>
      <c r="Y105">
        <v>22.71</v>
      </c>
      <c r="Z105">
        <v>3388.809</v>
      </c>
      <c r="AA105" s="2">
        <f t="shared" si="5"/>
        <v>0.00531208499335994</v>
      </c>
      <c r="AB105" s="2">
        <f t="shared" si="6"/>
        <v>0.00580664214089516</v>
      </c>
      <c r="AC105" t="s">
        <v>486</v>
      </c>
      <c r="AD105">
        <v>22.41</v>
      </c>
      <c r="AE105">
        <v>3519.65</v>
      </c>
      <c r="AF105" s="2">
        <f t="shared" si="7"/>
        <v>-0.0132100396301189</v>
      </c>
      <c r="AG105" s="2">
        <f t="shared" si="8"/>
        <v>0.0386097298490413</v>
      </c>
      <c r="AH105" t="s">
        <v>487</v>
      </c>
      <c r="AI105" t="s">
        <v>41</v>
      </c>
      <c r="AJ105" t="s">
        <v>41</v>
      </c>
    </row>
    <row r="106" spans="1:36">
      <c r="A106">
        <v>123257</v>
      </c>
      <c r="B106" t="s">
        <v>488</v>
      </c>
      <c r="C106">
        <v>300866</v>
      </c>
      <c r="D106" t="s">
        <v>489</v>
      </c>
      <c r="E106" t="s">
        <v>490</v>
      </c>
      <c r="F106" t="s">
        <v>98</v>
      </c>
      <c r="G106" t="s">
        <v>321</v>
      </c>
      <c r="H106" t="s">
        <v>33</v>
      </c>
      <c r="I106" t="s">
        <v>255</v>
      </c>
      <c r="J106" t="s">
        <v>255</v>
      </c>
      <c r="K106" t="s">
        <v>491</v>
      </c>
      <c r="L106">
        <v>54.35</v>
      </c>
      <c r="M106">
        <v>3163.739</v>
      </c>
      <c r="N106" t="s">
        <v>492</v>
      </c>
      <c r="O106">
        <v>84.46</v>
      </c>
      <c r="P106">
        <v>3379.839</v>
      </c>
      <c r="Q106" s="1">
        <f t="shared" si="1"/>
        <v>0.554001839926403</v>
      </c>
      <c r="R106" s="1">
        <f t="shared" si="2"/>
        <v>0.0683052552691609</v>
      </c>
      <c r="S106" t="s">
        <v>493</v>
      </c>
      <c r="T106">
        <v>111</v>
      </c>
      <c r="U106">
        <v>3229.488</v>
      </c>
      <c r="V106" s="1">
        <f t="shared" si="3"/>
        <v>0.314231588917831</v>
      </c>
      <c r="W106" s="1">
        <f t="shared" si="4"/>
        <v>-0.0444846633227204</v>
      </c>
      <c r="X106" t="s">
        <v>321</v>
      </c>
      <c r="Y106">
        <v>105.9</v>
      </c>
      <c r="Z106">
        <v>3388.729</v>
      </c>
      <c r="AA106" s="2">
        <f t="shared" si="5"/>
        <v>-0.0459459459459459</v>
      </c>
      <c r="AB106" s="2">
        <f t="shared" si="6"/>
        <v>0.0493084352689962</v>
      </c>
      <c r="AC106" t="s">
        <v>439</v>
      </c>
      <c r="AD106">
        <v>114.45</v>
      </c>
      <c r="AE106">
        <v>3472.319</v>
      </c>
      <c r="AF106" s="2">
        <f t="shared" si="7"/>
        <v>0.0807365439093484</v>
      </c>
      <c r="AG106" s="2">
        <f t="shared" si="8"/>
        <v>0.0246670654395793</v>
      </c>
      <c r="AH106" t="s">
        <v>494</v>
      </c>
      <c r="AI106" t="s">
        <v>41</v>
      </c>
      <c r="AJ106" t="s">
        <v>41</v>
      </c>
    </row>
    <row r="107" spans="1:36">
      <c r="A107">
        <v>127109</v>
      </c>
      <c r="B107" t="s">
        <v>495</v>
      </c>
      <c r="C107">
        <v>2125</v>
      </c>
      <c r="D107" t="s">
        <v>496</v>
      </c>
      <c r="E107" t="s">
        <v>497</v>
      </c>
      <c r="F107" t="s">
        <v>397</v>
      </c>
      <c r="G107" t="s">
        <v>321</v>
      </c>
      <c r="H107" t="s">
        <v>33</v>
      </c>
      <c r="I107" t="s">
        <v>255</v>
      </c>
      <c r="J107" t="s">
        <v>255</v>
      </c>
      <c r="K107" t="s">
        <v>498</v>
      </c>
      <c r="L107">
        <v>10.72</v>
      </c>
      <c r="M107">
        <v>3053.279</v>
      </c>
      <c r="N107" t="s">
        <v>499</v>
      </c>
      <c r="O107">
        <v>11</v>
      </c>
      <c r="P107">
        <v>3372.546</v>
      </c>
      <c r="Q107" s="1">
        <f t="shared" si="1"/>
        <v>0.0261194029850746</v>
      </c>
      <c r="R107" s="1">
        <f t="shared" si="2"/>
        <v>0.104565288661796</v>
      </c>
      <c r="S107" t="s">
        <v>111</v>
      </c>
      <c r="T107">
        <v>9.94</v>
      </c>
      <c r="U107">
        <v>3288.415</v>
      </c>
      <c r="V107" s="1">
        <f t="shared" si="3"/>
        <v>-0.0963636363636364</v>
      </c>
      <c r="W107" s="1">
        <f t="shared" si="4"/>
        <v>-0.0249458421026725</v>
      </c>
      <c r="X107" t="s">
        <v>321</v>
      </c>
      <c r="Y107">
        <v>10.17</v>
      </c>
      <c r="Z107">
        <v>3388.729</v>
      </c>
      <c r="AA107" s="2">
        <f t="shared" si="5"/>
        <v>0.023138832997988</v>
      </c>
      <c r="AB107" s="2">
        <f t="shared" si="6"/>
        <v>0.0305052738173253</v>
      </c>
      <c r="AC107" t="s">
        <v>439</v>
      </c>
      <c r="AD107">
        <v>13.59</v>
      </c>
      <c r="AE107">
        <v>3472.319</v>
      </c>
      <c r="AF107" s="2">
        <f t="shared" si="7"/>
        <v>0.336283185840708</v>
      </c>
      <c r="AG107" s="2">
        <f t="shared" si="8"/>
        <v>0.0246670654395793</v>
      </c>
      <c r="AH107" t="s">
        <v>494</v>
      </c>
      <c r="AI107" t="s">
        <v>41</v>
      </c>
      <c r="AJ107" t="s">
        <v>41</v>
      </c>
    </row>
    <row r="108" spans="1:36">
      <c r="A108">
        <v>118056</v>
      </c>
      <c r="B108" t="s">
        <v>500</v>
      </c>
      <c r="C108">
        <v>688401</v>
      </c>
      <c r="D108" t="s">
        <v>501</v>
      </c>
      <c r="E108" t="s">
        <v>502</v>
      </c>
      <c r="F108" t="s">
        <v>56</v>
      </c>
      <c r="G108" t="s">
        <v>503</v>
      </c>
      <c r="H108" t="s">
        <v>33</v>
      </c>
      <c r="I108" t="s">
        <v>255</v>
      </c>
      <c r="J108" t="s">
        <v>255</v>
      </c>
      <c r="K108" t="s">
        <v>504</v>
      </c>
      <c r="L108">
        <v>27.36</v>
      </c>
      <c r="M108">
        <v>3268.11</v>
      </c>
      <c r="N108" t="s">
        <v>505</v>
      </c>
      <c r="O108">
        <v>30.55</v>
      </c>
      <c r="P108">
        <v>3364.831</v>
      </c>
      <c r="Q108" s="1">
        <f t="shared" si="1"/>
        <v>0.116593567251462</v>
      </c>
      <c r="R108" s="1">
        <f t="shared" si="2"/>
        <v>0.0295953930559253</v>
      </c>
      <c r="S108" t="s">
        <v>479</v>
      </c>
      <c r="T108">
        <v>34.38</v>
      </c>
      <c r="U108">
        <v>3316.114</v>
      </c>
      <c r="V108" s="1">
        <f t="shared" si="3"/>
        <v>0.125368248772504</v>
      </c>
      <c r="W108" s="1">
        <f t="shared" si="4"/>
        <v>-0.0144782902915481</v>
      </c>
      <c r="X108" t="s">
        <v>503</v>
      </c>
      <c r="Y108">
        <v>31.3</v>
      </c>
      <c r="Z108">
        <v>3402.316</v>
      </c>
      <c r="AA108" s="2">
        <f t="shared" si="5"/>
        <v>-0.089586969168121</v>
      </c>
      <c r="AB108" s="2">
        <f t="shared" si="6"/>
        <v>0.0259948843736976</v>
      </c>
      <c r="AC108" t="s">
        <v>60</v>
      </c>
      <c r="AD108">
        <v>33.8</v>
      </c>
      <c r="AE108">
        <v>3509.682</v>
      </c>
      <c r="AF108" s="2">
        <f t="shared" si="7"/>
        <v>0.0798722044728433</v>
      </c>
      <c r="AG108" s="2">
        <f t="shared" si="8"/>
        <v>0.0315567395856234</v>
      </c>
      <c r="AH108" t="s">
        <v>506</v>
      </c>
      <c r="AI108" t="s">
        <v>41</v>
      </c>
      <c r="AJ108" t="s">
        <v>41</v>
      </c>
    </row>
    <row r="109" spans="1:36">
      <c r="A109">
        <v>123256</v>
      </c>
      <c r="B109" t="s">
        <v>507</v>
      </c>
      <c r="C109">
        <v>300969</v>
      </c>
      <c r="D109" t="s">
        <v>508</v>
      </c>
      <c r="E109" t="s">
        <v>509</v>
      </c>
      <c r="F109" t="s">
        <v>31</v>
      </c>
      <c r="G109" t="s">
        <v>78</v>
      </c>
      <c r="H109" t="s">
        <v>33</v>
      </c>
      <c r="I109" t="s">
        <v>255</v>
      </c>
      <c r="J109" t="s">
        <v>255</v>
      </c>
      <c r="K109" t="s">
        <v>510</v>
      </c>
      <c r="L109">
        <v>60.3</v>
      </c>
      <c r="M109">
        <v>3221.367</v>
      </c>
      <c r="N109" t="s">
        <v>205</v>
      </c>
      <c r="O109">
        <v>60.21</v>
      </c>
      <c r="P109">
        <v>3326.456</v>
      </c>
      <c r="Q109" s="1">
        <f t="shared" si="1"/>
        <v>-0.00149253731343277</v>
      </c>
      <c r="R109" s="1">
        <f t="shared" si="2"/>
        <v>0.0326224860439683</v>
      </c>
      <c r="S109" t="s">
        <v>110</v>
      </c>
      <c r="T109">
        <v>74.99</v>
      </c>
      <c r="U109">
        <v>3318.057</v>
      </c>
      <c r="V109" s="1">
        <f t="shared" si="3"/>
        <v>0.245474173725295</v>
      </c>
      <c r="W109" s="1">
        <f t="shared" si="4"/>
        <v>-0.00252490939305986</v>
      </c>
      <c r="X109" t="s">
        <v>78</v>
      </c>
      <c r="Y109">
        <v>59.79</v>
      </c>
      <c r="Z109">
        <v>3363.446</v>
      </c>
      <c r="AA109" s="2">
        <f t="shared" si="5"/>
        <v>-0.202693692492332</v>
      </c>
      <c r="AB109" s="2">
        <f t="shared" si="6"/>
        <v>0.0136793912823077</v>
      </c>
      <c r="AC109" t="s">
        <v>511</v>
      </c>
      <c r="AD109">
        <v>58.94</v>
      </c>
      <c r="AE109">
        <v>3387.405</v>
      </c>
      <c r="AF109" s="2">
        <f t="shared" si="7"/>
        <v>-0.0142164241511959</v>
      </c>
      <c r="AG109" s="2">
        <f t="shared" si="8"/>
        <v>0.00712334908899988</v>
      </c>
      <c r="AH109" t="s">
        <v>512</v>
      </c>
      <c r="AI109" t="s">
        <v>41</v>
      </c>
      <c r="AJ109" t="s">
        <v>41</v>
      </c>
    </row>
    <row r="110" spans="1:36">
      <c r="A110">
        <v>118055</v>
      </c>
      <c r="B110" t="s">
        <v>513</v>
      </c>
      <c r="C110">
        <v>688372</v>
      </c>
      <c r="D110" t="s">
        <v>514</v>
      </c>
      <c r="E110" t="s">
        <v>515</v>
      </c>
      <c r="F110" t="s">
        <v>397</v>
      </c>
      <c r="G110" t="s">
        <v>230</v>
      </c>
      <c r="H110" t="s">
        <v>33</v>
      </c>
      <c r="I110" t="s">
        <v>255</v>
      </c>
      <c r="J110" t="s">
        <v>255</v>
      </c>
      <c r="K110" t="s">
        <v>516</v>
      </c>
      <c r="L110">
        <v>29.45</v>
      </c>
      <c r="M110">
        <v>2867.284</v>
      </c>
      <c r="N110" t="s">
        <v>517</v>
      </c>
      <c r="O110">
        <v>46.26</v>
      </c>
      <c r="P110">
        <v>3402.534</v>
      </c>
      <c r="Q110" s="1">
        <f t="shared" si="1"/>
        <v>0.570797962648557</v>
      </c>
      <c r="R110" s="1">
        <f t="shared" si="2"/>
        <v>0.186674916052962</v>
      </c>
      <c r="S110" t="s">
        <v>518</v>
      </c>
      <c r="T110">
        <v>53.28</v>
      </c>
      <c r="U110">
        <v>3230.164</v>
      </c>
      <c r="V110" s="1">
        <f t="shared" si="3"/>
        <v>0.151750972762646</v>
      </c>
      <c r="W110" s="1">
        <f t="shared" si="4"/>
        <v>-0.0506593027431908</v>
      </c>
      <c r="X110" t="s">
        <v>230</v>
      </c>
      <c r="Y110">
        <v>56.22</v>
      </c>
      <c r="Z110">
        <v>3186.81</v>
      </c>
      <c r="AA110" s="2">
        <f t="shared" si="5"/>
        <v>0.0551801801801801</v>
      </c>
      <c r="AB110" s="2">
        <f t="shared" si="6"/>
        <v>-0.0134216095529516</v>
      </c>
      <c r="AC110" t="s">
        <v>48</v>
      </c>
      <c r="AD110">
        <v>60.46</v>
      </c>
      <c r="AE110">
        <v>3279.031</v>
      </c>
      <c r="AF110" s="2">
        <f t="shared" si="7"/>
        <v>0.0754180007114906</v>
      </c>
      <c r="AG110" s="2">
        <f t="shared" si="8"/>
        <v>0.0289383427314462</v>
      </c>
      <c r="AH110" t="s">
        <v>519</v>
      </c>
      <c r="AI110" t="s">
        <v>41</v>
      </c>
      <c r="AJ110" t="s">
        <v>41</v>
      </c>
    </row>
    <row r="111" spans="1:36">
      <c r="A111">
        <v>113694</v>
      </c>
      <c r="B111" t="s">
        <v>520</v>
      </c>
      <c r="C111">
        <v>603628</v>
      </c>
      <c r="D111" t="s">
        <v>521</v>
      </c>
      <c r="E111" t="s">
        <v>522</v>
      </c>
      <c r="F111" t="s">
        <v>31</v>
      </c>
      <c r="G111" t="s">
        <v>398</v>
      </c>
      <c r="H111" t="s">
        <v>33</v>
      </c>
      <c r="I111" t="s">
        <v>255</v>
      </c>
      <c r="J111" t="s">
        <v>255</v>
      </c>
      <c r="K111" t="s">
        <v>523</v>
      </c>
      <c r="L111">
        <v>11.68</v>
      </c>
      <c r="M111">
        <v>3021.687</v>
      </c>
      <c r="N111" t="s">
        <v>524</v>
      </c>
      <c r="O111">
        <v>14.42</v>
      </c>
      <c r="P111">
        <v>3370.404</v>
      </c>
      <c r="Q111" s="1">
        <f t="shared" si="1"/>
        <v>0.23458904109589</v>
      </c>
      <c r="R111" s="1">
        <f t="shared" si="2"/>
        <v>0.115404739140752</v>
      </c>
      <c r="S111" t="s">
        <v>525</v>
      </c>
      <c r="T111">
        <v>12.24</v>
      </c>
      <c r="U111">
        <v>3252.626</v>
      </c>
      <c r="V111" s="1">
        <f t="shared" si="3"/>
        <v>-0.151178918169209</v>
      </c>
      <c r="W111" s="1">
        <f t="shared" si="4"/>
        <v>-0.0349447721994158</v>
      </c>
      <c r="X111" t="s">
        <v>398</v>
      </c>
      <c r="Y111">
        <v>10.88</v>
      </c>
      <c r="Z111">
        <v>3145.549</v>
      </c>
      <c r="AA111" s="2">
        <f t="shared" si="5"/>
        <v>-0.111111111111111</v>
      </c>
      <c r="AB111" s="2">
        <f t="shared" si="6"/>
        <v>-0.0329201697336245</v>
      </c>
      <c r="AC111" t="s">
        <v>36</v>
      </c>
      <c r="AD111">
        <v>11.21</v>
      </c>
      <c r="AE111">
        <v>3295.06</v>
      </c>
      <c r="AF111" s="2">
        <f t="shared" si="7"/>
        <v>0.0303308823529412</v>
      </c>
      <c r="AG111" s="2">
        <f t="shared" si="8"/>
        <v>0.0475309715410569</v>
      </c>
      <c r="AH111" t="s">
        <v>526</v>
      </c>
      <c r="AI111" t="s">
        <v>41</v>
      </c>
      <c r="AJ111" t="s">
        <v>41</v>
      </c>
    </row>
    <row r="112" spans="1:36">
      <c r="A112">
        <v>118054</v>
      </c>
      <c r="B112" t="s">
        <v>527</v>
      </c>
      <c r="C112">
        <v>688019</v>
      </c>
      <c r="D112" t="s">
        <v>528</v>
      </c>
      <c r="E112" t="s">
        <v>529</v>
      </c>
      <c r="F112" t="s">
        <v>56</v>
      </c>
      <c r="G112" t="s">
        <v>470</v>
      </c>
      <c r="H112" t="s">
        <v>33</v>
      </c>
      <c r="I112" t="s">
        <v>255</v>
      </c>
      <c r="J112" t="s">
        <v>255</v>
      </c>
      <c r="K112" t="s">
        <v>530</v>
      </c>
      <c r="L112">
        <v>80.57</v>
      </c>
      <c r="M112">
        <v>3092.978</v>
      </c>
      <c r="N112" t="s">
        <v>531</v>
      </c>
      <c r="O112">
        <v>81.42</v>
      </c>
      <c r="P112">
        <v>2717.123</v>
      </c>
      <c r="Q112" s="1">
        <f t="shared" si="1"/>
        <v>0.0105498324438378</v>
      </c>
      <c r="R112" s="1">
        <f t="shared" si="2"/>
        <v>-0.121518808087222</v>
      </c>
      <c r="S112" t="s">
        <v>532</v>
      </c>
      <c r="T112">
        <v>120.37</v>
      </c>
      <c r="U112">
        <v>3310.207</v>
      </c>
      <c r="V112" s="1">
        <f t="shared" si="3"/>
        <v>0.478383689511177</v>
      </c>
      <c r="W112" s="1">
        <f t="shared" si="4"/>
        <v>0.218276463744924</v>
      </c>
      <c r="X112" t="s">
        <v>470</v>
      </c>
      <c r="Y112">
        <v>116.6</v>
      </c>
      <c r="Z112">
        <v>3096.576</v>
      </c>
      <c r="AA112" s="2">
        <f t="shared" si="5"/>
        <v>-0.0313200963695274</v>
      </c>
      <c r="AB112" s="2">
        <f t="shared" si="6"/>
        <v>-0.0645370516103675</v>
      </c>
      <c r="AC112" t="s">
        <v>36</v>
      </c>
      <c r="AD112">
        <v>127.77</v>
      </c>
      <c r="AE112">
        <v>3295.06</v>
      </c>
      <c r="AF112" s="2">
        <f t="shared" si="7"/>
        <v>0.0957975986277873</v>
      </c>
      <c r="AG112" s="2">
        <f t="shared" si="8"/>
        <v>0.0640978939318783</v>
      </c>
      <c r="AH112" t="s">
        <v>533</v>
      </c>
      <c r="AI112" t="s">
        <v>41</v>
      </c>
      <c r="AJ112" t="s">
        <v>41</v>
      </c>
    </row>
    <row r="113" spans="1:36">
      <c r="A113">
        <v>123255</v>
      </c>
      <c r="B113" t="s">
        <v>534</v>
      </c>
      <c r="C113">
        <v>300054</v>
      </c>
      <c r="D113" t="s">
        <v>535</v>
      </c>
      <c r="E113" t="s">
        <v>536</v>
      </c>
      <c r="F113" t="s">
        <v>397</v>
      </c>
      <c r="G113" t="s">
        <v>537</v>
      </c>
      <c r="H113" t="s">
        <v>33</v>
      </c>
      <c r="I113" t="s">
        <v>255</v>
      </c>
      <c r="J113" t="s">
        <v>255</v>
      </c>
      <c r="K113" t="s">
        <v>538</v>
      </c>
      <c r="L113">
        <v>19.75</v>
      </c>
      <c r="M113">
        <v>2879.43</v>
      </c>
      <c r="N113" t="s">
        <v>518</v>
      </c>
      <c r="O113">
        <v>26.62</v>
      </c>
      <c r="P113">
        <v>3230.164</v>
      </c>
      <c r="Q113" s="1">
        <f t="shared" si="1"/>
        <v>0.347848101265823</v>
      </c>
      <c r="R113" s="1">
        <f t="shared" si="2"/>
        <v>0.121806746474129</v>
      </c>
      <c r="S113" t="s">
        <v>478</v>
      </c>
      <c r="T113">
        <v>28.41</v>
      </c>
      <c r="U113">
        <v>3429.759</v>
      </c>
      <c r="V113" s="1">
        <f t="shared" si="3"/>
        <v>0.0672426746806912</v>
      </c>
      <c r="W113" s="1">
        <f t="shared" si="4"/>
        <v>0.061790980272209</v>
      </c>
      <c r="X113" t="s">
        <v>537</v>
      </c>
      <c r="Y113">
        <v>28.36</v>
      </c>
      <c r="Z113">
        <v>3350.127</v>
      </c>
      <c r="AA113" s="2">
        <f t="shared" si="5"/>
        <v>-0.00175994368180221</v>
      </c>
      <c r="AB113" s="2">
        <f t="shared" si="6"/>
        <v>-0.0232179578798394</v>
      </c>
      <c r="AC113" t="s">
        <v>539</v>
      </c>
      <c r="AD113">
        <v>30.17</v>
      </c>
      <c r="AE113">
        <v>3296.355</v>
      </c>
      <c r="AF113" s="2">
        <f t="shared" si="7"/>
        <v>0.0638222849083217</v>
      </c>
      <c r="AG113" s="2">
        <f t="shared" si="8"/>
        <v>-0.0160507347930392</v>
      </c>
      <c r="AH113" t="s">
        <v>540</v>
      </c>
      <c r="AI113" t="s">
        <v>41</v>
      </c>
      <c r="AJ113" t="s">
        <v>41</v>
      </c>
    </row>
    <row r="114" spans="1:36">
      <c r="A114">
        <v>127108</v>
      </c>
      <c r="B114" t="s">
        <v>541</v>
      </c>
      <c r="C114">
        <v>591</v>
      </c>
      <c r="D114" t="s">
        <v>542</v>
      </c>
      <c r="E114" t="s">
        <v>543</v>
      </c>
      <c r="F114" t="s">
        <v>98</v>
      </c>
      <c r="G114" t="s">
        <v>544</v>
      </c>
      <c r="H114" t="s">
        <v>33</v>
      </c>
      <c r="I114" t="s">
        <v>255</v>
      </c>
      <c r="J114" t="s">
        <v>255</v>
      </c>
      <c r="K114" t="s">
        <v>545</v>
      </c>
      <c r="L114">
        <v>6.11</v>
      </c>
      <c r="M114">
        <v>3189.248</v>
      </c>
      <c r="N114" t="s">
        <v>337</v>
      </c>
      <c r="O114">
        <v>5.03</v>
      </c>
      <c r="P114">
        <v>3404.076</v>
      </c>
      <c r="Q114" s="1">
        <f t="shared" si="1"/>
        <v>-0.176759410801964</v>
      </c>
      <c r="R114" s="1">
        <f t="shared" si="2"/>
        <v>0.0673600798683577</v>
      </c>
      <c r="S114" t="s">
        <v>546</v>
      </c>
      <c r="T114">
        <v>4.39</v>
      </c>
      <c r="U114">
        <v>3236.032</v>
      </c>
      <c r="V114" s="1">
        <f t="shared" si="3"/>
        <v>-0.127236580516899</v>
      </c>
      <c r="W114" s="1">
        <f t="shared" si="4"/>
        <v>-0.0493655253290467</v>
      </c>
      <c r="X114" t="s">
        <v>544</v>
      </c>
      <c r="Y114">
        <v>4.4</v>
      </c>
      <c r="Z114">
        <v>3351.307</v>
      </c>
      <c r="AA114" s="2">
        <f t="shared" si="5"/>
        <v>0.00227790432801838</v>
      </c>
      <c r="AB114" s="2">
        <f t="shared" si="6"/>
        <v>0.035622330063485</v>
      </c>
      <c r="AC114" t="s">
        <v>547</v>
      </c>
      <c r="AD114">
        <v>4.28</v>
      </c>
      <c r="AE114">
        <v>3276.004</v>
      </c>
      <c r="AF114" s="2">
        <f t="shared" si="7"/>
        <v>-0.0272727272727273</v>
      </c>
      <c r="AG114" s="2">
        <f t="shared" si="8"/>
        <v>-0.0224697409100389</v>
      </c>
      <c r="AH114" t="s">
        <v>548</v>
      </c>
      <c r="AI114" t="s">
        <v>41</v>
      </c>
      <c r="AJ114" t="s">
        <v>41</v>
      </c>
    </row>
    <row r="115" spans="1:36">
      <c r="A115">
        <v>123254</v>
      </c>
      <c r="B115" t="s">
        <v>549</v>
      </c>
      <c r="C115">
        <v>300014</v>
      </c>
      <c r="D115" t="s">
        <v>550</v>
      </c>
      <c r="E115" t="s">
        <v>237</v>
      </c>
      <c r="F115" t="s">
        <v>98</v>
      </c>
      <c r="G115" t="s">
        <v>551</v>
      </c>
      <c r="H115" t="s">
        <v>33</v>
      </c>
      <c r="I115" t="s">
        <v>255</v>
      </c>
      <c r="J115" t="s">
        <v>255</v>
      </c>
      <c r="K115" t="s">
        <v>552</v>
      </c>
      <c r="L115">
        <v>66.4</v>
      </c>
      <c r="M115">
        <v>3201.261</v>
      </c>
      <c r="N115" t="s">
        <v>553</v>
      </c>
      <c r="O115">
        <v>50.73</v>
      </c>
      <c r="P115">
        <v>3452.297</v>
      </c>
      <c r="Q115" s="1">
        <f t="shared" si="1"/>
        <v>-0.235993975903615</v>
      </c>
      <c r="R115" s="1">
        <f t="shared" si="2"/>
        <v>0.0784178484665887</v>
      </c>
      <c r="S115" t="s">
        <v>554</v>
      </c>
      <c r="T115">
        <v>46</v>
      </c>
      <c r="U115">
        <v>3351.763</v>
      </c>
      <c r="V115" s="1">
        <f t="shared" si="3"/>
        <v>-0.0932387147644391</v>
      </c>
      <c r="W115" s="1">
        <f t="shared" si="4"/>
        <v>-0.029120901243433</v>
      </c>
      <c r="X115" t="s">
        <v>551</v>
      </c>
      <c r="Y115">
        <v>47.93</v>
      </c>
      <c r="Z115">
        <v>3370.028</v>
      </c>
      <c r="AA115" s="2">
        <f t="shared" si="5"/>
        <v>0.0419565217391304</v>
      </c>
      <c r="AB115" s="2">
        <f t="shared" si="6"/>
        <v>0.00544937097282829</v>
      </c>
      <c r="AC115" t="s">
        <v>555</v>
      </c>
      <c r="AD115">
        <v>40.62</v>
      </c>
      <c r="AE115">
        <v>3238.227</v>
      </c>
      <c r="AF115" s="2">
        <f t="shared" si="7"/>
        <v>-0.152514083037763</v>
      </c>
      <c r="AG115" s="2">
        <f t="shared" si="8"/>
        <v>-0.0391097640731768</v>
      </c>
      <c r="AH115" t="s">
        <v>556</v>
      </c>
      <c r="AI115" t="s">
        <v>41</v>
      </c>
      <c r="AJ115" t="s">
        <v>41</v>
      </c>
    </row>
    <row r="116" spans="1:36">
      <c r="A116">
        <v>118053</v>
      </c>
      <c r="B116" t="s">
        <v>557</v>
      </c>
      <c r="C116">
        <v>688596</v>
      </c>
      <c r="D116" t="s">
        <v>558</v>
      </c>
      <c r="E116" t="s">
        <v>559</v>
      </c>
      <c r="F116" t="s">
        <v>397</v>
      </c>
      <c r="G116" t="s">
        <v>478</v>
      </c>
      <c r="H116" t="s">
        <v>33</v>
      </c>
      <c r="I116" t="s">
        <v>255</v>
      </c>
      <c r="J116" t="s">
        <v>255</v>
      </c>
      <c r="K116" t="s">
        <v>560</v>
      </c>
      <c r="L116">
        <v>37.52</v>
      </c>
      <c r="M116">
        <v>3041.167</v>
      </c>
      <c r="N116" t="s">
        <v>561</v>
      </c>
      <c r="O116">
        <v>33.55</v>
      </c>
      <c r="P116">
        <v>3168.524</v>
      </c>
      <c r="Q116" s="1">
        <f t="shared" si="1"/>
        <v>-0.105810234541578</v>
      </c>
      <c r="R116" s="1">
        <f t="shared" si="2"/>
        <v>0.0418776739324082</v>
      </c>
      <c r="S116" t="s">
        <v>462</v>
      </c>
      <c r="T116">
        <v>37.29</v>
      </c>
      <c r="U116">
        <v>3373.028</v>
      </c>
      <c r="V116" s="1">
        <f t="shared" si="3"/>
        <v>0.111475409836066</v>
      </c>
      <c r="W116" s="1">
        <f t="shared" si="4"/>
        <v>0.0645423547367796</v>
      </c>
      <c r="X116" t="s">
        <v>478</v>
      </c>
      <c r="Y116">
        <v>38.13</v>
      </c>
      <c r="Z116">
        <v>3429.759</v>
      </c>
      <c r="AA116" s="2">
        <f t="shared" si="5"/>
        <v>0.0225261464199518</v>
      </c>
      <c r="AB116" s="2">
        <f t="shared" si="6"/>
        <v>0.0168190124718799</v>
      </c>
      <c r="AC116" t="s">
        <v>562</v>
      </c>
      <c r="AD116">
        <v>38.63</v>
      </c>
      <c r="AE116">
        <v>3342.008</v>
      </c>
      <c r="AF116" s="2">
        <f t="shared" si="7"/>
        <v>0.01311303435615</v>
      </c>
      <c r="AG116" s="2">
        <f t="shared" si="8"/>
        <v>-0.0255851796000827</v>
      </c>
      <c r="AH116" t="s">
        <v>563</v>
      </c>
      <c r="AI116" t="s">
        <v>41</v>
      </c>
      <c r="AJ116" t="s">
        <v>41</v>
      </c>
    </row>
    <row r="117" spans="1:36">
      <c r="A117">
        <v>113693</v>
      </c>
      <c r="B117" t="s">
        <v>564</v>
      </c>
      <c r="C117">
        <v>603801</v>
      </c>
      <c r="D117" t="s">
        <v>565</v>
      </c>
      <c r="E117" t="s">
        <v>566</v>
      </c>
      <c r="F117" t="s">
        <v>397</v>
      </c>
      <c r="G117" t="s">
        <v>478</v>
      </c>
      <c r="H117" t="s">
        <v>33</v>
      </c>
      <c r="I117" t="s">
        <v>255</v>
      </c>
      <c r="J117" t="s">
        <v>255</v>
      </c>
      <c r="K117" t="s">
        <v>567</v>
      </c>
      <c r="L117">
        <v>21.69</v>
      </c>
      <c r="M117">
        <v>3064.075</v>
      </c>
      <c r="N117" t="s">
        <v>568</v>
      </c>
      <c r="O117">
        <v>12.47</v>
      </c>
      <c r="P117">
        <v>3393.35</v>
      </c>
      <c r="Q117" s="1">
        <f t="shared" si="1"/>
        <v>-0.425080682342093</v>
      </c>
      <c r="R117" s="1">
        <f t="shared" si="2"/>
        <v>0.107463100609483</v>
      </c>
      <c r="S117" t="s">
        <v>569</v>
      </c>
      <c r="T117">
        <v>11.1</v>
      </c>
      <c r="U117">
        <v>3322.17</v>
      </c>
      <c r="V117" s="1">
        <f t="shared" si="3"/>
        <v>-0.109863672814755</v>
      </c>
      <c r="W117" s="1">
        <f t="shared" si="4"/>
        <v>-0.0209763213343745</v>
      </c>
      <c r="X117" t="s">
        <v>478</v>
      </c>
      <c r="Y117">
        <v>12.41</v>
      </c>
      <c r="Z117">
        <v>3429.759</v>
      </c>
      <c r="AA117" s="2">
        <f t="shared" si="5"/>
        <v>0.118018018018018</v>
      </c>
      <c r="AB117" s="2">
        <f t="shared" si="6"/>
        <v>0.0323851578937863</v>
      </c>
      <c r="AC117" t="s">
        <v>398</v>
      </c>
      <c r="AD117">
        <v>10.39</v>
      </c>
      <c r="AE117">
        <v>3145.549</v>
      </c>
      <c r="AF117" s="2">
        <f t="shared" si="7"/>
        <v>-0.162771958098308</v>
      </c>
      <c r="AG117" s="2">
        <f t="shared" si="8"/>
        <v>-0.0828658806639184</v>
      </c>
      <c r="AH117" t="s">
        <v>563</v>
      </c>
      <c r="AI117" t="s">
        <v>41</v>
      </c>
      <c r="AJ117" t="s">
        <v>41</v>
      </c>
    </row>
    <row r="118" spans="1:36">
      <c r="A118">
        <v>123253</v>
      </c>
      <c r="B118" t="s">
        <v>570</v>
      </c>
      <c r="C118">
        <v>300351</v>
      </c>
      <c r="D118" t="s">
        <v>571</v>
      </c>
      <c r="E118" t="s">
        <v>181</v>
      </c>
      <c r="F118" t="s">
        <v>56</v>
      </c>
      <c r="G118" t="s">
        <v>572</v>
      </c>
      <c r="H118" t="s">
        <v>33</v>
      </c>
      <c r="I118" t="s">
        <v>255</v>
      </c>
      <c r="J118" t="s">
        <v>255</v>
      </c>
      <c r="K118" t="s">
        <v>573</v>
      </c>
      <c r="L118">
        <v>13.67</v>
      </c>
      <c r="M118">
        <v>2855.52</v>
      </c>
      <c r="N118" t="s">
        <v>574</v>
      </c>
      <c r="O118">
        <v>19.26</v>
      </c>
      <c r="P118">
        <v>3368.855</v>
      </c>
      <c r="Q118" s="1">
        <f t="shared" si="1"/>
        <v>0.408924652523775</v>
      </c>
      <c r="R118" s="1">
        <f t="shared" si="2"/>
        <v>0.17976935899591</v>
      </c>
      <c r="S118" t="s">
        <v>110</v>
      </c>
      <c r="T118">
        <v>17.82</v>
      </c>
      <c r="U118">
        <v>3318.057</v>
      </c>
      <c r="V118" s="1">
        <f t="shared" si="3"/>
        <v>-0.074766355140187</v>
      </c>
      <c r="W118" s="1">
        <f t="shared" si="4"/>
        <v>-0.0150787136875883</v>
      </c>
      <c r="X118" t="s">
        <v>572</v>
      </c>
      <c r="Y118">
        <v>18.23</v>
      </c>
      <c r="Z118">
        <v>3358.729</v>
      </c>
      <c r="AA118" s="2">
        <f t="shared" si="5"/>
        <v>0.0230078563411897</v>
      </c>
      <c r="AB118" s="2">
        <f t="shared" si="6"/>
        <v>0.0122577761623746</v>
      </c>
      <c r="AC118" t="s">
        <v>544</v>
      </c>
      <c r="AD118">
        <v>17.63</v>
      </c>
      <c r="AE118">
        <v>3351.307</v>
      </c>
      <c r="AF118" s="2">
        <f t="shared" si="7"/>
        <v>-0.0329127811300056</v>
      </c>
      <c r="AG118" s="2">
        <f t="shared" si="8"/>
        <v>-0.00220976446745183</v>
      </c>
      <c r="AH118" t="s">
        <v>575</v>
      </c>
      <c r="AI118" t="s">
        <v>41</v>
      </c>
      <c r="AJ118" t="s">
        <v>41</v>
      </c>
    </row>
    <row r="119" spans="1:36">
      <c r="A119">
        <v>118052</v>
      </c>
      <c r="B119" t="s">
        <v>576</v>
      </c>
      <c r="C119">
        <v>688292</v>
      </c>
      <c r="D119" t="s">
        <v>577</v>
      </c>
      <c r="E119" t="s">
        <v>578</v>
      </c>
      <c r="F119" t="s">
        <v>31</v>
      </c>
      <c r="G119" t="s">
        <v>572</v>
      </c>
      <c r="H119" t="s">
        <v>33</v>
      </c>
      <c r="I119" t="s">
        <v>255</v>
      </c>
      <c r="J119" t="s">
        <v>255</v>
      </c>
      <c r="K119" t="s">
        <v>579</v>
      </c>
      <c r="L119">
        <v>26.59</v>
      </c>
      <c r="M119">
        <v>2914.775</v>
      </c>
      <c r="N119" t="s">
        <v>580</v>
      </c>
      <c r="O119">
        <v>24.63</v>
      </c>
      <c r="P119">
        <v>3421.97</v>
      </c>
      <c r="Q119" s="1">
        <f t="shared" si="1"/>
        <v>-0.0737119217751035</v>
      </c>
      <c r="R119" s="1">
        <f t="shared" si="2"/>
        <v>0.174008285373657</v>
      </c>
      <c r="S119" t="s">
        <v>581</v>
      </c>
      <c r="T119">
        <v>17.74</v>
      </c>
      <c r="U119">
        <v>3160.755</v>
      </c>
      <c r="V119" s="1">
        <f t="shared" si="3"/>
        <v>-0.279740154283394</v>
      </c>
      <c r="W119" s="1">
        <f t="shared" si="4"/>
        <v>-0.0763346844069351</v>
      </c>
      <c r="X119" t="s">
        <v>572</v>
      </c>
      <c r="Y119">
        <v>23.68</v>
      </c>
      <c r="Z119">
        <v>3358.729</v>
      </c>
      <c r="AA119" s="2">
        <f t="shared" si="5"/>
        <v>0.334836527621195</v>
      </c>
      <c r="AB119" s="2">
        <f t="shared" si="6"/>
        <v>0.0626350349837301</v>
      </c>
      <c r="AC119" t="s">
        <v>470</v>
      </c>
      <c r="AD119">
        <v>17.77</v>
      </c>
      <c r="AE119">
        <v>3096.576</v>
      </c>
      <c r="AF119" s="2">
        <f t="shared" si="7"/>
        <v>-0.249577702702703</v>
      </c>
      <c r="AG119" s="2">
        <f t="shared" si="8"/>
        <v>-0.0780512509345052</v>
      </c>
      <c r="AH119" t="s">
        <v>575</v>
      </c>
      <c r="AI119" t="s">
        <v>41</v>
      </c>
      <c r="AJ119" t="s">
        <v>41</v>
      </c>
    </row>
    <row r="120" spans="1:36">
      <c r="A120">
        <v>113070</v>
      </c>
      <c r="B120" t="s">
        <v>582</v>
      </c>
      <c r="C120">
        <v>601158</v>
      </c>
      <c r="D120" t="s">
        <v>583</v>
      </c>
      <c r="E120" t="s">
        <v>584</v>
      </c>
      <c r="F120" t="s">
        <v>444</v>
      </c>
      <c r="G120" t="s">
        <v>585</v>
      </c>
      <c r="H120" t="s">
        <v>33</v>
      </c>
      <c r="I120" t="s">
        <v>255</v>
      </c>
      <c r="J120" t="s">
        <v>255</v>
      </c>
      <c r="K120" t="s">
        <v>586</v>
      </c>
      <c r="L120">
        <v>5.19</v>
      </c>
      <c r="M120">
        <v>3198.836</v>
      </c>
      <c r="N120" t="s">
        <v>587</v>
      </c>
      <c r="O120">
        <v>4.68</v>
      </c>
      <c r="P120">
        <v>2998.138</v>
      </c>
      <c r="Q120" s="1">
        <f t="shared" si="1"/>
        <v>-0.0982658959537573</v>
      </c>
      <c r="R120" s="1">
        <f t="shared" si="2"/>
        <v>-0.0627409470194783</v>
      </c>
      <c r="S120" t="s">
        <v>588</v>
      </c>
      <c r="T120">
        <v>4.1</v>
      </c>
      <c r="U120">
        <v>2704.09</v>
      </c>
      <c r="V120" s="1">
        <f t="shared" si="3"/>
        <v>-0.123931623931624</v>
      </c>
      <c r="W120" s="1">
        <f t="shared" si="4"/>
        <v>-0.0980768730458704</v>
      </c>
      <c r="X120" t="s">
        <v>585</v>
      </c>
      <c r="Y120">
        <v>4.49</v>
      </c>
      <c r="Z120">
        <v>3211.393</v>
      </c>
      <c r="AA120" s="2">
        <f t="shared" si="5"/>
        <v>0.0951219512195123</v>
      </c>
      <c r="AB120" s="2">
        <f t="shared" si="6"/>
        <v>0.187605811936733</v>
      </c>
      <c r="AC120" t="s">
        <v>446</v>
      </c>
      <c r="AD120">
        <v>4.54</v>
      </c>
      <c r="AE120">
        <v>3332.483</v>
      </c>
      <c r="AF120" s="2">
        <f t="shared" si="7"/>
        <v>0.0111358574610245</v>
      </c>
      <c r="AG120" s="2">
        <f t="shared" si="8"/>
        <v>0.0377063785092638</v>
      </c>
      <c r="AH120" t="s">
        <v>589</v>
      </c>
      <c r="AI120" t="s">
        <v>41</v>
      </c>
      <c r="AJ120" t="s">
        <v>41</v>
      </c>
    </row>
    <row r="121" spans="1:36">
      <c r="A121">
        <v>123252</v>
      </c>
      <c r="B121" t="s">
        <v>590</v>
      </c>
      <c r="C121">
        <v>300337</v>
      </c>
      <c r="D121" t="s">
        <v>591</v>
      </c>
      <c r="E121" t="s">
        <v>592</v>
      </c>
      <c r="F121" t="s">
        <v>56</v>
      </c>
      <c r="G121" t="s">
        <v>593</v>
      </c>
      <c r="H121" t="s">
        <v>33</v>
      </c>
      <c r="I121" t="s">
        <v>255</v>
      </c>
      <c r="J121" t="s">
        <v>255</v>
      </c>
      <c r="K121" t="s">
        <v>579</v>
      </c>
      <c r="L121">
        <v>7.71</v>
      </c>
      <c r="M121">
        <v>2914.775</v>
      </c>
      <c r="N121" t="s">
        <v>594</v>
      </c>
      <c r="O121">
        <v>16.65</v>
      </c>
      <c r="P121">
        <v>3299.7</v>
      </c>
      <c r="Q121" s="1">
        <f t="shared" si="1"/>
        <v>1.15953307392996</v>
      </c>
      <c r="R121" s="1">
        <f t="shared" si="2"/>
        <v>0.132059936015644</v>
      </c>
      <c r="S121" t="s">
        <v>595</v>
      </c>
      <c r="T121">
        <v>13.29</v>
      </c>
      <c r="U121">
        <v>3363.982</v>
      </c>
      <c r="V121" s="1">
        <f t="shared" si="3"/>
        <v>-0.201801801801802</v>
      </c>
      <c r="W121" s="1">
        <f t="shared" si="4"/>
        <v>0.0194811649543898</v>
      </c>
      <c r="X121" t="s">
        <v>593</v>
      </c>
      <c r="Y121">
        <v>10.64</v>
      </c>
      <c r="Z121">
        <v>3229.644</v>
      </c>
      <c r="AA121" s="2">
        <f t="shared" si="5"/>
        <v>-0.199398043641836</v>
      </c>
      <c r="AB121" s="2">
        <f t="shared" si="6"/>
        <v>-0.03993422081331</v>
      </c>
      <c r="AC121" t="s">
        <v>525</v>
      </c>
      <c r="AD121">
        <v>11.48</v>
      </c>
      <c r="AE121">
        <v>3252.626</v>
      </c>
      <c r="AF121" s="2">
        <f t="shared" si="7"/>
        <v>0.0789473684210526</v>
      </c>
      <c r="AG121" s="2">
        <f t="shared" si="8"/>
        <v>0.00711595457579858</v>
      </c>
      <c r="AH121" t="s">
        <v>596</v>
      </c>
      <c r="AI121" t="s">
        <v>41</v>
      </c>
      <c r="AJ121" t="s">
        <v>41</v>
      </c>
    </row>
    <row r="122" spans="1:36">
      <c r="A122">
        <v>110098</v>
      </c>
      <c r="B122" t="s">
        <v>597</v>
      </c>
      <c r="C122">
        <v>600713</v>
      </c>
      <c r="D122" t="s">
        <v>598</v>
      </c>
      <c r="E122" t="s">
        <v>599</v>
      </c>
      <c r="F122" t="s">
        <v>98</v>
      </c>
      <c r="G122" t="s">
        <v>568</v>
      </c>
      <c r="H122" t="s">
        <v>33</v>
      </c>
      <c r="I122" t="s">
        <v>255</v>
      </c>
      <c r="J122" t="s">
        <v>255</v>
      </c>
      <c r="K122" t="s">
        <v>600</v>
      </c>
      <c r="L122">
        <v>4.33</v>
      </c>
      <c r="M122">
        <v>2833.615</v>
      </c>
      <c r="N122" t="s">
        <v>601</v>
      </c>
      <c r="O122">
        <v>4.53</v>
      </c>
      <c r="P122">
        <v>3202.948</v>
      </c>
      <c r="Q122" s="1">
        <f t="shared" si="1"/>
        <v>0.0461893764434181</v>
      </c>
      <c r="R122" s="1">
        <f t="shared" si="2"/>
        <v>0.1303398662133</v>
      </c>
      <c r="S122" t="s">
        <v>205</v>
      </c>
      <c r="T122">
        <v>5.03</v>
      </c>
      <c r="U122">
        <v>3326.456</v>
      </c>
      <c r="V122" s="1">
        <f t="shared" si="3"/>
        <v>0.11037527593819</v>
      </c>
      <c r="W122" s="1">
        <f t="shared" si="4"/>
        <v>0.0385607259312359</v>
      </c>
      <c r="X122" t="s">
        <v>568</v>
      </c>
      <c r="Y122">
        <v>4.87</v>
      </c>
      <c r="Z122">
        <v>3393.35</v>
      </c>
      <c r="AA122" s="2">
        <f t="shared" si="5"/>
        <v>-0.0318091451292247</v>
      </c>
      <c r="AB122" s="2">
        <f t="shared" si="6"/>
        <v>0.0201096903130538</v>
      </c>
      <c r="AC122" t="s">
        <v>602</v>
      </c>
      <c r="AD122">
        <v>4.66</v>
      </c>
      <c r="AE122">
        <v>3244.378</v>
      </c>
      <c r="AF122" s="2">
        <f t="shared" si="7"/>
        <v>-0.0431211498973306</v>
      </c>
      <c r="AG122" s="2">
        <f t="shared" si="8"/>
        <v>-0.0439011596210234</v>
      </c>
      <c r="AH122" t="s">
        <v>603</v>
      </c>
      <c r="AI122" t="s">
        <v>41</v>
      </c>
      <c r="AJ122" t="s">
        <v>41</v>
      </c>
    </row>
    <row r="123" spans="1:36">
      <c r="A123">
        <v>123251</v>
      </c>
      <c r="B123" t="s">
        <v>604</v>
      </c>
      <c r="C123">
        <v>301235</v>
      </c>
      <c r="D123" t="s">
        <v>605</v>
      </c>
      <c r="E123" t="s">
        <v>145</v>
      </c>
      <c r="F123" t="s">
        <v>31</v>
      </c>
      <c r="G123" t="s">
        <v>606</v>
      </c>
      <c r="H123" t="s">
        <v>33</v>
      </c>
      <c r="I123" t="s">
        <v>255</v>
      </c>
      <c r="J123" t="s">
        <v>255</v>
      </c>
      <c r="K123" t="s">
        <v>552</v>
      </c>
      <c r="L123">
        <v>33.99</v>
      </c>
      <c r="M123">
        <v>3201.261</v>
      </c>
      <c r="N123" t="s">
        <v>607</v>
      </c>
      <c r="O123">
        <v>25.12</v>
      </c>
      <c r="P123">
        <v>2969.559</v>
      </c>
      <c r="Q123" s="1">
        <f t="shared" si="1"/>
        <v>-0.2609591056193</v>
      </c>
      <c r="R123" s="1">
        <f t="shared" si="2"/>
        <v>-0.0723783534051112</v>
      </c>
      <c r="S123" t="s">
        <v>608</v>
      </c>
      <c r="T123">
        <v>15.72</v>
      </c>
      <c r="U123">
        <v>2789.486</v>
      </c>
      <c r="V123" s="1">
        <f t="shared" si="3"/>
        <v>-0.374203821656051</v>
      </c>
      <c r="W123" s="1">
        <f t="shared" si="4"/>
        <v>-0.0606396437989615</v>
      </c>
      <c r="X123" t="s">
        <v>606</v>
      </c>
      <c r="Y123">
        <v>20.07</v>
      </c>
      <c r="Z123">
        <v>3351.257</v>
      </c>
      <c r="AA123" s="2">
        <f t="shared" si="5"/>
        <v>0.276717557251908</v>
      </c>
      <c r="AB123" s="2">
        <f t="shared" si="6"/>
        <v>0.201388714623411</v>
      </c>
      <c r="AC123" t="s">
        <v>585</v>
      </c>
      <c r="AD123">
        <v>18.49</v>
      </c>
      <c r="AE123">
        <v>3211.393</v>
      </c>
      <c r="AF123" s="2">
        <f t="shared" si="7"/>
        <v>-0.0787244643746887</v>
      </c>
      <c r="AG123" s="2">
        <f t="shared" si="8"/>
        <v>-0.0417347878721328</v>
      </c>
      <c r="AH123" t="s">
        <v>609</v>
      </c>
      <c r="AI123" t="s">
        <v>41</v>
      </c>
      <c r="AJ123" t="s">
        <v>41</v>
      </c>
    </row>
    <row r="124" spans="1:36">
      <c r="A124">
        <v>118051</v>
      </c>
      <c r="B124" t="s">
        <v>610</v>
      </c>
      <c r="C124">
        <v>688131</v>
      </c>
      <c r="D124" t="s">
        <v>611</v>
      </c>
      <c r="E124" t="s">
        <v>612</v>
      </c>
      <c r="F124" t="s">
        <v>56</v>
      </c>
      <c r="G124" t="s">
        <v>613</v>
      </c>
      <c r="H124" t="s">
        <v>33</v>
      </c>
      <c r="I124" t="s">
        <v>255</v>
      </c>
      <c r="J124" t="s">
        <v>255</v>
      </c>
      <c r="K124" t="s">
        <v>552</v>
      </c>
      <c r="L124">
        <v>50.6</v>
      </c>
      <c r="M124">
        <v>3201.261</v>
      </c>
      <c r="N124" t="s">
        <v>614</v>
      </c>
      <c r="O124">
        <v>21.47</v>
      </c>
      <c r="P124">
        <v>2867.946</v>
      </c>
      <c r="Q124" s="1">
        <f t="shared" si="1"/>
        <v>-0.575691699604743</v>
      </c>
      <c r="R124" s="1">
        <f t="shared" si="2"/>
        <v>-0.104119907748853</v>
      </c>
      <c r="S124" t="s">
        <v>531</v>
      </c>
      <c r="T124">
        <v>25.36</v>
      </c>
      <c r="U124">
        <v>2717.123</v>
      </c>
      <c r="V124" s="1">
        <f t="shared" si="3"/>
        <v>0.181183046110852</v>
      </c>
      <c r="W124" s="1">
        <f t="shared" si="4"/>
        <v>-0.0525892049571365</v>
      </c>
      <c r="X124" t="s">
        <v>613</v>
      </c>
      <c r="Y124">
        <v>36.12</v>
      </c>
      <c r="Z124">
        <v>3295.698</v>
      </c>
      <c r="AA124" s="2">
        <f t="shared" si="5"/>
        <v>0.424290220820189</v>
      </c>
      <c r="AB124" s="2">
        <f t="shared" si="6"/>
        <v>0.212936624510558</v>
      </c>
      <c r="AC124" t="s">
        <v>615</v>
      </c>
      <c r="AD124">
        <v>36.68</v>
      </c>
      <c r="AE124">
        <v>3370.033</v>
      </c>
      <c r="AF124" s="2">
        <f t="shared" si="7"/>
        <v>0.0155038759689923</v>
      </c>
      <c r="AG124" s="2">
        <f t="shared" si="8"/>
        <v>0.0225551613042215</v>
      </c>
      <c r="AH124" t="s">
        <v>616</v>
      </c>
      <c r="AI124" t="s">
        <v>41</v>
      </c>
      <c r="AJ124" t="s">
        <v>41</v>
      </c>
    </row>
    <row r="125" spans="1:36">
      <c r="A125">
        <v>127107</v>
      </c>
      <c r="B125" t="s">
        <v>617</v>
      </c>
      <c r="C125">
        <v>2600</v>
      </c>
      <c r="D125" t="s">
        <v>618</v>
      </c>
      <c r="E125" t="s">
        <v>619</v>
      </c>
      <c r="F125" t="s">
        <v>41</v>
      </c>
      <c r="G125" t="s">
        <v>620</v>
      </c>
      <c r="H125" t="s">
        <v>621</v>
      </c>
      <c r="I125" t="s">
        <v>255</v>
      </c>
      <c r="J125" t="s">
        <v>255</v>
      </c>
      <c r="K125" t="s">
        <v>622</v>
      </c>
      <c r="L125">
        <v>6.7</v>
      </c>
      <c r="M125">
        <v>3245.349</v>
      </c>
      <c r="N125" t="s">
        <v>623</v>
      </c>
      <c r="O125">
        <v>5.11</v>
      </c>
      <c r="P125">
        <v>2910.223</v>
      </c>
      <c r="Q125" s="1">
        <f t="shared" si="1"/>
        <v>-0.237313432835821</v>
      </c>
      <c r="R125" s="1">
        <f t="shared" si="2"/>
        <v>-0.103263470277003</v>
      </c>
      <c r="S125" t="s">
        <v>594</v>
      </c>
      <c r="T125">
        <v>8.48</v>
      </c>
      <c r="U125">
        <v>3299.7</v>
      </c>
      <c r="V125" s="1">
        <f t="shared" si="3"/>
        <v>0.659491193737769</v>
      </c>
      <c r="W125" s="1">
        <f t="shared" si="4"/>
        <v>0.133830637720889</v>
      </c>
      <c r="X125" t="s">
        <v>620</v>
      </c>
      <c r="Y125">
        <v>8.11</v>
      </c>
      <c r="Z125">
        <v>3323.849</v>
      </c>
      <c r="AA125" s="2">
        <f t="shared" si="5"/>
        <v>-0.0436320754716982</v>
      </c>
      <c r="AB125" s="2">
        <f t="shared" si="6"/>
        <v>0.00731854411007072</v>
      </c>
      <c r="AC125" t="s">
        <v>337</v>
      </c>
      <c r="AD125">
        <v>8.88</v>
      </c>
      <c r="AE125">
        <v>3404.076</v>
      </c>
      <c r="AF125" s="2">
        <f t="shared" si="7"/>
        <v>0.0949445129469792</v>
      </c>
      <c r="AG125" s="2">
        <f t="shared" si="8"/>
        <v>0.024136776369805</v>
      </c>
      <c r="AH125" t="s">
        <v>624</v>
      </c>
      <c r="AI125" t="s">
        <v>295</v>
      </c>
      <c r="AJ125" t="s">
        <v>625</v>
      </c>
    </row>
    <row r="126" spans="1:36">
      <c r="A126">
        <v>123250</v>
      </c>
      <c r="B126" t="s">
        <v>626</v>
      </c>
      <c r="C126">
        <v>301004</v>
      </c>
      <c r="D126" t="s">
        <v>627</v>
      </c>
      <c r="E126" t="s">
        <v>628</v>
      </c>
      <c r="F126" t="s">
        <v>31</v>
      </c>
      <c r="G126" t="s">
        <v>629</v>
      </c>
      <c r="H126" t="s">
        <v>33</v>
      </c>
      <c r="I126" t="s">
        <v>255</v>
      </c>
      <c r="J126" t="s">
        <v>255</v>
      </c>
      <c r="K126" t="s">
        <v>630</v>
      </c>
      <c r="L126">
        <v>22.01</v>
      </c>
      <c r="M126">
        <v>3189.376</v>
      </c>
      <c r="N126" t="s">
        <v>631</v>
      </c>
      <c r="O126">
        <v>26.15</v>
      </c>
      <c r="P126">
        <v>2983.059</v>
      </c>
      <c r="Q126" s="1">
        <f t="shared" si="1"/>
        <v>0.188096319854611</v>
      </c>
      <c r="R126" s="1">
        <f t="shared" si="2"/>
        <v>-0.0646888294136533</v>
      </c>
      <c r="S126" t="s">
        <v>632</v>
      </c>
      <c r="T126">
        <v>26.43</v>
      </c>
      <c r="U126">
        <v>2942.557</v>
      </c>
      <c r="V126" s="1">
        <f t="shared" si="3"/>
        <v>0.0107074569789675</v>
      </c>
      <c r="W126" s="1">
        <f t="shared" si="4"/>
        <v>-0.0135773378937528</v>
      </c>
      <c r="X126" t="s">
        <v>629</v>
      </c>
      <c r="Y126">
        <v>73.69</v>
      </c>
      <c r="Z126">
        <v>3470.661</v>
      </c>
      <c r="AA126" s="2">
        <f t="shared" si="5"/>
        <v>1.78811956110481</v>
      </c>
      <c r="AB126" s="2">
        <f t="shared" si="6"/>
        <v>0.179471119845767</v>
      </c>
      <c r="AC126" t="s">
        <v>633</v>
      </c>
      <c r="AD126">
        <v>67.58</v>
      </c>
      <c r="AE126">
        <v>3259.757</v>
      </c>
      <c r="AF126" s="2">
        <f t="shared" si="7"/>
        <v>-0.0829149138281992</v>
      </c>
      <c r="AG126" s="2">
        <f t="shared" si="8"/>
        <v>-0.0607676750912866</v>
      </c>
      <c r="AH126" t="s">
        <v>634</v>
      </c>
      <c r="AI126" t="s">
        <v>41</v>
      </c>
      <c r="AJ126" t="s">
        <v>41</v>
      </c>
    </row>
    <row r="127" spans="1:36">
      <c r="A127">
        <v>113692</v>
      </c>
      <c r="B127" t="s">
        <v>635</v>
      </c>
      <c r="C127">
        <v>603197</v>
      </c>
      <c r="D127" t="s">
        <v>636</v>
      </c>
      <c r="E127" t="s">
        <v>637</v>
      </c>
      <c r="F127" t="s">
        <v>397</v>
      </c>
      <c r="G127" t="s">
        <v>638</v>
      </c>
      <c r="H127" t="s">
        <v>33</v>
      </c>
      <c r="I127" t="s">
        <v>255</v>
      </c>
      <c r="J127" t="s">
        <v>255</v>
      </c>
      <c r="K127" t="s">
        <v>639</v>
      </c>
      <c r="L127">
        <v>57.13</v>
      </c>
      <c r="M127">
        <v>3288.084</v>
      </c>
      <c r="N127" t="s">
        <v>640</v>
      </c>
      <c r="O127">
        <v>38.72</v>
      </c>
      <c r="P127">
        <v>3122.401</v>
      </c>
      <c r="Q127" s="1">
        <f t="shared" si="1"/>
        <v>-0.32224750568878</v>
      </c>
      <c r="R127" s="1">
        <f t="shared" si="2"/>
        <v>-0.0503889195044895</v>
      </c>
      <c r="S127" t="s">
        <v>641</v>
      </c>
      <c r="T127">
        <v>26.36</v>
      </c>
      <c r="U127">
        <v>2866.661</v>
      </c>
      <c r="V127" s="1">
        <f t="shared" si="3"/>
        <v>-0.319214876033058</v>
      </c>
      <c r="W127" s="1">
        <f t="shared" si="4"/>
        <v>-0.08190491868277</v>
      </c>
      <c r="X127" t="s">
        <v>638</v>
      </c>
      <c r="Y127">
        <v>37.49</v>
      </c>
      <c r="Z127">
        <v>3279.824</v>
      </c>
      <c r="AA127" s="2">
        <f t="shared" si="5"/>
        <v>0.422230652503794</v>
      </c>
      <c r="AB127" s="2">
        <f t="shared" si="6"/>
        <v>0.144126912809014</v>
      </c>
      <c r="AC127" t="s">
        <v>642</v>
      </c>
      <c r="AD127">
        <v>37.45</v>
      </c>
      <c r="AE127">
        <v>3309.779</v>
      </c>
      <c r="AF127" s="2">
        <f t="shared" si="7"/>
        <v>-0.00106695118698317</v>
      </c>
      <c r="AG127" s="2">
        <f t="shared" si="8"/>
        <v>0.00913311202064499</v>
      </c>
      <c r="AH127" t="s">
        <v>643</v>
      </c>
      <c r="AI127" t="s">
        <v>41</v>
      </c>
      <c r="AJ127" t="s">
        <v>41</v>
      </c>
    </row>
    <row r="128" spans="1:36">
      <c r="A128">
        <v>113691</v>
      </c>
      <c r="B128" t="s">
        <v>644</v>
      </c>
      <c r="C128">
        <v>603077</v>
      </c>
      <c r="D128" t="s">
        <v>645</v>
      </c>
      <c r="E128" t="s">
        <v>646</v>
      </c>
      <c r="F128" t="s">
        <v>397</v>
      </c>
      <c r="G128" t="s">
        <v>647</v>
      </c>
      <c r="H128" t="s">
        <v>33</v>
      </c>
      <c r="I128" t="s">
        <v>255</v>
      </c>
      <c r="J128" t="s">
        <v>255</v>
      </c>
      <c r="K128" t="s">
        <v>648</v>
      </c>
      <c r="L128">
        <v>3.07</v>
      </c>
      <c r="M128">
        <v>3322.026</v>
      </c>
      <c r="N128" t="s">
        <v>649</v>
      </c>
      <c r="O128">
        <v>2.36</v>
      </c>
      <c r="P128">
        <v>3240.365</v>
      </c>
      <c r="Q128" s="1">
        <f t="shared" si="1"/>
        <v>-0.231270358306189</v>
      </c>
      <c r="R128" s="1">
        <f t="shared" si="2"/>
        <v>-0.024581685995233</v>
      </c>
      <c r="S128" t="s">
        <v>186</v>
      </c>
      <c r="T128">
        <v>1.66</v>
      </c>
      <c r="U128">
        <v>2842.214</v>
      </c>
      <c r="V128" s="1">
        <f t="shared" si="3"/>
        <v>-0.296610169491525</v>
      </c>
      <c r="W128" s="1">
        <f t="shared" si="4"/>
        <v>-0.122872269019077</v>
      </c>
      <c r="X128" t="s">
        <v>647</v>
      </c>
      <c r="Y128">
        <v>2.11</v>
      </c>
      <c r="Z128">
        <v>3322.198</v>
      </c>
      <c r="AA128" s="2">
        <f t="shared" si="5"/>
        <v>0.271084337349398</v>
      </c>
      <c r="AB128" s="2">
        <f t="shared" si="6"/>
        <v>0.168876798158056</v>
      </c>
      <c r="AC128" t="s">
        <v>424</v>
      </c>
      <c r="AD128">
        <v>2.07</v>
      </c>
      <c r="AE128">
        <v>3346.01</v>
      </c>
      <c r="AF128" s="2">
        <f t="shared" si="7"/>
        <v>-0.018957345971564</v>
      </c>
      <c r="AG128" s="2">
        <f t="shared" si="8"/>
        <v>0.0071675438971429</v>
      </c>
      <c r="AH128" t="s">
        <v>650</v>
      </c>
      <c r="AI128" t="s">
        <v>41</v>
      </c>
      <c r="AJ128" t="s">
        <v>41</v>
      </c>
    </row>
    <row r="129" spans="1:36">
      <c r="A129">
        <v>123249</v>
      </c>
      <c r="B129" t="s">
        <v>651</v>
      </c>
      <c r="C129">
        <v>300681</v>
      </c>
      <c r="D129" t="s">
        <v>652</v>
      </c>
      <c r="E129" t="s">
        <v>653</v>
      </c>
      <c r="F129" t="s">
        <v>397</v>
      </c>
      <c r="G129" t="s">
        <v>429</v>
      </c>
      <c r="H129" t="s">
        <v>33</v>
      </c>
      <c r="I129" t="s">
        <v>255</v>
      </c>
      <c r="J129" t="s">
        <v>255</v>
      </c>
      <c r="K129" t="s">
        <v>654</v>
      </c>
      <c r="L129">
        <v>19.07</v>
      </c>
      <c r="M129">
        <v>3195.34</v>
      </c>
      <c r="N129" t="s">
        <v>655</v>
      </c>
      <c r="O129">
        <v>12.48</v>
      </c>
      <c r="P129">
        <v>2869.834</v>
      </c>
      <c r="Q129" s="1">
        <f t="shared" si="1"/>
        <v>-0.34556895647614</v>
      </c>
      <c r="R129" s="1">
        <f t="shared" si="2"/>
        <v>-0.101868971690024</v>
      </c>
      <c r="S129" t="s">
        <v>656</v>
      </c>
      <c r="T129">
        <v>13.38</v>
      </c>
      <c r="U129">
        <v>2784.278</v>
      </c>
      <c r="V129" s="1">
        <f t="shared" si="3"/>
        <v>0.0721153846153846</v>
      </c>
      <c r="W129" s="1">
        <f t="shared" si="4"/>
        <v>-0.0298121772896969</v>
      </c>
      <c r="X129" t="s">
        <v>429</v>
      </c>
      <c r="Y129">
        <v>17.55</v>
      </c>
      <c r="Z129">
        <v>3280.263</v>
      </c>
      <c r="AA129" s="2">
        <f t="shared" si="5"/>
        <v>0.311659192825112</v>
      </c>
      <c r="AB129" s="2">
        <f t="shared" si="6"/>
        <v>0.178137743429356</v>
      </c>
      <c r="AC129" t="s">
        <v>657</v>
      </c>
      <c r="AD129">
        <v>26.42</v>
      </c>
      <c r="AE129">
        <v>3470.066</v>
      </c>
      <c r="AF129" s="2">
        <f t="shared" si="7"/>
        <v>0.505413105413105</v>
      </c>
      <c r="AG129" s="2">
        <f t="shared" si="8"/>
        <v>0.0578621287378481</v>
      </c>
      <c r="AH129" t="s">
        <v>658</v>
      </c>
      <c r="AI129" t="s">
        <v>659</v>
      </c>
      <c r="AJ129" t="s">
        <v>625</v>
      </c>
    </row>
    <row r="130" spans="1:36">
      <c r="A130">
        <v>110097</v>
      </c>
      <c r="B130" t="s">
        <v>660</v>
      </c>
      <c r="C130">
        <v>600419</v>
      </c>
      <c r="D130" t="s">
        <v>661</v>
      </c>
      <c r="E130" t="s">
        <v>662</v>
      </c>
      <c r="F130" t="s">
        <v>397</v>
      </c>
      <c r="G130" t="s">
        <v>429</v>
      </c>
      <c r="H130" t="s">
        <v>33</v>
      </c>
      <c r="I130" t="s">
        <v>255</v>
      </c>
      <c r="J130" t="s">
        <v>255</v>
      </c>
      <c r="K130" t="s">
        <v>663</v>
      </c>
      <c r="L130">
        <v>16</v>
      </c>
      <c r="M130">
        <v>3236.48</v>
      </c>
      <c r="N130" t="s">
        <v>664</v>
      </c>
      <c r="O130">
        <v>12.89</v>
      </c>
      <c r="P130">
        <v>2972.296</v>
      </c>
      <c r="Q130" s="1">
        <f t="shared" si="1"/>
        <v>-0.194375</v>
      </c>
      <c r="R130" s="1">
        <f t="shared" si="2"/>
        <v>-0.081626952738778</v>
      </c>
      <c r="S130" t="s">
        <v>665</v>
      </c>
      <c r="T130">
        <v>8.82</v>
      </c>
      <c r="U130">
        <v>3065.403</v>
      </c>
      <c r="V130" s="1">
        <f t="shared" si="3"/>
        <v>-0.315748642358417</v>
      </c>
      <c r="W130" s="1">
        <f t="shared" si="4"/>
        <v>0.0313249420649895</v>
      </c>
      <c r="X130" t="s">
        <v>429</v>
      </c>
      <c r="Y130">
        <v>8.11</v>
      </c>
      <c r="Z130">
        <v>3280.263</v>
      </c>
      <c r="AA130" s="2">
        <f t="shared" si="5"/>
        <v>-0.080498866213152</v>
      </c>
      <c r="AB130" s="2">
        <f t="shared" si="6"/>
        <v>0.0700919259229537</v>
      </c>
      <c r="AC130" t="s">
        <v>437</v>
      </c>
      <c r="AD130">
        <v>9.48</v>
      </c>
      <c r="AE130">
        <v>3330.726</v>
      </c>
      <c r="AF130" s="2">
        <f t="shared" si="7"/>
        <v>0.168927250308262</v>
      </c>
      <c r="AG130" s="2">
        <f t="shared" si="8"/>
        <v>0.0153838274552986</v>
      </c>
      <c r="AH130" t="s">
        <v>658</v>
      </c>
      <c r="AI130" t="s">
        <v>41</v>
      </c>
      <c r="AJ130" t="s">
        <v>41</v>
      </c>
    </row>
    <row r="131" spans="1:36">
      <c r="A131">
        <v>113690</v>
      </c>
      <c r="B131" t="s">
        <v>666</v>
      </c>
      <c r="C131">
        <v>603809</v>
      </c>
      <c r="D131" t="s">
        <v>265</v>
      </c>
      <c r="E131" t="s">
        <v>667</v>
      </c>
      <c r="F131" t="s">
        <v>41</v>
      </c>
      <c r="G131" t="s">
        <v>668</v>
      </c>
      <c r="H131" t="s">
        <v>621</v>
      </c>
      <c r="I131" t="s">
        <v>255</v>
      </c>
      <c r="J131" t="s">
        <v>255</v>
      </c>
      <c r="K131" t="s">
        <v>586</v>
      </c>
      <c r="L131">
        <v>5.39</v>
      </c>
      <c r="M131">
        <v>3198.836</v>
      </c>
      <c r="N131" t="s">
        <v>669</v>
      </c>
      <c r="O131">
        <v>6.1</v>
      </c>
      <c r="P131">
        <v>3031.636</v>
      </c>
      <c r="Q131" s="1">
        <f t="shared" ref="Q131:Q194" si="9">(O131-L131)/L131</f>
        <v>0.131725417439703</v>
      </c>
      <c r="R131" s="1">
        <f t="shared" ref="R131:R194" si="10">(P131-M131)/M131</f>
        <v>-0.0522690128534254</v>
      </c>
      <c r="S131" t="s">
        <v>670</v>
      </c>
      <c r="T131">
        <v>4.44</v>
      </c>
      <c r="U131">
        <v>3027.401</v>
      </c>
      <c r="V131" s="1">
        <f t="shared" ref="V131:V194" si="11">(T131-O131)/O131</f>
        <v>-0.272131147540983</v>
      </c>
      <c r="W131" s="1">
        <f t="shared" ref="W131:W194" si="12">(U131-P131)/P131</f>
        <v>-0.00139693551600526</v>
      </c>
      <c r="X131" t="s">
        <v>668</v>
      </c>
      <c r="Y131">
        <v>6.61</v>
      </c>
      <c r="Z131">
        <v>3302.803</v>
      </c>
      <c r="AA131" s="2">
        <f t="shared" ref="AA131:AA194" si="13">(Y131-T131)/T131</f>
        <v>0.488738738738739</v>
      </c>
      <c r="AB131" s="2">
        <f t="shared" ref="AB131:AB194" si="14">(Z131-U131)/U131</f>
        <v>0.090969779028282</v>
      </c>
      <c r="AC131" t="s">
        <v>338</v>
      </c>
      <c r="AD131">
        <v>9.51</v>
      </c>
      <c r="AE131">
        <v>3367.989</v>
      </c>
      <c r="AF131" s="2">
        <f t="shared" ref="AF131:AF194" si="15">(AD131-Y131)/Y131</f>
        <v>0.438729198184569</v>
      </c>
      <c r="AG131" s="2">
        <f t="shared" ref="AG131:AG194" si="16">(AE131-Z131)/Z131</f>
        <v>0.0197365692110611</v>
      </c>
      <c r="AH131" t="s">
        <v>671</v>
      </c>
      <c r="AI131" t="s">
        <v>153</v>
      </c>
      <c r="AJ131" t="s">
        <v>625</v>
      </c>
    </row>
    <row r="132" spans="1:36">
      <c r="A132">
        <v>113688</v>
      </c>
      <c r="B132" t="s">
        <v>672</v>
      </c>
      <c r="C132">
        <v>603060</v>
      </c>
      <c r="D132" t="s">
        <v>673</v>
      </c>
      <c r="E132" t="s">
        <v>115</v>
      </c>
      <c r="F132" t="s">
        <v>98</v>
      </c>
      <c r="G132" t="s">
        <v>674</v>
      </c>
      <c r="H132" t="s">
        <v>33</v>
      </c>
      <c r="I132" t="s">
        <v>255</v>
      </c>
      <c r="J132" t="s">
        <v>255</v>
      </c>
      <c r="K132" t="s">
        <v>648</v>
      </c>
      <c r="L132">
        <v>11.95</v>
      </c>
      <c r="M132">
        <v>3322.026</v>
      </c>
      <c r="N132" t="s">
        <v>675</v>
      </c>
      <c r="O132">
        <v>10.43</v>
      </c>
      <c r="P132">
        <v>3096.922</v>
      </c>
      <c r="Q132" s="1">
        <f t="shared" si="9"/>
        <v>-0.127196652719665</v>
      </c>
      <c r="R132" s="1">
        <f t="shared" si="10"/>
        <v>-0.0677610590645587</v>
      </c>
      <c r="S132" t="s">
        <v>676</v>
      </c>
      <c r="T132">
        <v>7.29</v>
      </c>
      <c r="U132">
        <v>2823.106</v>
      </c>
      <c r="V132" s="1">
        <f t="shared" si="11"/>
        <v>-0.301054650047939</v>
      </c>
      <c r="W132" s="1">
        <f t="shared" si="12"/>
        <v>-0.0884155300004326</v>
      </c>
      <c r="X132" t="s">
        <v>674</v>
      </c>
      <c r="Y132">
        <v>6.39</v>
      </c>
      <c r="Z132">
        <v>3169.384</v>
      </c>
      <c r="AA132" s="2">
        <f t="shared" si="13"/>
        <v>-0.123456790123457</v>
      </c>
      <c r="AB132" s="2">
        <f t="shared" si="14"/>
        <v>0.122658518667028</v>
      </c>
      <c r="AC132" t="s">
        <v>580</v>
      </c>
      <c r="AD132">
        <v>7.22</v>
      </c>
      <c r="AE132">
        <v>3421.97</v>
      </c>
      <c r="AF132" s="2">
        <f t="shared" si="15"/>
        <v>0.129890453834116</v>
      </c>
      <c r="AG132" s="2">
        <f t="shared" si="16"/>
        <v>0.0796956127752269</v>
      </c>
      <c r="AH132" t="s">
        <v>677</v>
      </c>
      <c r="AI132" t="s">
        <v>41</v>
      </c>
      <c r="AJ132" t="s">
        <v>41</v>
      </c>
    </row>
    <row r="133" spans="1:36">
      <c r="A133">
        <v>113689</v>
      </c>
      <c r="B133" t="s">
        <v>678</v>
      </c>
      <c r="C133">
        <v>603829</v>
      </c>
      <c r="D133" t="s">
        <v>679</v>
      </c>
      <c r="E133" t="s">
        <v>680</v>
      </c>
      <c r="F133" t="s">
        <v>41</v>
      </c>
      <c r="G133" t="s">
        <v>674</v>
      </c>
      <c r="H133" t="s">
        <v>621</v>
      </c>
      <c r="I133" t="s">
        <v>255</v>
      </c>
      <c r="J133" t="s">
        <v>255</v>
      </c>
      <c r="K133" t="s">
        <v>681</v>
      </c>
      <c r="L133">
        <v>15.68</v>
      </c>
      <c r="M133">
        <v>3196.609</v>
      </c>
      <c r="N133" t="s">
        <v>682</v>
      </c>
      <c r="O133">
        <v>15.29</v>
      </c>
      <c r="P133">
        <v>2832.279</v>
      </c>
      <c r="Q133" s="1">
        <f t="shared" si="9"/>
        <v>-0.0248724489795919</v>
      </c>
      <c r="R133" s="1">
        <f t="shared" si="10"/>
        <v>-0.113973901718978</v>
      </c>
      <c r="S133" t="s">
        <v>683</v>
      </c>
      <c r="T133">
        <v>11.16</v>
      </c>
      <c r="U133">
        <v>2854.368</v>
      </c>
      <c r="V133" s="1">
        <f t="shared" si="11"/>
        <v>-0.270111183780248</v>
      </c>
      <c r="W133" s="1">
        <f t="shared" si="12"/>
        <v>0.00779901979995613</v>
      </c>
      <c r="X133" t="s">
        <v>674</v>
      </c>
      <c r="Y133">
        <v>14.71</v>
      </c>
      <c r="Z133">
        <v>3169.384</v>
      </c>
      <c r="AA133" s="2">
        <f t="shared" si="13"/>
        <v>0.318100358422939</v>
      </c>
      <c r="AB133" s="2">
        <f t="shared" si="14"/>
        <v>0.110362784336147</v>
      </c>
      <c r="AC133" t="s">
        <v>657</v>
      </c>
      <c r="AD133">
        <v>15.05</v>
      </c>
      <c r="AE133">
        <v>3470.066</v>
      </c>
      <c r="AF133" s="2">
        <f t="shared" si="15"/>
        <v>0.0231135282121006</v>
      </c>
      <c r="AG133" s="2">
        <f t="shared" si="16"/>
        <v>0.094870801392321</v>
      </c>
      <c r="AH133" t="s">
        <v>677</v>
      </c>
      <c r="AI133" t="s">
        <v>684</v>
      </c>
      <c r="AJ133" t="s">
        <v>625</v>
      </c>
    </row>
    <row r="134" spans="1:36">
      <c r="A134">
        <v>123248</v>
      </c>
      <c r="B134" t="s">
        <v>685</v>
      </c>
      <c r="C134">
        <v>300952</v>
      </c>
      <c r="D134" t="s">
        <v>686</v>
      </c>
      <c r="E134" t="s">
        <v>522</v>
      </c>
      <c r="F134" t="s">
        <v>41</v>
      </c>
      <c r="G134" t="s">
        <v>687</v>
      </c>
      <c r="H134" t="s">
        <v>621</v>
      </c>
      <c r="I134" t="s">
        <v>255</v>
      </c>
      <c r="J134" t="s">
        <v>255</v>
      </c>
      <c r="K134" t="s">
        <v>688</v>
      </c>
      <c r="L134">
        <v>20.8</v>
      </c>
      <c r="M134">
        <v>2929.183</v>
      </c>
      <c r="N134" t="s">
        <v>689</v>
      </c>
      <c r="O134">
        <v>17.6</v>
      </c>
      <c r="P134">
        <v>3032.633</v>
      </c>
      <c r="Q134" s="1">
        <f t="shared" si="9"/>
        <v>-0.153846153846154</v>
      </c>
      <c r="R134" s="1">
        <f t="shared" si="10"/>
        <v>0.035317015017498</v>
      </c>
      <c r="S134" t="s">
        <v>690</v>
      </c>
      <c r="T134">
        <v>16.47</v>
      </c>
      <c r="U134">
        <v>2905.338</v>
      </c>
      <c r="V134" s="1">
        <f t="shared" si="11"/>
        <v>-0.0642045454545456</v>
      </c>
      <c r="W134" s="1">
        <f t="shared" si="12"/>
        <v>-0.0419750757839803</v>
      </c>
      <c r="X134" t="s">
        <v>687</v>
      </c>
      <c r="Y134">
        <v>16.64</v>
      </c>
      <c r="Z134">
        <v>2856.584</v>
      </c>
      <c r="AA134" s="2">
        <f t="shared" si="13"/>
        <v>0.0103217972070432</v>
      </c>
      <c r="AB134" s="2">
        <f t="shared" si="14"/>
        <v>-0.0167808358270192</v>
      </c>
      <c r="AC134" t="s">
        <v>531</v>
      </c>
      <c r="AD134">
        <v>16.23</v>
      </c>
      <c r="AE134">
        <v>2717.123</v>
      </c>
      <c r="AF134" s="2">
        <f t="shared" si="15"/>
        <v>-0.0246394230769231</v>
      </c>
      <c r="AG134" s="2">
        <f t="shared" si="16"/>
        <v>-0.0488208993679163</v>
      </c>
      <c r="AH134" t="s">
        <v>691</v>
      </c>
      <c r="AI134" t="s">
        <v>464</v>
      </c>
      <c r="AJ134" t="s">
        <v>625</v>
      </c>
    </row>
    <row r="135" spans="1:36">
      <c r="A135">
        <v>118050</v>
      </c>
      <c r="B135" t="s">
        <v>692</v>
      </c>
      <c r="C135">
        <v>688239</v>
      </c>
      <c r="D135" t="s">
        <v>693</v>
      </c>
      <c r="E135" t="s">
        <v>694</v>
      </c>
      <c r="F135" t="s">
        <v>56</v>
      </c>
      <c r="G135" t="s">
        <v>687</v>
      </c>
      <c r="H135" t="s">
        <v>33</v>
      </c>
      <c r="I135" t="s">
        <v>255</v>
      </c>
      <c r="J135" t="s">
        <v>255</v>
      </c>
      <c r="K135" t="s">
        <v>695</v>
      </c>
      <c r="L135">
        <v>45.82</v>
      </c>
      <c r="M135">
        <v>3131.953</v>
      </c>
      <c r="N135" t="s">
        <v>696</v>
      </c>
      <c r="O135">
        <v>28.59</v>
      </c>
      <c r="P135">
        <v>3051.279</v>
      </c>
      <c r="Q135" s="1">
        <f t="shared" si="9"/>
        <v>-0.376036665211698</v>
      </c>
      <c r="R135" s="1">
        <f t="shared" si="10"/>
        <v>-0.0257583686600661</v>
      </c>
      <c r="S135" t="s">
        <v>697</v>
      </c>
      <c r="T135">
        <v>25.16</v>
      </c>
      <c r="U135">
        <v>2964.216</v>
      </c>
      <c r="V135" s="1">
        <f t="shared" si="11"/>
        <v>-0.119972018188178</v>
      </c>
      <c r="W135" s="1">
        <f t="shared" si="12"/>
        <v>-0.028533280634121</v>
      </c>
      <c r="X135" t="s">
        <v>687</v>
      </c>
      <c r="Y135">
        <v>21.39</v>
      </c>
      <c r="Z135">
        <v>2856.584</v>
      </c>
      <c r="AA135" s="2">
        <f t="shared" si="13"/>
        <v>-0.149841017488076</v>
      </c>
      <c r="AB135" s="2">
        <f t="shared" si="14"/>
        <v>-0.0363104443131</v>
      </c>
      <c r="AC135" t="s">
        <v>698</v>
      </c>
      <c r="AD135">
        <v>21.32</v>
      </c>
      <c r="AE135">
        <v>2744.192</v>
      </c>
      <c r="AF135" s="2">
        <f t="shared" si="15"/>
        <v>-0.00327255726975223</v>
      </c>
      <c r="AG135" s="2">
        <f t="shared" si="16"/>
        <v>-0.0393448958616305</v>
      </c>
      <c r="AH135" t="s">
        <v>691</v>
      </c>
      <c r="AI135" t="s">
        <v>41</v>
      </c>
      <c r="AJ135" t="s">
        <v>41</v>
      </c>
    </row>
    <row r="136" spans="1:36">
      <c r="A136">
        <v>123247</v>
      </c>
      <c r="B136" t="s">
        <v>699</v>
      </c>
      <c r="C136">
        <v>301216</v>
      </c>
      <c r="D136" t="s">
        <v>700</v>
      </c>
      <c r="E136" t="s">
        <v>701</v>
      </c>
      <c r="F136" t="s">
        <v>397</v>
      </c>
      <c r="G136" t="s">
        <v>538</v>
      </c>
      <c r="H136" t="s">
        <v>33</v>
      </c>
      <c r="I136" t="s">
        <v>255</v>
      </c>
      <c r="J136" t="s">
        <v>255</v>
      </c>
      <c r="K136" t="s">
        <v>702</v>
      </c>
      <c r="L136">
        <v>17.41</v>
      </c>
      <c r="M136">
        <v>3264.872</v>
      </c>
      <c r="N136" t="s">
        <v>695</v>
      </c>
      <c r="O136">
        <v>14.99</v>
      </c>
      <c r="P136">
        <v>3131.953</v>
      </c>
      <c r="Q136" s="1">
        <f t="shared" si="9"/>
        <v>-0.139000574382539</v>
      </c>
      <c r="R136" s="1">
        <f t="shared" si="10"/>
        <v>-0.0407118563913072</v>
      </c>
      <c r="S136" t="s">
        <v>703</v>
      </c>
      <c r="T136">
        <v>10.64</v>
      </c>
      <c r="U136">
        <v>2963.099</v>
      </c>
      <c r="V136" s="1">
        <f t="shared" si="11"/>
        <v>-0.290193462308205</v>
      </c>
      <c r="W136" s="1">
        <f t="shared" si="12"/>
        <v>-0.0539133250083893</v>
      </c>
      <c r="X136" t="s">
        <v>538</v>
      </c>
      <c r="Y136">
        <v>10.13</v>
      </c>
      <c r="Z136">
        <v>2879.43</v>
      </c>
      <c r="AA136" s="2">
        <f t="shared" si="13"/>
        <v>-0.0479323308270676</v>
      </c>
      <c r="AB136" s="2">
        <f t="shared" si="14"/>
        <v>-0.0282369910691476</v>
      </c>
      <c r="AC136" t="s">
        <v>485</v>
      </c>
      <c r="AD136">
        <v>9.8</v>
      </c>
      <c r="AE136">
        <v>2788.314</v>
      </c>
      <c r="AF136" s="2">
        <f t="shared" si="15"/>
        <v>-0.0325765054294176</v>
      </c>
      <c r="AG136" s="2">
        <f t="shared" si="16"/>
        <v>-0.0316437628280597</v>
      </c>
      <c r="AH136" t="s">
        <v>704</v>
      </c>
      <c r="AI136" t="s">
        <v>41</v>
      </c>
      <c r="AJ136" t="s">
        <v>41</v>
      </c>
    </row>
    <row r="137" spans="1:36">
      <c r="A137">
        <v>123246</v>
      </c>
      <c r="B137" t="s">
        <v>705</v>
      </c>
      <c r="C137">
        <v>301053</v>
      </c>
      <c r="D137" t="s">
        <v>706</v>
      </c>
      <c r="E137" t="s">
        <v>707</v>
      </c>
      <c r="F137" t="s">
        <v>708</v>
      </c>
      <c r="G137" t="s">
        <v>538</v>
      </c>
      <c r="H137" t="s">
        <v>33</v>
      </c>
      <c r="I137" t="s">
        <v>255</v>
      </c>
      <c r="J137" t="s">
        <v>255</v>
      </c>
      <c r="K137" t="s">
        <v>709</v>
      </c>
      <c r="L137">
        <v>23.91</v>
      </c>
      <c r="M137">
        <v>3197.759</v>
      </c>
      <c r="N137" t="s">
        <v>710</v>
      </c>
      <c r="O137">
        <v>26.5</v>
      </c>
      <c r="P137">
        <v>3054.366</v>
      </c>
      <c r="Q137" s="1">
        <f t="shared" si="9"/>
        <v>0.108322877457131</v>
      </c>
      <c r="R137" s="1">
        <f t="shared" si="10"/>
        <v>-0.044841715714036</v>
      </c>
      <c r="S137" t="s">
        <v>422</v>
      </c>
      <c r="T137">
        <v>26.01</v>
      </c>
      <c r="U137">
        <v>2918.715</v>
      </c>
      <c r="V137" s="1">
        <f t="shared" si="11"/>
        <v>-0.0184905660377358</v>
      </c>
      <c r="W137" s="1">
        <f t="shared" si="12"/>
        <v>-0.0444121627859922</v>
      </c>
      <c r="X137" t="s">
        <v>538</v>
      </c>
      <c r="Y137">
        <v>19.22</v>
      </c>
      <c r="Z137">
        <v>2879.43</v>
      </c>
      <c r="AA137" s="2">
        <f t="shared" si="13"/>
        <v>-0.261053440984237</v>
      </c>
      <c r="AB137" s="2">
        <f t="shared" si="14"/>
        <v>-0.0134596903089203</v>
      </c>
      <c r="AC137" t="s">
        <v>711</v>
      </c>
      <c r="AD137">
        <v>17.88</v>
      </c>
      <c r="AE137">
        <v>2802.979</v>
      </c>
      <c r="AF137" s="2">
        <f t="shared" si="15"/>
        <v>-0.0697190426638918</v>
      </c>
      <c r="AG137" s="2">
        <f t="shared" si="16"/>
        <v>-0.0265507409452565</v>
      </c>
      <c r="AH137" t="s">
        <v>704</v>
      </c>
      <c r="AI137" t="s">
        <v>41</v>
      </c>
      <c r="AJ137" t="s">
        <v>41</v>
      </c>
    </row>
    <row r="138" spans="1:36">
      <c r="A138">
        <v>123245</v>
      </c>
      <c r="B138" t="s">
        <v>712</v>
      </c>
      <c r="C138">
        <v>300553</v>
      </c>
      <c r="D138" t="s">
        <v>713</v>
      </c>
      <c r="E138" t="s">
        <v>714</v>
      </c>
      <c r="F138" t="s">
        <v>708</v>
      </c>
      <c r="G138" t="s">
        <v>715</v>
      </c>
      <c r="H138" t="s">
        <v>33</v>
      </c>
      <c r="I138" t="s">
        <v>255</v>
      </c>
      <c r="J138" t="s">
        <v>255</v>
      </c>
      <c r="K138" t="s">
        <v>702</v>
      </c>
      <c r="L138">
        <v>32.71</v>
      </c>
      <c r="M138">
        <v>3264.872</v>
      </c>
      <c r="N138" t="s">
        <v>716</v>
      </c>
      <c r="O138">
        <v>36.02</v>
      </c>
      <c r="P138">
        <v>3082.244</v>
      </c>
      <c r="Q138" s="1">
        <f t="shared" si="9"/>
        <v>0.101192295933965</v>
      </c>
      <c r="R138" s="1">
        <f t="shared" si="10"/>
        <v>-0.0559372618589641</v>
      </c>
      <c r="S138" t="s">
        <v>717</v>
      </c>
      <c r="T138">
        <v>31.15</v>
      </c>
      <c r="U138">
        <v>3017.784</v>
      </c>
      <c r="V138" s="1">
        <f t="shared" si="11"/>
        <v>-0.135202665186008</v>
      </c>
      <c r="W138" s="1">
        <f t="shared" si="12"/>
        <v>-0.0209133345705272</v>
      </c>
      <c r="X138" t="s">
        <v>715</v>
      </c>
      <c r="Y138">
        <v>16.2</v>
      </c>
      <c r="Z138">
        <v>2850.654</v>
      </c>
      <c r="AA138" s="2">
        <f t="shared" si="13"/>
        <v>-0.479935794542536</v>
      </c>
      <c r="AB138" s="2">
        <f t="shared" si="14"/>
        <v>-0.055381697298415</v>
      </c>
      <c r="AC138" t="s">
        <v>718</v>
      </c>
      <c r="AD138">
        <v>14.79</v>
      </c>
      <c r="AE138">
        <v>2837.429</v>
      </c>
      <c r="AF138" s="2">
        <f t="shared" si="15"/>
        <v>-0.0870370370370371</v>
      </c>
      <c r="AG138" s="2">
        <f t="shared" si="16"/>
        <v>-0.00463928628307747</v>
      </c>
      <c r="AH138" t="s">
        <v>719</v>
      </c>
      <c r="AI138" t="s">
        <v>41</v>
      </c>
      <c r="AJ138" t="s">
        <v>41</v>
      </c>
    </row>
    <row r="139" spans="1:36">
      <c r="A139">
        <v>127106</v>
      </c>
      <c r="B139" t="s">
        <v>720</v>
      </c>
      <c r="C139">
        <v>2871</v>
      </c>
      <c r="D139" t="s">
        <v>721</v>
      </c>
      <c r="E139" t="s">
        <v>722</v>
      </c>
      <c r="F139" t="s">
        <v>41</v>
      </c>
      <c r="G139" t="s">
        <v>614</v>
      </c>
      <c r="H139" t="s">
        <v>621</v>
      </c>
      <c r="I139" t="s">
        <v>255</v>
      </c>
      <c r="J139" t="s">
        <v>255</v>
      </c>
      <c r="K139" t="s">
        <v>669</v>
      </c>
      <c r="L139">
        <v>10.47</v>
      </c>
      <c r="M139">
        <v>3031.636</v>
      </c>
      <c r="N139" t="s">
        <v>346</v>
      </c>
      <c r="O139">
        <v>7.93</v>
      </c>
      <c r="P139">
        <v>3086.813</v>
      </c>
      <c r="Q139" s="1">
        <f t="shared" si="9"/>
        <v>-0.242597898758357</v>
      </c>
      <c r="R139" s="1">
        <f t="shared" si="10"/>
        <v>0.0182004040062858</v>
      </c>
      <c r="S139" t="s">
        <v>723</v>
      </c>
      <c r="T139">
        <v>7.41</v>
      </c>
      <c r="U139">
        <v>2959.372</v>
      </c>
      <c r="V139" s="1">
        <f t="shared" si="11"/>
        <v>-0.0655737704918032</v>
      </c>
      <c r="W139" s="1">
        <f t="shared" si="12"/>
        <v>-0.0412856237161112</v>
      </c>
      <c r="X139" t="s">
        <v>614</v>
      </c>
      <c r="Y139">
        <v>8.7</v>
      </c>
      <c r="Z139">
        <v>2867.946</v>
      </c>
      <c r="AA139" s="2">
        <f t="shared" si="13"/>
        <v>0.174089068825911</v>
      </c>
      <c r="AB139" s="2">
        <f t="shared" si="14"/>
        <v>-0.0308937166398817</v>
      </c>
      <c r="AC139" t="s">
        <v>718</v>
      </c>
      <c r="AD139">
        <v>7.29</v>
      </c>
      <c r="AE139">
        <v>2837.429</v>
      </c>
      <c r="AF139" s="2">
        <f t="shared" si="15"/>
        <v>-0.162068965517241</v>
      </c>
      <c r="AG139" s="2">
        <f t="shared" si="16"/>
        <v>-0.010640716387268</v>
      </c>
      <c r="AH139" t="s">
        <v>724</v>
      </c>
      <c r="AI139" t="s">
        <v>464</v>
      </c>
      <c r="AJ139" t="s">
        <v>625</v>
      </c>
    </row>
    <row r="140" spans="1:36">
      <c r="A140">
        <v>110096</v>
      </c>
      <c r="B140" t="s">
        <v>725</v>
      </c>
      <c r="C140">
        <v>600531</v>
      </c>
      <c r="D140" t="s">
        <v>726</v>
      </c>
      <c r="E140" t="s">
        <v>727</v>
      </c>
      <c r="F140" t="s">
        <v>397</v>
      </c>
      <c r="G140" t="s">
        <v>345</v>
      </c>
      <c r="H140" t="s">
        <v>33</v>
      </c>
      <c r="I140" t="s">
        <v>255</v>
      </c>
      <c r="J140" t="s">
        <v>255</v>
      </c>
      <c r="K140" t="s">
        <v>728</v>
      </c>
      <c r="L140">
        <v>5.33</v>
      </c>
      <c r="M140">
        <v>3328.393</v>
      </c>
      <c r="N140" t="s">
        <v>729</v>
      </c>
      <c r="O140">
        <v>5.3</v>
      </c>
      <c r="P140">
        <v>2883.356</v>
      </c>
      <c r="Q140" s="1">
        <f t="shared" si="9"/>
        <v>-0.00562851782363982</v>
      </c>
      <c r="R140" s="1">
        <f t="shared" si="10"/>
        <v>-0.133709270509823</v>
      </c>
      <c r="S140" t="s">
        <v>730</v>
      </c>
      <c r="T140">
        <v>6.99</v>
      </c>
      <c r="U140">
        <v>3091.199</v>
      </c>
      <c r="V140" s="1">
        <f t="shared" si="11"/>
        <v>0.318867924528302</v>
      </c>
      <c r="W140" s="1">
        <f t="shared" si="12"/>
        <v>0.0720837107870134</v>
      </c>
      <c r="X140" t="s">
        <v>345</v>
      </c>
      <c r="Y140">
        <v>5.31</v>
      </c>
      <c r="Z140">
        <v>2858.205</v>
      </c>
      <c r="AA140" s="2">
        <f t="shared" si="13"/>
        <v>-0.240343347639485</v>
      </c>
      <c r="AB140" s="2">
        <f t="shared" si="14"/>
        <v>-0.0753733421885812</v>
      </c>
      <c r="AC140" t="s">
        <v>711</v>
      </c>
      <c r="AD140">
        <v>5.44</v>
      </c>
      <c r="AE140">
        <v>2802.979</v>
      </c>
      <c r="AF140" s="2">
        <f t="shared" si="15"/>
        <v>0.0244821092278721</v>
      </c>
      <c r="AG140" s="2">
        <f t="shared" si="16"/>
        <v>-0.0193219170773265</v>
      </c>
      <c r="AH140" t="s">
        <v>731</v>
      </c>
      <c r="AI140" t="s">
        <v>104</v>
      </c>
      <c r="AJ140" t="s">
        <v>625</v>
      </c>
    </row>
    <row r="141" spans="1:36">
      <c r="A141">
        <v>118049</v>
      </c>
      <c r="B141" t="s">
        <v>732</v>
      </c>
      <c r="C141">
        <v>688403</v>
      </c>
      <c r="D141" t="s">
        <v>733</v>
      </c>
      <c r="E141" t="s">
        <v>734</v>
      </c>
      <c r="F141" t="s">
        <v>56</v>
      </c>
      <c r="G141" t="s">
        <v>655</v>
      </c>
      <c r="H141" t="s">
        <v>33</v>
      </c>
      <c r="I141" t="s">
        <v>255</v>
      </c>
      <c r="J141" t="s">
        <v>255</v>
      </c>
      <c r="K141" t="s">
        <v>735</v>
      </c>
      <c r="L141">
        <v>10.13</v>
      </c>
      <c r="M141">
        <v>3244.487</v>
      </c>
      <c r="N141" t="s">
        <v>736</v>
      </c>
      <c r="O141">
        <v>8.03</v>
      </c>
      <c r="P141">
        <v>2756.34</v>
      </c>
      <c r="Q141" s="1">
        <f t="shared" si="9"/>
        <v>-0.207305034550839</v>
      </c>
      <c r="R141" s="1">
        <f t="shared" si="10"/>
        <v>-0.150454293698819</v>
      </c>
      <c r="S141" t="s">
        <v>346</v>
      </c>
      <c r="T141">
        <v>8.58</v>
      </c>
      <c r="U141">
        <v>3086.813</v>
      </c>
      <c r="V141" s="1">
        <f t="shared" si="11"/>
        <v>0.0684931506849316</v>
      </c>
      <c r="W141" s="1">
        <f t="shared" si="12"/>
        <v>0.119895586175871</v>
      </c>
      <c r="X141" t="s">
        <v>655</v>
      </c>
      <c r="Y141">
        <v>7.04</v>
      </c>
      <c r="Z141">
        <v>2869.834</v>
      </c>
      <c r="AA141" s="2">
        <f t="shared" si="13"/>
        <v>-0.179487179487179</v>
      </c>
      <c r="AB141" s="2">
        <f t="shared" si="14"/>
        <v>-0.0702922399251267</v>
      </c>
      <c r="AC141" t="s">
        <v>737</v>
      </c>
      <c r="AD141">
        <v>6.68</v>
      </c>
      <c r="AE141">
        <v>2811.035</v>
      </c>
      <c r="AF141" s="2">
        <f t="shared" si="15"/>
        <v>-0.0511363636363637</v>
      </c>
      <c r="AG141" s="2">
        <f t="shared" si="16"/>
        <v>-0.0204886415033065</v>
      </c>
      <c r="AH141" t="s">
        <v>738</v>
      </c>
      <c r="AI141" t="s">
        <v>41</v>
      </c>
      <c r="AJ141" t="s">
        <v>41</v>
      </c>
    </row>
    <row r="142" spans="1:36">
      <c r="A142">
        <v>123244</v>
      </c>
      <c r="B142" t="s">
        <v>739</v>
      </c>
      <c r="C142">
        <v>300893</v>
      </c>
      <c r="D142" t="s">
        <v>261</v>
      </c>
      <c r="E142" t="s">
        <v>740</v>
      </c>
      <c r="F142" t="s">
        <v>41</v>
      </c>
      <c r="G142" t="s">
        <v>741</v>
      </c>
      <c r="H142" t="s">
        <v>621</v>
      </c>
      <c r="I142" t="s">
        <v>255</v>
      </c>
      <c r="J142" t="s">
        <v>255</v>
      </c>
      <c r="K142" t="s">
        <v>552</v>
      </c>
      <c r="L142">
        <v>11.62</v>
      </c>
      <c r="M142">
        <v>3201.261</v>
      </c>
      <c r="N142" t="s">
        <v>695</v>
      </c>
      <c r="O142">
        <v>11.13</v>
      </c>
      <c r="P142">
        <v>3131.953</v>
      </c>
      <c r="Q142" s="1">
        <f t="shared" si="9"/>
        <v>-0.042168674698795</v>
      </c>
      <c r="R142" s="1">
        <f t="shared" si="10"/>
        <v>-0.0216502184607878</v>
      </c>
      <c r="S142" t="s">
        <v>523</v>
      </c>
      <c r="T142">
        <v>14.91</v>
      </c>
      <c r="U142">
        <v>3021.687</v>
      </c>
      <c r="V142" s="1">
        <f t="shared" si="11"/>
        <v>0.339622641509434</v>
      </c>
      <c r="W142" s="1">
        <f t="shared" si="12"/>
        <v>-0.0352067863087345</v>
      </c>
      <c r="X142" t="s">
        <v>741</v>
      </c>
      <c r="Y142">
        <v>13.88</v>
      </c>
      <c r="Z142">
        <v>2932.387</v>
      </c>
      <c r="AA142" s="2">
        <f t="shared" si="13"/>
        <v>-0.0690811535881958</v>
      </c>
      <c r="AB142" s="2">
        <f t="shared" si="14"/>
        <v>-0.0295530278284944</v>
      </c>
      <c r="AC142" t="s">
        <v>742</v>
      </c>
      <c r="AD142">
        <v>12.66</v>
      </c>
      <c r="AE142">
        <v>2848.772</v>
      </c>
      <c r="AF142" s="2">
        <f t="shared" si="15"/>
        <v>-0.0878962536023055</v>
      </c>
      <c r="AG142" s="2">
        <f t="shared" si="16"/>
        <v>-0.028514312742486</v>
      </c>
      <c r="AH142" t="s">
        <v>743</v>
      </c>
      <c r="AI142" t="s">
        <v>744</v>
      </c>
      <c r="AJ142" t="s">
        <v>625</v>
      </c>
    </row>
    <row r="143" spans="1:36">
      <c r="A143">
        <v>111021</v>
      </c>
      <c r="B143" t="s">
        <v>745</v>
      </c>
      <c r="C143">
        <v>605116</v>
      </c>
      <c r="D143" t="s">
        <v>746</v>
      </c>
      <c r="E143" t="s">
        <v>747</v>
      </c>
      <c r="F143" t="s">
        <v>56</v>
      </c>
      <c r="G143" t="s">
        <v>748</v>
      </c>
      <c r="H143" t="s">
        <v>33</v>
      </c>
      <c r="I143" t="s">
        <v>255</v>
      </c>
      <c r="J143" t="s">
        <v>255</v>
      </c>
      <c r="K143" t="s">
        <v>749</v>
      </c>
      <c r="L143">
        <v>24.71</v>
      </c>
      <c r="M143">
        <v>3182.381</v>
      </c>
      <c r="N143" t="s">
        <v>750</v>
      </c>
      <c r="O143">
        <v>22.36</v>
      </c>
      <c r="P143">
        <v>2770.976</v>
      </c>
      <c r="Q143" s="1">
        <f t="shared" si="9"/>
        <v>-0.0951031970862</v>
      </c>
      <c r="R143" s="1">
        <f t="shared" si="10"/>
        <v>-0.129275847235136</v>
      </c>
      <c r="S143" t="s">
        <v>751</v>
      </c>
      <c r="T143">
        <v>21.56</v>
      </c>
      <c r="U143">
        <v>3015.891</v>
      </c>
      <c r="V143" s="1">
        <f t="shared" si="11"/>
        <v>-0.0357781753130591</v>
      </c>
      <c r="W143" s="1">
        <f t="shared" si="12"/>
        <v>0.0883858250666913</v>
      </c>
      <c r="X143" t="s">
        <v>748</v>
      </c>
      <c r="Y143">
        <v>22.21</v>
      </c>
      <c r="Z143">
        <v>2890.897</v>
      </c>
      <c r="AA143" s="2">
        <f t="shared" si="13"/>
        <v>0.030148423005566</v>
      </c>
      <c r="AB143" s="2">
        <f t="shared" si="14"/>
        <v>-0.0414451318035036</v>
      </c>
      <c r="AC143" t="s">
        <v>752</v>
      </c>
      <c r="AD143">
        <v>22.66</v>
      </c>
      <c r="AE143">
        <v>2877.358</v>
      </c>
      <c r="AF143" s="2">
        <f t="shared" si="15"/>
        <v>0.0202611436289959</v>
      </c>
      <c r="AG143" s="2">
        <f t="shared" si="16"/>
        <v>-0.00468332147426898</v>
      </c>
      <c r="AH143" t="s">
        <v>753</v>
      </c>
      <c r="AI143" t="s">
        <v>41</v>
      </c>
      <c r="AJ143" t="s">
        <v>41</v>
      </c>
    </row>
    <row r="144" spans="1:36">
      <c r="A144">
        <v>111020</v>
      </c>
      <c r="B144" t="s">
        <v>754</v>
      </c>
      <c r="C144">
        <v>605166</v>
      </c>
      <c r="D144" t="s">
        <v>755</v>
      </c>
      <c r="E144" t="s">
        <v>756</v>
      </c>
      <c r="F144" t="s">
        <v>56</v>
      </c>
      <c r="G144" t="s">
        <v>697</v>
      </c>
      <c r="H144" t="s">
        <v>33</v>
      </c>
      <c r="I144" t="s">
        <v>255</v>
      </c>
      <c r="J144" t="s">
        <v>255</v>
      </c>
      <c r="K144" t="s">
        <v>757</v>
      </c>
      <c r="L144">
        <v>12</v>
      </c>
      <c r="M144">
        <v>3310.654</v>
      </c>
      <c r="N144" t="s">
        <v>351</v>
      </c>
      <c r="O144">
        <v>7.84</v>
      </c>
      <c r="P144">
        <v>2830.527</v>
      </c>
      <c r="Q144" s="1">
        <f t="shared" si="9"/>
        <v>-0.346666666666667</v>
      </c>
      <c r="R144" s="1">
        <f t="shared" si="10"/>
        <v>-0.145024819869428</v>
      </c>
      <c r="S144" t="s">
        <v>758</v>
      </c>
      <c r="T144">
        <v>10.95</v>
      </c>
      <c r="U144">
        <v>3091.678</v>
      </c>
      <c r="V144" s="1">
        <f t="shared" si="11"/>
        <v>0.396683673469388</v>
      </c>
      <c r="W144" s="1">
        <f t="shared" si="12"/>
        <v>0.092262324295087</v>
      </c>
      <c r="X144" t="s">
        <v>697</v>
      </c>
      <c r="Y144">
        <v>9.81</v>
      </c>
      <c r="Z144">
        <v>2964.216</v>
      </c>
      <c r="AA144" s="2">
        <f t="shared" si="13"/>
        <v>-0.104109589041096</v>
      </c>
      <c r="AB144" s="2">
        <f t="shared" si="14"/>
        <v>-0.0412274499478924</v>
      </c>
      <c r="AC144" t="s">
        <v>752</v>
      </c>
      <c r="AD144">
        <v>9</v>
      </c>
      <c r="AE144">
        <v>2877.358</v>
      </c>
      <c r="AF144" s="2">
        <f t="shared" si="15"/>
        <v>-0.0825688073394496</v>
      </c>
      <c r="AG144" s="2">
        <f t="shared" si="16"/>
        <v>-0.0293021831067641</v>
      </c>
      <c r="AH144" t="s">
        <v>759</v>
      </c>
      <c r="AI144" t="s">
        <v>41</v>
      </c>
      <c r="AJ144" t="s">
        <v>41</v>
      </c>
    </row>
    <row r="145" spans="1:36">
      <c r="A145">
        <v>113687</v>
      </c>
      <c r="B145" t="s">
        <v>760</v>
      </c>
      <c r="C145">
        <v>603067</v>
      </c>
      <c r="D145" t="s">
        <v>761</v>
      </c>
      <c r="E145" t="s">
        <v>762</v>
      </c>
      <c r="F145" t="s">
        <v>397</v>
      </c>
      <c r="G145" t="s">
        <v>763</v>
      </c>
      <c r="H145" t="s">
        <v>33</v>
      </c>
      <c r="I145" t="s">
        <v>255</v>
      </c>
      <c r="J145" t="s">
        <v>255</v>
      </c>
      <c r="K145" t="s">
        <v>764</v>
      </c>
      <c r="L145">
        <v>7.89</v>
      </c>
      <c r="M145">
        <v>3150.619</v>
      </c>
      <c r="N145" t="s">
        <v>765</v>
      </c>
      <c r="O145">
        <v>6.14</v>
      </c>
      <c r="P145">
        <v>2820.772</v>
      </c>
      <c r="Q145" s="1">
        <f t="shared" si="9"/>
        <v>-0.221799746514575</v>
      </c>
      <c r="R145" s="1">
        <f t="shared" si="10"/>
        <v>-0.104692760375025</v>
      </c>
      <c r="S145" t="s">
        <v>665</v>
      </c>
      <c r="T145">
        <v>7.42</v>
      </c>
      <c r="U145">
        <v>3065.403</v>
      </c>
      <c r="V145" s="1">
        <f t="shared" si="11"/>
        <v>0.208469055374593</v>
      </c>
      <c r="W145" s="1">
        <f t="shared" si="12"/>
        <v>0.0867248398665329</v>
      </c>
      <c r="X145" t="s">
        <v>763</v>
      </c>
      <c r="Y145">
        <v>8.15</v>
      </c>
      <c r="Z145">
        <v>2971.295</v>
      </c>
      <c r="AA145" s="2">
        <f t="shared" si="13"/>
        <v>0.0983827493261456</v>
      </c>
      <c r="AB145" s="2">
        <f t="shared" si="14"/>
        <v>-0.0307000417237145</v>
      </c>
      <c r="AC145" t="s">
        <v>690</v>
      </c>
      <c r="AD145">
        <v>8.46</v>
      </c>
      <c r="AE145">
        <v>2905.338</v>
      </c>
      <c r="AF145" s="2">
        <f t="shared" si="15"/>
        <v>0.038036809815951</v>
      </c>
      <c r="AG145" s="2">
        <f t="shared" si="16"/>
        <v>-0.0221980651534095</v>
      </c>
      <c r="AH145" t="s">
        <v>766</v>
      </c>
      <c r="AI145" t="s">
        <v>41</v>
      </c>
      <c r="AJ145" t="s">
        <v>41</v>
      </c>
    </row>
    <row r="146" spans="1:36">
      <c r="A146">
        <v>123243</v>
      </c>
      <c r="B146" t="s">
        <v>767</v>
      </c>
      <c r="C146">
        <v>301081</v>
      </c>
      <c r="D146" t="s">
        <v>768</v>
      </c>
      <c r="E146" t="s">
        <v>769</v>
      </c>
      <c r="F146" t="s">
        <v>31</v>
      </c>
      <c r="G146" t="s">
        <v>770</v>
      </c>
      <c r="H146" t="s">
        <v>33</v>
      </c>
      <c r="I146" t="s">
        <v>255</v>
      </c>
      <c r="J146" t="s">
        <v>255</v>
      </c>
      <c r="K146" t="s">
        <v>771</v>
      </c>
      <c r="L146">
        <v>9.27</v>
      </c>
      <c r="M146">
        <v>3213.586</v>
      </c>
      <c r="N146" t="s">
        <v>669</v>
      </c>
      <c r="O146">
        <v>10.76</v>
      </c>
      <c r="P146">
        <v>3031.636</v>
      </c>
      <c r="Q146" s="1">
        <f t="shared" si="9"/>
        <v>0.160733549083064</v>
      </c>
      <c r="R146" s="1">
        <f t="shared" si="10"/>
        <v>-0.0566189919921234</v>
      </c>
      <c r="S146" t="s">
        <v>772</v>
      </c>
      <c r="T146">
        <v>10.36</v>
      </c>
      <c r="U146">
        <v>2881.977</v>
      </c>
      <c r="V146" s="1">
        <f t="shared" si="11"/>
        <v>-0.0371747211895911</v>
      </c>
      <c r="W146" s="1">
        <f t="shared" si="12"/>
        <v>-0.0493657549916943</v>
      </c>
      <c r="X146" t="s">
        <v>770</v>
      </c>
      <c r="Y146">
        <v>6.66</v>
      </c>
      <c r="Z146">
        <v>2939.364</v>
      </c>
      <c r="AA146" s="2">
        <f t="shared" si="13"/>
        <v>-0.357142857142857</v>
      </c>
      <c r="AB146" s="2">
        <f t="shared" si="14"/>
        <v>0.019912372652523</v>
      </c>
      <c r="AC146" t="s">
        <v>748</v>
      </c>
      <c r="AD146">
        <v>6.69</v>
      </c>
      <c r="AE146">
        <v>2890.897</v>
      </c>
      <c r="AF146" s="2">
        <f t="shared" si="15"/>
        <v>0.00450450450450454</v>
      </c>
      <c r="AG146" s="2">
        <f t="shared" si="16"/>
        <v>-0.0164889411450913</v>
      </c>
      <c r="AH146" t="s">
        <v>773</v>
      </c>
      <c r="AI146" t="s">
        <v>41</v>
      </c>
      <c r="AJ146" t="s">
        <v>41</v>
      </c>
    </row>
    <row r="147" spans="1:36">
      <c r="A147">
        <v>123242</v>
      </c>
      <c r="B147" t="s">
        <v>774</v>
      </c>
      <c r="C147">
        <v>301131</v>
      </c>
      <c r="D147" t="s">
        <v>775</v>
      </c>
      <c r="E147" t="s">
        <v>776</v>
      </c>
      <c r="F147" t="s">
        <v>31</v>
      </c>
      <c r="G147" t="s">
        <v>777</v>
      </c>
      <c r="H147" t="s">
        <v>33</v>
      </c>
      <c r="I147" t="s">
        <v>255</v>
      </c>
      <c r="J147" t="s">
        <v>255</v>
      </c>
      <c r="K147" t="s">
        <v>778</v>
      </c>
      <c r="L147">
        <v>37.59</v>
      </c>
      <c r="M147">
        <v>3233.673</v>
      </c>
      <c r="N147" t="s">
        <v>779</v>
      </c>
      <c r="O147">
        <v>49.52</v>
      </c>
      <c r="P147">
        <v>2974.935</v>
      </c>
      <c r="Q147" s="1">
        <f t="shared" si="9"/>
        <v>0.317371641393988</v>
      </c>
      <c r="R147" s="1">
        <f t="shared" si="10"/>
        <v>-0.0800136562973436</v>
      </c>
      <c r="S147" t="s">
        <v>608</v>
      </c>
      <c r="T147">
        <v>27.9</v>
      </c>
      <c r="U147">
        <v>2789.486</v>
      </c>
      <c r="V147" s="1">
        <f t="shared" si="11"/>
        <v>-0.436591276252019</v>
      </c>
      <c r="W147" s="1">
        <f t="shared" si="12"/>
        <v>-0.0623371603077042</v>
      </c>
      <c r="X147" t="s">
        <v>777</v>
      </c>
      <c r="Y147">
        <v>32.73</v>
      </c>
      <c r="Z147">
        <v>2922.45</v>
      </c>
      <c r="AA147" s="2">
        <f t="shared" si="13"/>
        <v>0.173118279569892</v>
      </c>
      <c r="AB147" s="2">
        <f t="shared" si="14"/>
        <v>0.0476661291721844</v>
      </c>
      <c r="AC147" t="s">
        <v>780</v>
      </c>
      <c r="AD147">
        <v>33.34</v>
      </c>
      <c r="AE147">
        <v>2891.845</v>
      </c>
      <c r="AF147" s="2">
        <f t="shared" si="15"/>
        <v>0.0186373357775743</v>
      </c>
      <c r="AG147" s="2">
        <f t="shared" si="16"/>
        <v>-0.0104723776283598</v>
      </c>
      <c r="AH147" t="s">
        <v>781</v>
      </c>
      <c r="AI147" t="s">
        <v>41</v>
      </c>
      <c r="AJ147" t="s">
        <v>41</v>
      </c>
    </row>
    <row r="148" spans="1:36">
      <c r="A148">
        <v>123241</v>
      </c>
      <c r="B148" t="s">
        <v>782</v>
      </c>
      <c r="C148">
        <v>300870</v>
      </c>
      <c r="D148" t="s">
        <v>783</v>
      </c>
      <c r="E148" t="s">
        <v>784</v>
      </c>
      <c r="F148" t="s">
        <v>56</v>
      </c>
      <c r="G148" t="s">
        <v>785</v>
      </c>
      <c r="H148" t="s">
        <v>33</v>
      </c>
      <c r="I148" t="s">
        <v>255</v>
      </c>
      <c r="J148" t="s">
        <v>255</v>
      </c>
      <c r="K148" t="s">
        <v>786</v>
      </c>
      <c r="L148">
        <v>46.67</v>
      </c>
      <c r="M148">
        <v>3261.69</v>
      </c>
      <c r="N148" t="s">
        <v>779</v>
      </c>
      <c r="O148">
        <v>42.62</v>
      </c>
      <c r="P148">
        <v>2974.935</v>
      </c>
      <c r="Q148" s="1">
        <f t="shared" si="9"/>
        <v>-0.0867795157488752</v>
      </c>
      <c r="R148" s="1">
        <f t="shared" si="10"/>
        <v>-0.087916080314193</v>
      </c>
      <c r="S148" t="s">
        <v>608</v>
      </c>
      <c r="T148">
        <v>27.06</v>
      </c>
      <c r="U148">
        <v>2789.486</v>
      </c>
      <c r="V148" s="1">
        <f t="shared" si="11"/>
        <v>-0.365086813702487</v>
      </c>
      <c r="W148" s="1">
        <f t="shared" si="12"/>
        <v>-0.0623371603077042</v>
      </c>
      <c r="X148" t="s">
        <v>785</v>
      </c>
      <c r="Y148">
        <v>38.2</v>
      </c>
      <c r="Z148">
        <v>2949.933</v>
      </c>
      <c r="AA148" s="2">
        <f t="shared" si="13"/>
        <v>0.411677753141168</v>
      </c>
      <c r="AB148" s="2">
        <f t="shared" si="14"/>
        <v>0.0575184818995328</v>
      </c>
      <c r="AC148" t="s">
        <v>748</v>
      </c>
      <c r="AD148">
        <v>36.9</v>
      </c>
      <c r="AE148">
        <v>2890.897</v>
      </c>
      <c r="AF148" s="2">
        <f t="shared" si="15"/>
        <v>-0.0340314136125656</v>
      </c>
      <c r="AG148" s="2">
        <f t="shared" si="16"/>
        <v>-0.0200126579146035</v>
      </c>
      <c r="AH148" t="s">
        <v>787</v>
      </c>
      <c r="AI148" t="s">
        <v>41</v>
      </c>
      <c r="AJ148" t="s">
        <v>41</v>
      </c>
    </row>
    <row r="149" spans="1:36">
      <c r="A149">
        <v>113686</v>
      </c>
      <c r="B149" t="s">
        <v>788</v>
      </c>
      <c r="C149">
        <v>603289</v>
      </c>
      <c r="D149" t="s">
        <v>789</v>
      </c>
      <c r="E149" t="s">
        <v>756</v>
      </c>
      <c r="F149" t="s">
        <v>56</v>
      </c>
      <c r="G149" t="s">
        <v>790</v>
      </c>
      <c r="H149" t="s">
        <v>33</v>
      </c>
      <c r="I149" t="s">
        <v>255</v>
      </c>
      <c r="J149" t="s">
        <v>255</v>
      </c>
      <c r="K149" t="s">
        <v>791</v>
      </c>
      <c r="L149">
        <v>9.38</v>
      </c>
      <c r="M149">
        <v>3176.176</v>
      </c>
      <c r="N149" t="s">
        <v>792</v>
      </c>
      <c r="O149">
        <v>6.91</v>
      </c>
      <c r="P149">
        <v>2730.152</v>
      </c>
      <c r="Q149" s="1">
        <f t="shared" si="9"/>
        <v>-0.263326226012793</v>
      </c>
      <c r="R149" s="1">
        <f t="shared" si="10"/>
        <v>-0.140427986358439</v>
      </c>
      <c r="S149" t="s">
        <v>793</v>
      </c>
      <c r="T149">
        <v>9.67</v>
      </c>
      <c r="U149">
        <v>3145.774</v>
      </c>
      <c r="V149" s="1">
        <f t="shared" si="11"/>
        <v>0.399421128798842</v>
      </c>
      <c r="W149" s="1">
        <f t="shared" si="12"/>
        <v>0.152234014809432</v>
      </c>
      <c r="X149" t="s">
        <v>790</v>
      </c>
      <c r="Y149">
        <v>8.46</v>
      </c>
      <c r="Z149">
        <v>2997.011</v>
      </c>
      <c r="AA149" s="2">
        <f t="shared" si="13"/>
        <v>-0.125129265770424</v>
      </c>
      <c r="AB149" s="2">
        <f t="shared" si="14"/>
        <v>-0.0472897925915848</v>
      </c>
      <c r="AC149" t="s">
        <v>794</v>
      </c>
      <c r="AD149">
        <v>7.48</v>
      </c>
      <c r="AE149">
        <v>2901.952</v>
      </c>
      <c r="AF149" s="2">
        <f t="shared" si="15"/>
        <v>-0.115839243498818</v>
      </c>
      <c r="AG149" s="2">
        <f t="shared" si="16"/>
        <v>-0.0317179349692076</v>
      </c>
      <c r="AH149" t="s">
        <v>795</v>
      </c>
      <c r="AI149" t="s">
        <v>41</v>
      </c>
      <c r="AJ149" t="s">
        <v>41</v>
      </c>
    </row>
    <row r="150" spans="1:36">
      <c r="A150">
        <v>118048</v>
      </c>
      <c r="B150" t="s">
        <v>796</v>
      </c>
      <c r="C150">
        <v>688135</v>
      </c>
      <c r="D150" t="s">
        <v>797</v>
      </c>
      <c r="E150" t="s">
        <v>483</v>
      </c>
      <c r="F150" t="s">
        <v>31</v>
      </c>
      <c r="G150" t="s">
        <v>790</v>
      </c>
      <c r="H150" t="s">
        <v>33</v>
      </c>
      <c r="I150" t="s">
        <v>255</v>
      </c>
      <c r="J150" t="s">
        <v>255</v>
      </c>
      <c r="K150" t="s">
        <v>798</v>
      </c>
      <c r="L150">
        <v>19.15</v>
      </c>
      <c r="M150">
        <v>3285.884</v>
      </c>
      <c r="N150" t="s">
        <v>799</v>
      </c>
      <c r="O150">
        <v>22.24</v>
      </c>
      <c r="P150">
        <v>2958.986</v>
      </c>
      <c r="Q150" s="1">
        <f t="shared" si="9"/>
        <v>0.161357702349869</v>
      </c>
      <c r="R150" s="1">
        <f t="shared" si="10"/>
        <v>-0.0994855570068816</v>
      </c>
      <c r="S150" t="s">
        <v>800</v>
      </c>
      <c r="T150">
        <v>13.43</v>
      </c>
      <c r="U150">
        <v>2702.185</v>
      </c>
      <c r="V150" s="1">
        <f t="shared" si="11"/>
        <v>-0.39613309352518</v>
      </c>
      <c r="W150" s="1">
        <f t="shared" si="12"/>
        <v>-0.0867868249461133</v>
      </c>
      <c r="X150" t="s">
        <v>790</v>
      </c>
      <c r="Y150">
        <v>14.79</v>
      </c>
      <c r="Z150">
        <v>2997.011</v>
      </c>
      <c r="AA150" s="2">
        <f t="shared" si="13"/>
        <v>0.10126582278481</v>
      </c>
      <c r="AB150" s="2">
        <f t="shared" si="14"/>
        <v>0.109106519353782</v>
      </c>
      <c r="AC150" t="s">
        <v>801</v>
      </c>
      <c r="AD150">
        <v>15.78</v>
      </c>
      <c r="AE150">
        <v>2982.309</v>
      </c>
      <c r="AF150" s="2">
        <f t="shared" si="15"/>
        <v>0.0669371196754564</v>
      </c>
      <c r="AG150" s="2">
        <f t="shared" si="16"/>
        <v>-0.00490555423386827</v>
      </c>
      <c r="AH150" t="s">
        <v>795</v>
      </c>
      <c r="AI150" t="s">
        <v>41</v>
      </c>
      <c r="AJ150" t="s">
        <v>41</v>
      </c>
    </row>
    <row r="151" spans="1:36">
      <c r="A151">
        <v>113685</v>
      </c>
      <c r="B151" t="s">
        <v>802</v>
      </c>
      <c r="C151">
        <v>603305</v>
      </c>
      <c r="D151" t="s">
        <v>803</v>
      </c>
      <c r="E151" t="s">
        <v>804</v>
      </c>
      <c r="F151" t="s">
        <v>41</v>
      </c>
      <c r="G151" t="s">
        <v>689</v>
      </c>
      <c r="H151" t="s">
        <v>621</v>
      </c>
      <c r="I151" t="s">
        <v>255</v>
      </c>
      <c r="J151" t="s">
        <v>255</v>
      </c>
      <c r="K151" t="s">
        <v>805</v>
      </c>
      <c r="L151">
        <v>25.78</v>
      </c>
      <c r="M151">
        <v>3312.558</v>
      </c>
      <c r="N151" t="s">
        <v>586</v>
      </c>
      <c r="O151">
        <v>25.99</v>
      </c>
      <c r="P151">
        <v>3198.836</v>
      </c>
      <c r="Q151" s="1">
        <f t="shared" si="9"/>
        <v>0.00814584949573302</v>
      </c>
      <c r="R151" s="1">
        <f t="shared" si="10"/>
        <v>-0.0343305687024952</v>
      </c>
      <c r="S151" t="s">
        <v>806</v>
      </c>
      <c r="T151">
        <v>13.31</v>
      </c>
      <c r="U151">
        <v>3148.021</v>
      </c>
      <c r="V151" s="1">
        <f t="shared" si="11"/>
        <v>-0.487879953828395</v>
      </c>
      <c r="W151" s="1">
        <f t="shared" si="12"/>
        <v>-0.0158854658381985</v>
      </c>
      <c r="X151" t="s">
        <v>689</v>
      </c>
      <c r="Y151">
        <v>11.83</v>
      </c>
      <c r="Z151">
        <v>3032.633</v>
      </c>
      <c r="AA151" s="2">
        <f t="shared" si="13"/>
        <v>-0.111194590533434</v>
      </c>
      <c r="AB151" s="2">
        <f t="shared" si="14"/>
        <v>-0.0366541392195288</v>
      </c>
      <c r="AC151" t="s">
        <v>770</v>
      </c>
      <c r="AD151">
        <v>9.99</v>
      </c>
      <c r="AE151">
        <v>2939.364</v>
      </c>
      <c r="AF151" s="2">
        <f t="shared" si="15"/>
        <v>-0.155536770921386</v>
      </c>
      <c r="AG151" s="2">
        <f t="shared" si="16"/>
        <v>-0.030755122693712</v>
      </c>
      <c r="AH151" t="s">
        <v>807</v>
      </c>
      <c r="AI151" t="s">
        <v>808</v>
      </c>
      <c r="AJ151" t="s">
        <v>625</v>
      </c>
    </row>
    <row r="152" spans="1:36">
      <c r="A152">
        <v>111019</v>
      </c>
      <c r="B152" t="s">
        <v>809</v>
      </c>
      <c r="C152">
        <v>605366</v>
      </c>
      <c r="D152" t="s">
        <v>810</v>
      </c>
      <c r="E152" t="s">
        <v>304</v>
      </c>
      <c r="F152" t="s">
        <v>56</v>
      </c>
      <c r="G152" t="s">
        <v>811</v>
      </c>
      <c r="H152" t="s">
        <v>33</v>
      </c>
      <c r="I152" t="s">
        <v>255</v>
      </c>
      <c r="J152" t="s">
        <v>255</v>
      </c>
      <c r="K152" t="s">
        <v>812</v>
      </c>
      <c r="L152">
        <v>10.2</v>
      </c>
      <c r="M152">
        <v>3275.413</v>
      </c>
      <c r="N152" t="s">
        <v>675</v>
      </c>
      <c r="O152">
        <v>8.1</v>
      </c>
      <c r="P152">
        <v>3096.922</v>
      </c>
      <c r="Q152" s="1">
        <f t="shared" si="9"/>
        <v>-0.205882352941176</v>
      </c>
      <c r="R152" s="1">
        <f t="shared" si="10"/>
        <v>-0.05449419660971</v>
      </c>
      <c r="S152" t="s">
        <v>682</v>
      </c>
      <c r="T152">
        <v>8.78</v>
      </c>
      <c r="U152">
        <v>2832.279</v>
      </c>
      <c r="V152" s="1">
        <f t="shared" si="11"/>
        <v>0.0839506172839506</v>
      </c>
      <c r="W152" s="1">
        <f t="shared" si="12"/>
        <v>-0.0854535567896124</v>
      </c>
      <c r="X152" t="s">
        <v>811</v>
      </c>
      <c r="Y152">
        <v>6.84</v>
      </c>
      <c r="Z152">
        <v>3071.381</v>
      </c>
      <c r="AA152" s="2">
        <f t="shared" si="13"/>
        <v>-0.220956719817768</v>
      </c>
      <c r="AB152" s="2">
        <f t="shared" si="14"/>
        <v>0.0844203554805158</v>
      </c>
      <c r="AC152" t="s">
        <v>793</v>
      </c>
      <c r="AD152">
        <v>7.08</v>
      </c>
      <c r="AE152">
        <v>3145.774</v>
      </c>
      <c r="AF152" s="2">
        <f t="shared" si="15"/>
        <v>0.0350877192982456</v>
      </c>
      <c r="AG152" s="2">
        <f t="shared" si="16"/>
        <v>0.0242213518934968</v>
      </c>
      <c r="AH152" t="s">
        <v>813</v>
      </c>
      <c r="AI152" t="s">
        <v>41</v>
      </c>
      <c r="AJ152" t="s">
        <v>41</v>
      </c>
    </row>
    <row r="153" spans="1:36">
      <c r="A153">
        <v>113684</v>
      </c>
      <c r="B153" t="s">
        <v>814</v>
      </c>
      <c r="C153">
        <v>603319</v>
      </c>
      <c r="D153" t="s">
        <v>815</v>
      </c>
      <c r="E153" t="s">
        <v>816</v>
      </c>
      <c r="F153" t="s">
        <v>41</v>
      </c>
      <c r="G153" t="s">
        <v>817</v>
      </c>
      <c r="H153" t="s">
        <v>621</v>
      </c>
      <c r="I153" t="s">
        <v>255</v>
      </c>
      <c r="J153" t="s">
        <v>255</v>
      </c>
      <c r="K153" t="s">
        <v>818</v>
      </c>
      <c r="L153">
        <v>10.09</v>
      </c>
      <c r="M153">
        <v>3367.031</v>
      </c>
      <c r="N153" t="s">
        <v>695</v>
      </c>
      <c r="O153">
        <v>11.18</v>
      </c>
      <c r="P153">
        <v>3131.953</v>
      </c>
      <c r="Q153" s="1">
        <f t="shared" si="9"/>
        <v>0.10802775024777</v>
      </c>
      <c r="R153" s="1">
        <f t="shared" si="10"/>
        <v>-0.0698175930070142</v>
      </c>
      <c r="S153" t="s">
        <v>819</v>
      </c>
      <c r="T153">
        <v>13.31</v>
      </c>
      <c r="U153">
        <v>3040.972</v>
      </c>
      <c r="V153" s="1">
        <f t="shared" si="11"/>
        <v>0.190518783542039</v>
      </c>
      <c r="W153" s="1">
        <f t="shared" si="12"/>
        <v>-0.02904928649951</v>
      </c>
      <c r="X153" t="s">
        <v>817</v>
      </c>
      <c r="Y153">
        <v>12.15</v>
      </c>
      <c r="Z153">
        <v>3077.379</v>
      </c>
      <c r="AA153" s="2">
        <f t="shared" si="13"/>
        <v>-0.087152516904583</v>
      </c>
      <c r="AB153" s="2">
        <f t="shared" si="14"/>
        <v>0.0119721589018247</v>
      </c>
      <c r="AC153" t="s">
        <v>820</v>
      </c>
      <c r="AD153">
        <v>12.46</v>
      </c>
      <c r="AE153">
        <v>3113.043</v>
      </c>
      <c r="AF153" s="2">
        <f t="shared" si="15"/>
        <v>0.0255144032921811</v>
      </c>
      <c r="AG153" s="2">
        <f t="shared" si="16"/>
        <v>0.011589082787658</v>
      </c>
      <c r="AH153" t="s">
        <v>821</v>
      </c>
      <c r="AI153" t="s">
        <v>537</v>
      </c>
      <c r="AJ153" t="s">
        <v>625</v>
      </c>
    </row>
    <row r="154" spans="1:36">
      <c r="A154">
        <v>113683</v>
      </c>
      <c r="B154" t="s">
        <v>822</v>
      </c>
      <c r="C154">
        <v>603568</v>
      </c>
      <c r="D154" t="s">
        <v>823</v>
      </c>
      <c r="E154" t="s">
        <v>824</v>
      </c>
      <c r="F154" t="s">
        <v>397</v>
      </c>
      <c r="G154" t="s">
        <v>825</v>
      </c>
      <c r="H154" t="s">
        <v>33</v>
      </c>
      <c r="I154" t="s">
        <v>255</v>
      </c>
      <c r="J154" t="s">
        <v>255</v>
      </c>
      <c r="K154" t="s">
        <v>826</v>
      </c>
      <c r="L154">
        <v>18.74</v>
      </c>
      <c r="M154">
        <v>3279.605</v>
      </c>
      <c r="N154" t="s">
        <v>827</v>
      </c>
      <c r="O154">
        <v>16.45</v>
      </c>
      <c r="P154">
        <v>2968.761</v>
      </c>
      <c r="Q154" s="1">
        <f t="shared" si="9"/>
        <v>-0.122198505869797</v>
      </c>
      <c r="R154" s="1">
        <f t="shared" si="10"/>
        <v>-0.0947809263615588</v>
      </c>
      <c r="S154" t="s">
        <v>800</v>
      </c>
      <c r="T154">
        <v>14.21</v>
      </c>
      <c r="U154">
        <v>2702.185</v>
      </c>
      <c r="V154" s="1">
        <f t="shared" si="11"/>
        <v>-0.136170212765957</v>
      </c>
      <c r="W154" s="1">
        <f t="shared" si="12"/>
        <v>-0.0897936883433864</v>
      </c>
      <c r="X154" t="s">
        <v>825</v>
      </c>
      <c r="Y154">
        <v>17.51</v>
      </c>
      <c r="Z154">
        <v>3010.664</v>
      </c>
      <c r="AA154" s="2">
        <f t="shared" si="13"/>
        <v>0.232230823363828</v>
      </c>
      <c r="AB154" s="2">
        <f t="shared" si="14"/>
        <v>0.114159097175064</v>
      </c>
      <c r="AC154" t="s">
        <v>828</v>
      </c>
      <c r="AD154">
        <v>19.36</v>
      </c>
      <c r="AE154">
        <v>3044.595</v>
      </c>
      <c r="AF154" s="2">
        <f t="shared" si="15"/>
        <v>0.105653912050257</v>
      </c>
      <c r="AG154" s="2">
        <f t="shared" si="16"/>
        <v>0.0112702712757052</v>
      </c>
      <c r="AH154" t="s">
        <v>829</v>
      </c>
      <c r="AI154" t="s">
        <v>63</v>
      </c>
      <c r="AJ154" t="s">
        <v>625</v>
      </c>
    </row>
    <row r="155" spans="1:36">
      <c r="A155">
        <v>113682</v>
      </c>
      <c r="B155" t="s">
        <v>830</v>
      </c>
      <c r="C155">
        <v>603939</v>
      </c>
      <c r="D155" t="s">
        <v>831</v>
      </c>
      <c r="E155" t="s">
        <v>832</v>
      </c>
      <c r="F155" t="s">
        <v>397</v>
      </c>
      <c r="G155" t="s">
        <v>833</v>
      </c>
      <c r="H155" t="s">
        <v>33</v>
      </c>
      <c r="I155" t="s">
        <v>255</v>
      </c>
      <c r="J155" t="s">
        <v>255</v>
      </c>
      <c r="K155" t="s">
        <v>728</v>
      </c>
      <c r="L155">
        <v>32.71</v>
      </c>
      <c r="M155">
        <v>3328.393</v>
      </c>
      <c r="N155" t="s">
        <v>710</v>
      </c>
      <c r="O155">
        <v>30.02</v>
      </c>
      <c r="P155">
        <v>3054.366</v>
      </c>
      <c r="Q155" s="1">
        <f t="shared" si="9"/>
        <v>-0.0822378477529808</v>
      </c>
      <c r="R155" s="1">
        <f t="shared" si="10"/>
        <v>-0.0823301214730352</v>
      </c>
      <c r="S155" t="s">
        <v>682</v>
      </c>
      <c r="T155">
        <v>31.44</v>
      </c>
      <c r="U155">
        <v>2832.279</v>
      </c>
      <c r="V155" s="1">
        <f t="shared" si="11"/>
        <v>0.0473017988007995</v>
      </c>
      <c r="W155" s="1">
        <f t="shared" si="12"/>
        <v>-0.0727113253617936</v>
      </c>
      <c r="X155" t="s">
        <v>833</v>
      </c>
      <c r="Y155">
        <v>31.07</v>
      </c>
      <c r="Z155">
        <v>3039.306</v>
      </c>
      <c r="AA155" s="2">
        <f t="shared" si="13"/>
        <v>-0.0117684478371502</v>
      </c>
      <c r="AB155" s="2">
        <f t="shared" si="14"/>
        <v>0.0730955530864015</v>
      </c>
      <c r="AC155" t="s">
        <v>834</v>
      </c>
      <c r="AD155">
        <v>31.8</v>
      </c>
      <c r="AE155">
        <v>2993.139</v>
      </c>
      <c r="AF155" s="2">
        <f t="shared" si="15"/>
        <v>0.0234953331187641</v>
      </c>
      <c r="AG155" s="2">
        <f t="shared" si="16"/>
        <v>-0.0151899808706329</v>
      </c>
      <c r="AH155" t="s">
        <v>835</v>
      </c>
      <c r="AI155" t="s">
        <v>41</v>
      </c>
      <c r="AJ155" t="s">
        <v>41</v>
      </c>
    </row>
    <row r="156" spans="1:36">
      <c r="A156">
        <v>127105</v>
      </c>
      <c r="B156" t="s">
        <v>836</v>
      </c>
      <c r="C156">
        <v>2442</v>
      </c>
      <c r="D156" t="s">
        <v>837</v>
      </c>
      <c r="E156" t="s">
        <v>838</v>
      </c>
      <c r="F156" t="s">
        <v>56</v>
      </c>
      <c r="G156" t="s">
        <v>839</v>
      </c>
      <c r="H156" t="s">
        <v>33</v>
      </c>
      <c r="I156" t="s">
        <v>255</v>
      </c>
      <c r="J156" t="s">
        <v>255</v>
      </c>
      <c r="K156" t="s">
        <v>749</v>
      </c>
      <c r="L156">
        <v>4.59</v>
      </c>
      <c r="M156">
        <v>3182.381</v>
      </c>
      <c r="N156" t="s">
        <v>710</v>
      </c>
      <c r="O156">
        <v>5.47</v>
      </c>
      <c r="P156">
        <v>3054.366</v>
      </c>
      <c r="Q156" s="1">
        <f t="shared" si="9"/>
        <v>0.191721132897603</v>
      </c>
      <c r="R156" s="1">
        <f t="shared" si="10"/>
        <v>-0.0402261702794228</v>
      </c>
      <c r="S156" t="s">
        <v>779</v>
      </c>
      <c r="T156">
        <v>6.63</v>
      </c>
      <c r="U156">
        <v>2974.935</v>
      </c>
      <c r="V156" s="1">
        <f t="shared" si="11"/>
        <v>0.212065813528336</v>
      </c>
      <c r="W156" s="1">
        <f t="shared" si="12"/>
        <v>-0.026005724264872</v>
      </c>
      <c r="X156" t="s">
        <v>839</v>
      </c>
      <c r="Y156">
        <v>4.14</v>
      </c>
      <c r="Z156">
        <v>2770.74</v>
      </c>
      <c r="AA156" s="2">
        <f t="shared" si="13"/>
        <v>-0.375565610859729</v>
      </c>
      <c r="AB156" s="2">
        <f t="shared" si="14"/>
        <v>-0.0686384744540638</v>
      </c>
      <c r="AC156" t="s">
        <v>840</v>
      </c>
      <c r="AD156">
        <v>4.15</v>
      </c>
      <c r="AE156">
        <v>3039.931</v>
      </c>
      <c r="AF156" s="2">
        <f t="shared" si="15"/>
        <v>0.00241545893719823</v>
      </c>
      <c r="AG156" s="2">
        <f t="shared" si="16"/>
        <v>0.0971549116842433</v>
      </c>
      <c r="AH156" t="s">
        <v>841</v>
      </c>
      <c r="AI156" t="s">
        <v>41</v>
      </c>
      <c r="AJ156" t="s">
        <v>41</v>
      </c>
    </row>
    <row r="157" spans="1:36">
      <c r="A157">
        <v>123240</v>
      </c>
      <c r="B157" t="s">
        <v>842</v>
      </c>
      <c r="C157">
        <v>300358</v>
      </c>
      <c r="D157" t="s">
        <v>843</v>
      </c>
      <c r="E157" t="s">
        <v>55</v>
      </c>
      <c r="F157" t="s">
        <v>397</v>
      </c>
      <c r="G157" t="s">
        <v>210</v>
      </c>
      <c r="H157" t="s">
        <v>33</v>
      </c>
      <c r="I157" t="s">
        <v>255</v>
      </c>
      <c r="J157" t="s">
        <v>255</v>
      </c>
      <c r="K157" t="s">
        <v>681</v>
      </c>
      <c r="L157">
        <v>14.39</v>
      </c>
      <c r="M157">
        <v>3196.609</v>
      </c>
      <c r="N157" t="s">
        <v>844</v>
      </c>
      <c r="O157">
        <v>11.84</v>
      </c>
      <c r="P157">
        <v>3061.856</v>
      </c>
      <c r="Q157" s="1">
        <f t="shared" si="9"/>
        <v>-0.177206393328701</v>
      </c>
      <c r="R157" s="1">
        <f t="shared" si="10"/>
        <v>-0.0421549836091933</v>
      </c>
      <c r="S157" t="s">
        <v>779</v>
      </c>
      <c r="T157">
        <v>10.6</v>
      </c>
      <c r="U157">
        <v>2974.935</v>
      </c>
      <c r="V157" s="1">
        <f t="shared" si="11"/>
        <v>-0.10472972972973</v>
      </c>
      <c r="W157" s="1">
        <f t="shared" si="12"/>
        <v>-0.0283883370086641</v>
      </c>
      <c r="X157" t="s">
        <v>210</v>
      </c>
      <c r="Y157">
        <v>8.02</v>
      </c>
      <c r="Z157">
        <v>2788.548</v>
      </c>
      <c r="AA157" s="2">
        <f t="shared" si="13"/>
        <v>-0.243396226415094</v>
      </c>
      <c r="AB157" s="2">
        <f t="shared" si="14"/>
        <v>-0.0626524613142809</v>
      </c>
      <c r="AC157" t="s">
        <v>845</v>
      </c>
      <c r="AD157">
        <v>8.98</v>
      </c>
      <c r="AE157">
        <v>3015.171</v>
      </c>
      <c r="AF157" s="2">
        <f t="shared" si="15"/>
        <v>0.119700748129676</v>
      </c>
      <c r="AG157" s="2">
        <f t="shared" si="16"/>
        <v>0.081269176646771</v>
      </c>
      <c r="AH157" t="s">
        <v>846</v>
      </c>
      <c r="AI157" t="s">
        <v>847</v>
      </c>
      <c r="AJ157" t="s">
        <v>625</v>
      </c>
    </row>
    <row r="158" spans="1:36">
      <c r="A158">
        <v>127104</v>
      </c>
      <c r="B158" t="s">
        <v>848</v>
      </c>
      <c r="C158">
        <v>2605</v>
      </c>
      <c r="D158" t="s">
        <v>849</v>
      </c>
      <c r="E158" t="s">
        <v>850</v>
      </c>
      <c r="F158" t="s">
        <v>31</v>
      </c>
      <c r="G158" t="s">
        <v>851</v>
      </c>
      <c r="H158" t="s">
        <v>33</v>
      </c>
      <c r="I158" t="s">
        <v>255</v>
      </c>
      <c r="J158" t="s">
        <v>255</v>
      </c>
      <c r="K158" t="s">
        <v>852</v>
      </c>
      <c r="L158">
        <v>15.48</v>
      </c>
      <c r="M158">
        <v>3258.034</v>
      </c>
      <c r="N158" t="s">
        <v>853</v>
      </c>
      <c r="O158">
        <v>34.29</v>
      </c>
      <c r="P158">
        <v>3327.182</v>
      </c>
      <c r="Q158" s="1">
        <f t="shared" si="9"/>
        <v>1.21511627906977</v>
      </c>
      <c r="R158" s="1">
        <f t="shared" si="10"/>
        <v>0.0212238423540085</v>
      </c>
      <c r="S158" t="s">
        <v>854</v>
      </c>
      <c r="T158">
        <v>28.5</v>
      </c>
      <c r="U158">
        <v>3204.749</v>
      </c>
      <c r="V158" s="1">
        <f t="shared" si="11"/>
        <v>-0.168853893263342</v>
      </c>
      <c r="W158" s="1">
        <f t="shared" si="12"/>
        <v>-0.0367978066724333</v>
      </c>
      <c r="X158" t="s">
        <v>851</v>
      </c>
      <c r="Y158">
        <v>22.47</v>
      </c>
      <c r="Z158">
        <v>2906.109</v>
      </c>
      <c r="AA158" s="2">
        <f t="shared" si="13"/>
        <v>-0.211578947368421</v>
      </c>
      <c r="AB158" s="2">
        <f t="shared" si="14"/>
        <v>-0.0931867051054544</v>
      </c>
      <c r="AC158" t="s">
        <v>855</v>
      </c>
      <c r="AD158">
        <v>22.64</v>
      </c>
      <c r="AE158">
        <v>2977.022</v>
      </c>
      <c r="AF158" s="2">
        <f t="shared" si="15"/>
        <v>0.00756564307966185</v>
      </c>
      <c r="AG158" s="2">
        <f t="shared" si="16"/>
        <v>0.0244013559023423</v>
      </c>
      <c r="AH158" t="s">
        <v>856</v>
      </c>
      <c r="AI158" t="s">
        <v>41</v>
      </c>
      <c r="AJ158" t="s">
        <v>41</v>
      </c>
    </row>
    <row r="159" spans="1:36">
      <c r="A159">
        <v>123239</v>
      </c>
      <c r="B159" t="s">
        <v>857</v>
      </c>
      <c r="C159">
        <v>300488</v>
      </c>
      <c r="D159" t="s">
        <v>858</v>
      </c>
      <c r="E159" t="s">
        <v>859</v>
      </c>
      <c r="F159" t="s">
        <v>31</v>
      </c>
      <c r="G159" t="s">
        <v>682</v>
      </c>
      <c r="H159" t="s">
        <v>33</v>
      </c>
      <c r="I159" t="s">
        <v>255</v>
      </c>
      <c r="J159" t="s">
        <v>255</v>
      </c>
      <c r="K159" t="s">
        <v>860</v>
      </c>
      <c r="L159">
        <v>21.66</v>
      </c>
      <c r="M159">
        <v>3280.463</v>
      </c>
      <c r="N159" t="s">
        <v>819</v>
      </c>
      <c r="O159">
        <v>23.63</v>
      </c>
      <c r="P159">
        <v>3040.972</v>
      </c>
      <c r="Q159" s="1">
        <f t="shared" si="9"/>
        <v>0.0909510618651892</v>
      </c>
      <c r="R159" s="1">
        <f t="shared" si="10"/>
        <v>-0.0730052434671569</v>
      </c>
      <c r="S159" t="s">
        <v>422</v>
      </c>
      <c r="T159">
        <v>23.15</v>
      </c>
      <c r="U159">
        <v>2918.715</v>
      </c>
      <c r="V159" s="1">
        <f t="shared" si="11"/>
        <v>-0.0203131612357173</v>
      </c>
      <c r="W159" s="1">
        <f t="shared" si="12"/>
        <v>-0.0402032639563929</v>
      </c>
      <c r="X159" t="s">
        <v>682</v>
      </c>
      <c r="Y159">
        <v>20.72</v>
      </c>
      <c r="Z159">
        <v>2832.279</v>
      </c>
      <c r="AA159" s="2">
        <f t="shared" si="13"/>
        <v>-0.104967602591793</v>
      </c>
      <c r="AB159" s="2">
        <f t="shared" si="14"/>
        <v>-0.0296144022283779</v>
      </c>
      <c r="AC159" t="s">
        <v>861</v>
      </c>
      <c r="AD159">
        <v>19.22</v>
      </c>
      <c r="AE159">
        <v>2988.358</v>
      </c>
      <c r="AF159" s="2">
        <f t="shared" si="15"/>
        <v>-0.0723938223938224</v>
      </c>
      <c r="AG159" s="2">
        <f t="shared" si="16"/>
        <v>0.0551072122485109</v>
      </c>
      <c r="AH159" t="s">
        <v>862</v>
      </c>
      <c r="AI159" t="s">
        <v>41</v>
      </c>
      <c r="AJ159" t="s">
        <v>41</v>
      </c>
    </row>
    <row r="160" spans="1:36">
      <c r="A160">
        <v>123238</v>
      </c>
      <c r="B160" t="s">
        <v>863</v>
      </c>
      <c r="C160">
        <v>300863</v>
      </c>
      <c r="D160" t="s">
        <v>864</v>
      </c>
      <c r="E160" t="s">
        <v>865</v>
      </c>
      <c r="F160" t="s">
        <v>41</v>
      </c>
      <c r="G160" t="s">
        <v>866</v>
      </c>
      <c r="H160" t="s">
        <v>621</v>
      </c>
      <c r="I160" t="s">
        <v>255</v>
      </c>
      <c r="J160" t="s">
        <v>255</v>
      </c>
      <c r="K160" t="s">
        <v>681</v>
      </c>
      <c r="L160">
        <v>30.49</v>
      </c>
      <c r="M160">
        <v>3196.609</v>
      </c>
      <c r="N160" t="s">
        <v>498</v>
      </c>
      <c r="O160">
        <v>25.32</v>
      </c>
      <c r="P160">
        <v>3053.279</v>
      </c>
      <c r="Q160" s="1">
        <f t="shared" si="9"/>
        <v>-0.169563791407019</v>
      </c>
      <c r="R160" s="1">
        <f t="shared" si="10"/>
        <v>-0.0448381394158622</v>
      </c>
      <c r="S160" t="s">
        <v>867</v>
      </c>
      <c r="T160">
        <v>24.49</v>
      </c>
      <c r="U160">
        <v>3003.438</v>
      </c>
      <c r="V160" s="1">
        <f t="shared" si="11"/>
        <v>-0.0327804107424961</v>
      </c>
      <c r="W160" s="1">
        <f t="shared" si="12"/>
        <v>-0.0163237620931464</v>
      </c>
      <c r="X160" t="s">
        <v>866</v>
      </c>
      <c r="Y160">
        <v>23.47</v>
      </c>
      <c r="Z160">
        <v>2886.65</v>
      </c>
      <c r="AA160" s="2">
        <f t="shared" si="13"/>
        <v>-0.041649652919559</v>
      </c>
      <c r="AB160" s="2">
        <f t="shared" si="14"/>
        <v>-0.0388847713853257</v>
      </c>
      <c r="AC160" t="s">
        <v>839</v>
      </c>
      <c r="AD160">
        <v>17.51</v>
      </c>
      <c r="AE160">
        <v>2770.74</v>
      </c>
      <c r="AF160" s="2">
        <f t="shared" si="15"/>
        <v>-0.253941201533873</v>
      </c>
      <c r="AG160" s="2">
        <f t="shared" si="16"/>
        <v>-0.0401538115116139</v>
      </c>
      <c r="AH160" t="s">
        <v>868</v>
      </c>
      <c r="AI160" t="s">
        <v>585</v>
      </c>
      <c r="AJ160" t="s">
        <v>625</v>
      </c>
    </row>
    <row r="161" spans="1:36">
      <c r="A161">
        <v>123237</v>
      </c>
      <c r="B161" t="s">
        <v>869</v>
      </c>
      <c r="C161">
        <v>300793</v>
      </c>
      <c r="D161" t="s">
        <v>870</v>
      </c>
      <c r="E161" t="s">
        <v>871</v>
      </c>
      <c r="F161" t="s">
        <v>31</v>
      </c>
      <c r="G161" t="s">
        <v>872</v>
      </c>
      <c r="H161" t="s">
        <v>33</v>
      </c>
      <c r="I161" t="s">
        <v>255</v>
      </c>
      <c r="J161" t="s">
        <v>255</v>
      </c>
      <c r="K161" t="s">
        <v>873</v>
      </c>
      <c r="L161">
        <v>15.44</v>
      </c>
      <c r="M161">
        <v>3227.027</v>
      </c>
      <c r="N161" t="s">
        <v>874</v>
      </c>
      <c r="O161">
        <v>15.92</v>
      </c>
      <c r="P161">
        <v>3179.042</v>
      </c>
      <c r="Q161" s="1">
        <f t="shared" si="9"/>
        <v>0.0310880829015544</v>
      </c>
      <c r="R161" s="1">
        <f t="shared" si="10"/>
        <v>-0.0148697237426275</v>
      </c>
      <c r="S161" t="s">
        <v>875</v>
      </c>
      <c r="T161">
        <v>17.33</v>
      </c>
      <c r="U161">
        <v>3284.16</v>
      </c>
      <c r="V161" s="1">
        <f t="shared" si="11"/>
        <v>0.0885678391959798</v>
      </c>
      <c r="W161" s="1">
        <f t="shared" si="12"/>
        <v>0.0330659362160047</v>
      </c>
      <c r="X161" t="s">
        <v>872</v>
      </c>
      <c r="Y161">
        <v>19.87</v>
      </c>
      <c r="Z161">
        <v>2954.349</v>
      </c>
      <c r="AA161" s="2">
        <f t="shared" si="13"/>
        <v>0.146566647432199</v>
      </c>
      <c r="AB161" s="2">
        <f t="shared" si="14"/>
        <v>-0.100424766150248</v>
      </c>
      <c r="AC161" t="s">
        <v>765</v>
      </c>
      <c r="AD161">
        <v>14.82</v>
      </c>
      <c r="AE161">
        <v>2820.772</v>
      </c>
      <c r="AF161" s="2">
        <f t="shared" si="15"/>
        <v>-0.25415198792149</v>
      </c>
      <c r="AG161" s="2">
        <f t="shared" si="16"/>
        <v>-0.0452136832852179</v>
      </c>
      <c r="AH161" t="s">
        <v>876</v>
      </c>
      <c r="AI161" t="s">
        <v>41</v>
      </c>
      <c r="AJ161" t="s">
        <v>41</v>
      </c>
    </row>
    <row r="162" spans="1:36">
      <c r="A162">
        <v>127103</v>
      </c>
      <c r="B162" t="s">
        <v>877</v>
      </c>
      <c r="C162">
        <v>2135</v>
      </c>
      <c r="D162" t="s">
        <v>878</v>
      </c>
      <c r="E162" t="s">
        <v>194</v>
      </c>
      <c r="F162" t="s">
        <v>397</v>
      </c>
      <c r="G162" t="s">
        <v>879</v>
      </c>
      <c r="H162" t="s">
        <v>33</v>
      </c>
      <c r="I162" t="s">
        <v>255</v>
      </c>
      <c r="J162" t="s">
        <v>255</v>
      </c>
      <c r="K162" t="s">
        <v>880</v>
      </c>
      <c r="L162">
        <v>6.59</v>
      </c>
      <c r="M162">
        <v>3312.348</v>
      </c>
      <c r="N162" t="s">
        <v>881</v>
      </c>
      <c r="O162">
        <v>6.33</v>
      </c>
      <c r="P162">
        <v>3252.975</v>
      </c>
      <c r="Q162" s="1">
        <f t="shared" si="9"/>
        <v>-0.039453717754173</v>
      </c>
      <c r="R162" s="1">
        <f t="shared" si="10"/>
        <v>-0.017924747037449</v>
      </c>
      <c r="S162" t="s">
        <v>567</v>
      </c>
      <c r="T162">
        <v>5.85</v>
      </c>
      <c r="U162">
        <v>3064.075</v>
      </c>
      <c r="V162" s="1">
        <f t="shared" si="11"/>
        <v>-0.075829383886256</v>
      </c>
      <c r="W162" s="1">
        <f t="shared" si="12"/>
        <v>-0.0580699206111329</v>
      </c>
      <c r="X162" t="s">
        <v>879</v>
      </c>
      <c r="Y162">
        <v>5.31</v>
      </c>
      <c r="Z162">
        <v>2967.247</v>
      </c>
      <c r="AA162" s="2">
        <f t="shared" si="13"/>
        <v>-0.0923076923076923</v>
      </c>
      <c r="AB162" s="2">
        <f t="shared" si="14"/>
        <v>-0.0316010541517424</v>
      </c>
      <c r="AC162" t="s">
        <v>765</v>
      </c>
      <c r="AD162">
        <v>4.96</v>
      </c>
      <c r="AE162">
        <v>2820.772</v>
      </c>
      <c r="AF162" s="2">
        <f t="shared" si="15"/>
        <v>-0.0659133709981167</v>
      </c>
      <c r="AG162" s="2">
        <f t="shared" si="16"/>
        <v>-0.0493639390317017</v>
      </c>
      <c r="AH162" t="s">
        <v>882</v>
      </c>
      <c r="AI162" t="s">
        <v>41</v>
      </c>
      <c r="AJ162" t="s">
        <v>41</v>
      </c>
    </row>
    <row r="163" spans="1:36">
      <c r="A163">
        <v>113681</v>
      </c>
      <c r="B163" t="s">
        <v>883</v>
      </c>
      <c r="C163">
        <v>603213</v>
      </c>
      <c r="D163" t="s">
        <v>884</v>
      </c>
      <c r="E163" t="s">
        <v>885</v>
      </c>
      <c r="F163" t="s">
        <v>56</v>
      </c>
      <c r="G163" t="s">
        <v>779</v>
      </c>
      <c r="H163" t="s">
        <v>33</v>
      </c>
      <c r="I163" t="s">
        <v>255</v>
      </c>
      <c r="J163" t="s">
        <v>255</v>
      </c>
      <c r="K163" t="s">
        <v>886</v>
      </c>
      <c r="L163">
        <v>13.14</v>
      </c>
      <c r="M163">
        <v>3234.91</v>
      </c>
      <c r="N163" t="s">
        <v>887</v>
      </c>
      <c r="O163">
        <v>10.88</v>
      </c>
      <c r="P163">
        <v>3150.128</v>
      </c>
      <c r="Q163" s="1">
        <f t="shared" si="9"/>
        <v>-0.171993911719939</v>
      </c>
      <c r="R163" s="1">
        <f t="shared" si="10"/>
        <v>-0.0262084571131808</v>
      </c>
      <c r="S163" t="s">
        <v>888</v>
      </c>
      <c r="T163">
        <v>9.98</v>
      </c>
      <c r="U163">
        <v>2962.244</v>
      </c>
      <c r="V163" s="1">
        <f t="shared" si="11"/>
        <v>-0.0827205882352941</v>
      </c>
      <c r="W163" s="1">
        <f t="shared" si="12"/>
        <v>-0.0596432906853309</v>
      </c>
      <c r="X163" t="s">
        <v>779</v>
      </c>
      <c r="Y163">
        <v>10.24</v>
      </c>
      <c r="Z163">
        <v>2974.935</v>
      </c>
      <c r="AA163" s="2">
        <f t="shared" si="13"/>
        <v>0.0260521042084168</v>
      </c>
      <c r="AB163" s="2">
        <f t="shared" si="14"/>
        <v>0.00428425207376563</v>
      </c>
      <c r="AC163" t="s">
        <v>600</v>
      </c>
      <c r="AD163">
        <v>11.08</v>
      </c>
      <c r="AE163">
        <v>2833.615</v>
      </c>
      <c r="AF163" s="2">
        <f t="shared" si="15"/>
        <v>0.08203125</v>
      </c>
      <c r="AG163" s="2">
        <f t="shared" si="16"/>
        <v>-0.047503558901287</v>
      </c>
      <c r="AH163" t="s">
        <v>889</v>
      </c>
      <c r="AI163" t="s">
        <v>41</v>
      </c>
      <c r="AJ163" t="s">
        <v>41</v>
      </c>
    </row>
    <row r="164" spans="1:36">
      <c r="A164">
        <v>127102</v>
      </c>
      <c r="B164" t="s">
        <v>890</v>
      </c>
      <c r="C164">
        <v>2761</v>
      </c>
      <c r="D164" t="s">
        <v>891</v>
      </c>
      <c r="E164" t="s">
        <v>55</v>
      </c>
      <c r="F164" t="s">
        <v>98</v>
      </c>
      <c r="G164" t="s">
        <v>892</v>
      </c>
      <c r="H164" t="s">
        <v>33</v>
      </c>
      <c r="I164" t="s">
        <v>255</v>
      </c>
      <c r="J164" t="s">
        <v>255</v>
      </c>
      <c r="K164" t="s">
        <v>757</v>
      </c>
      <c r="L164">
        <v>22.02</v>
      </c>
      <c r="M164">
        <v>3310.654</v>
      </c>
      <c r="N164" t="s">
        <v>893</v>
      </c>
      <c r="O164">
        <v>16.35</v>
      </c>
      <c r="P164">
        <v>3167.745</v>
      </c>
      <c r="Q164" s="1">
        <f t="shared" si="9"/>
        <v>-0.257493188010899</v>
      </c>
      <c r="R164" s="1">
        <f t="shared" si="10"/>
        <v>-0.0431663955218516</v>
      </c>
      <c r="S164" t="s">
        <v>894</v>
      </c>
      <c r="T164">
        <v>14.31</v>
      </c>
      <c r="U164">
        <v>3117.743</v>
      </c>
      <c r="V164" s="1">
        <f t="shared" si="11"/>
        <v>-0.124770642201835</v>
      </c>
      <c r="W164" s="1">
        <f t="shared" si="12"/>
        <v>-0.0157847301471551</v>
      </c>
      <c r="X164" t="s">
        <v>892</v>
      </c>
      <c r="Y164">
        <v>9.74</v>
      </c>
      <c r="Z164">
        <v>2918.813</v>
      </c>
      <c r="AA164" s="2">
        <f t="shared" si="13"/>
        <v>-0.319357092941999</v>
      </c>
      <c r="AB164" s="2">
        <f t="shared" si="14"/>
        <v>-0.0638057723167047</v>
      </c>
      <c r="AC164" t="s">
        <v>895</v>
      </c>
      <c r="AD164">
        <v>9.66</v>
      </c>
      <c r="AE164">
        <v>2893.989</v>
      </c>
      <c r="AF164" s="2">
        <f t="shared" si="15"/>
        <v>-0.00821355236139631</v>
      </c>
      <c r="AG164" s="2">
        <f t="shared" si="16"/>
        <v>-0.00850482713349573</v>
      </c>
      <c r="AH164" t="s">
        <v>896</v>
      </c>
      <c r="AI164" t="s">
        <v>41</v>
      </c>
      <c r="AJ164" t="s">
        <v>41</v>
      </c>
    </row>
    <row r="165" spans="1:36">
      <c r="A165">
        <v>111018</v>
      </c>
      <c r="B165" t="s">
        <v>897</v>
      </c>
      <c r="C165">
        <v>605077</v>
      </c>
      <c r="D165" t="s">
        <v>898</v>
      </c>
      <c r="E165" t="s">
        <v>899</v>
      </c>
      <c r="F165" t="s">
        <v>56</v>
      </c>
      <c r="G165" t="s">
        <v>892</v>
      </c>
      <c r="H165" t="s">
        <v>33</v>
      </c>
      <c r="I165" t="s">
        <v>255</v>
      </c>
      <c r="J165" t="s">
        <v>255</v>
      </c>
      <c r="K165" t="s">
        <v>900</v>
      </c>
      <c r="L165">
        <v>20.19</v>
      </c>
      <c r="M165">
        <v>3301.258</v>
      </c>
      <c r="N165" t="s">
        <v>695</v>
      </c>
      <c r="O165">
        <v>18.08</v>
      </c>
      <c r="P165">
        <v>3131.953</v>
      </c>
      <c r="Q165" s="1">
        <f t="shared" si="9"/>
        <v>-0.104507181773155</v>
      </c>
      <c r="R165" s="1">
        <f t="shared" si="10"/>
        <v>-0.0512849949928178</v>
      </c>
      <c r="S165" t="s">
        <v>901</v>
      </c>
      <c r="T165">
        <v>16.01</v>
      </c>
      <c r="U165">
        <v>3022.914</v>
      </c>
      <c r="V165" s="1">
        <f t="shared" si="11"/>
        <v>-0.114491150442478</v>
      </c>
      <c r="W165" s="1">
        <f t="shared" si="12"/>
        <v>-0.0348150179776005</v>
      </c>
      <c r="X165" t="s">
        <v>892</v>
      </c>
      <c r="Y165">
        <v>15.44</v>
      </c>
      <c r="Z165">
        <v>2918.813</v>
      </c>
      <c r="AA165" s="2">
        <f t="shared" si="13"/>
        <v>-0.0356027482823237</v>
      </c>
      <c r="AB165" s="2">
        <f t="shared" si="14"/>
        <v>-0.0344373012265649</v>
      </c>
      <c r="AC165" t="s">
        <v>902</v>
      </c>
      <c r="AD165">
        <v>15.57</v>
      </c>
      <c r="AE165">
        <v>2886.291</v>
      </c>
      <c r="AF165" s="2">
        <f t="shared" si="15"/>
        <v>0.00841968911917104</v>
      </c>
      <c r="AG165" s="2">
        <f t="shared" si="16"/>
        <v>-0.0111422006137426</v>
      </c>
      <c r="AH165" t="s">
        <v>896</v>
      </c>
      <c r="AI165" t="s">
        <v>41</v>
      </c>
      <c r="AJ165" t="s">
        <v>41</v>
      </c>
    </row>
    <row r="166" spans="1:36">
      <c r="A166">
        <v>113069</v>
      </c>
      <c r="B166" t="s">
        <v>903</v>
      </c>
      <c r="C166">
        <v>601137</v>
      </c>
      <c r="D166" t="s">
        <v>904</v>
      </c>
      <c r="E166" t="s">
        <v>905</v>
      </c>
      <c r="F166" t="s">
        <v>397</v>
      </c>
      <c r="G166" t="s">
        <v>579</v>
      </c>
      <c r="H166" t="s">
        <v>33</v>
      </c>
      <c r="I166" t="s">
        <v>255</v>
      </c>
      <c r="J166" t="s">
        <v>255</v>
      </c>
      <c r="K166" t="s">
        <v>728</v>
      </c>
      <c r="L166">
        <v>16.66</v>
      </c>
      <c r="M166">
        <v>3328.393</v>
      </c>
      <c r="N166" t="s">
        <v>906</v>
      </c>
      <c r="O166">
        <v>12.6</v>
      </c>
      <c r="P166">
        <v>3078.402</v>
      </c>
      <c r="Q166" s="1">
        <f t="shared" si="9"/>
        <v>-0.243697478991597</v>
      </c>
      <c r="R166" s="1">
        <f t="shared" si="10"/>
        <v>-0.0751086184834543</v>
      </c>
      <c r="S166" t="s">
        <v>907</v>
      </c>
      <c r="T166">
        <v>14.74</v>
      </c>
      <c r="U166">
        <v>3057.27</v>
      </c>
      <c r="V166" s="1">
        <f t="shared" si="11"/>
        <v>0.16984126984127</v>
      </c>
      <c r="W166" s="1">
        <f t="shared" si="12"/>
        <v>-0.00686460052975539</v>
      </c>
      <c r="X166" t="s">
        <v>579</v>
      </c>
      <c r="Y166">
        <v>13.43</v>
      </c>
      <c r="Z166">
        <v>2914.775</v>
      </c>
      <c r="AA166" s="2">
        <f t="shared" si="13"/>
        <v>-0.0888738127544098</v>
      </c>
      <c r="AB166" s="2">
        <f t="shared" si="14"/>
        <v>-0.0466085756246586</v>
      </c>
      <c r="AC166" t="s">
        <v>908</v>
      </c>
      <c r="AD166">
        <v>14.2</v>
      </c>
      <c r="AE166">
        <v>2845.784</v>
      </c>
      <c r="AF166" s="2">
        <f t="shared" si="15"/>
        <v>0.0573343261355175</v>
      </c>
      <c r="AG166" s="2">
        <f t="shared" si="16"/>
        <v>-0.0236694084449057</v>
      </c>
      <c r="AH166" t="s">
        <v>909</v>
      </c>
      <c r="AI166" t="s">
        <v>41</v>
      </c>
      <c r="AJ166" t="s">
        <v>41</v>
      </c>
    </row>
    <row r="167" spans="1:36">
      <c r="A167">
        <v>127101</v>
      </c>
      <c r="B167" t="s">
        <v>910</v>
      </c>
      <c r="C167">
        <v>1283</v>
      </c>
      <c r="D167" t="s">
        <v>911</v>
      </c>
      <c r="E167" t="s">
        <v>912</v>
      </c>
      <c r="F167" t="s">
        <v>41</v>
      </c>
      <c r="G167" t="s">
        <v>579</v>
      </c>
      <c r="H167" t="s">
        <v>621</v>
      </c>
      <c r="I167" t="s">
        <v>255</v>
      </c>
      <c r="J167" t="s">
        <v>255</v>
      </c>
      <c r="K167" t="s">
        <v>900</v>
      </c>
      <c r="L167">
        <v>51.98</v>
      </c>
      <c r="M167">
        <v>3301.258</v>
      </c>
      <c r="N167" t="s">
        <v>893</v>
      </c>
      <c r="O167">
        <v>50.37</v>
      </c>
      <c r="P167">
        <v>3167.745</v>
      </c>
      <c r="Q167" s="1">
        <f t="shared" si="9"/>
        <v>-0.0309734513274336</v>
      </c>
      <c r="R167" s="1">
        <f t="shared" si="10"/>
        <v>-0.0404430674609497</v>
      </c>
      <c r="S167" t="s">
        <v>913</v>
      </c>
      <c r="T167">
        <v>46.09</v>
      </c>
      <c r="U167">
        <v>3158.077</v>
      </c>
      <c r="V167" s="1">
        <f t="shared" si="11"/>
        <v>-0.0849712130236251</v>
      </c>
      <c r="W167" s="1">
        <f t="shared" si="12"/>
        <v>-0.00305201334072019</v>
      </c>
      <c r="X167" t="s">
        <v>579</v>
      </c>
      <c r="Y167">
        <v>48.33</v>
      </c>
      <c r="Z167">
        <v>2914.775</v>
      </c>
      <c r="AA167" s="2">
        <f t="shared" si="13"/>
        <v>0.0486005641136905</v>
      </c>
      <c r="AB167" s="2">
        <f t="shared" si="14"/>
        <v>-0.0770411867728368</v>
      </c>
      <c r="AC167" t="s">
        <v>866</v>
      </c>
      <c r="AD167">
        <v>51.09</v>
      </c>
      <c r="AE167">
        <v>2886.65</v>
      </c>
      <c r="AF167" s="2">
        <f t="shared" si="15"/>
        <v>0.0571073867163254</v>
      </c>
      <c r="AG167" s="2">
        <f t="shared" si="16"/>
        <v>-0.00964911528334091</v>
      </c>
      <c r="AH167" t="s">
        <v>914</v>
      </c>
      <c r="AI167" t="s">
        <v>915</v>
      </c>
      <c r="AJ167" t="s">
        <v>625</v>
      </c>
    </row>
    <row r="168" spans="1:36">
      <c r="A168">
        <v>123236</v>
      </c>
      <c r="B168" t="s">
        <v>916</v>
      </c>
      <c r="C168">
        <v>301193</v>
      </c>
      <c r="D168" t="s">
        <v>917</v>
      </c>
      <c r="E168" t="s">
        <v>145</v>
      </c>
      <c r="F168" t="s">
        <v>56</v>
      </c>
      <c r="G168" t="s">
        <v>579</v>
      </c>
      <c r="H168" t="s">
        <v>33</v>
      </c>
      <c r="I168" t="s">
        <v>255</v>
      </c>
      <c r="J168" t="s">
        <v>255</v>
      </c>
      <c r="K168" t="s">
        <v>918</v>
      </c>
      <c r="L168">
        <v>18.08</v>
      </c>
      <c r="M168">
        <v>3310.737</v>
      </c>
      <c r="N168" t="s">
        <v>695</v>
      </c>
      <c r="O168">
        <v>17.04</v>
      </c>
      <c r="P168">
        <v>3131.953</v>
      </c>
      <c r="Q168" s="1">
        <f t="shared" si="9"/>
        <v>-0.0575221238938053</v>
      </c>
      <c r="R168" s="1">
        <f t="shared" si="10"/>
        <v>-0.0540012692038057</v>
      </c>
      <c r="S168" t="s">
        <v>919</v>
      </c>
      <c r="T168">
        <v>17.66</v>
      </c>
      <c r="U168">
        <v>3067.933</v>
      </c>
      <c r="V168" s="1">
        <f t="shared" si="11"/>
        <v>0.0363849765258217</v>
      </c>
      <c r="W168" s="1">
        <f t="shared" si="12"/>
        <v>-0.020440919771146</v>
      </c>
      <c r="X168" t="s">
        <v>579</v>
      </c>
      <c r="Y168">
        <v>17.15</v>
      </c>
      <c r="Z168">
        <v>2914.775</v>
      </c>
      <c r="AA168" s="2">
        <f t="shared" si="13"/>
        <v>-0.0288788221970556</v>
      </c>
      <c r="AB168" s="2">
        <f t="shared" si="14"/>
        <v>-0.049922211469416</v>
      </c>
      <c r="AC168" t="s">
        <v>908</v>
      </c>
      <c r="AD168">
        <v>19.7</v>
      </c>
      <c r="AE168">
        <v>2845.784</v>
      </c>
      <c r="AF168" s="2">
        <f t="shared" si="15"/>
        <v>0.14868804664723</v>
      </c>
      <c r="AG168" s="2">
        <f t="shared" si="16"/>
        <v>-0.0236694084449057</v>
      </c>
      <c r="AH168" t="s">
        <v>914</v>
      </c>
      <c r="AI168" t="s">
        <v>41</v>
      </c>
      <c r="AJ168" t="s">
        <v>41</v>
      </c>
    </row>
    <row r="169" spans="1:36">
      <c r="A169">
        <v>123235</v>
      </c>
      <c r="B169" t="s">
        <v>920</v>
      </c>
      <c r="C169">
        <v>300911</v>
      </c>
      <c r="D169" t="s">
        <v>921</v>
      </c>
      <c r="E169" t="s">
        <v>483</v>
      </c>
      <c r="F169" t="s">
        <v>56</v>
      </c>
      <c r="G169" t="s">
        <v>422</v>
      </c>
      <c r="H169" t="s">
        <v>33</v>
      </c>
      <c r="I169" t="s">
        <v>255</v>
      </c>
      <c r="J169" t="s">
        <v>255</v>
      </c>
      <c r="K169" t="s">
        <v>649</v>
      </c>
      <c r="L169">
        <v>21.76</v>
      </c>
      <c r="M169">
        <v>3240.365</v>
      </c>
      <c r="N169" t="s">
        <v>631</v>
      </c>
      <c r="O169">
        <v>21.23</v>
      </c>
      <c r="P169">
        <v>2983.059</v>
      </c>
      <c r="Q169" s="1">
        <f t="shared" si="9"/>
        <v>-0.0243566176470589</v>
      </c>
      <c r="R169" s="1">
        <f t="shared" si="10"/>
        <v>-0.0794064866149337</v>
      </c>
      <c r="S169" t="s">
        <v>919</v>
      </c>
      <c r="T169">
        <v>21.08</v>
      </c>
      <c r="U169">
        <v>3067.933</v>
      </c>
      <c r="V169" s="1">
        <f t="shared" si="11"/>
        <v>-0.00706547338671701</v>
      </c>
      <c r="W169" s="1">
        <f t="shared" si="12"/>
        <v>0.0284520017874269</v>
      </c>
      <c r="X169" t="s">
        <v>422</v>
      </c>
      <c r="Y169">
        <v>19.63</v>
      </c>
      <c r="Z169">
        <v>2918.715</v>
      </c>
      <c r="AA169" s="2">
        <f t="shared" si="13"/>
        <v>-0.0687855787476281</v>
      </c>
      <c r="AB169" s="2">
        <f t="shared" si="14"/>
        <v>-0.0486379591731631</v>
      </c>
      <c r="AC169" t="s">
        <v>772</v>
      </c>
      <c r="AD169">
        <v>19.21</v>
      </c>
      <c r="AE169">
        <v>2881.977</v>
      </c>
      <c r="AF169" s="2">
        <f t="shared" si="15"/>
        <v>-0.0213958227203259</v>
      </c>
      <c r="AG169" s="2">
        <f t="shared" si="16"/>
        <v>-0.0125870460116867</v>
      </c>
      <c r="AH169" t="s">
        <v>922</v>
      </c>
      <c r="AI169" t="s">
        <v>41</v>
      </c>
      <c r="AJ169" t="s">
        <v>41</v>
      </c>
    </row>
    <row r="170" spans="1:36">
      <c r="A170">
        <v>127100</v>
      </c>
      <c r="B170" t="s">
        <v>923</v>
      </c>
      <c r="C170">
        <v>34</v>
      </c>
      <c r="D170" t="s">
        <v>924</v>
      </c>
      <c r="E170" t="s">
        <v>925</v>
      </c>
      <c r="F170" t="s">
        <v>41</v>
      </c>
      <c r="G170" t="s">
        <v>422</v>
      </c>
      <c r="H170" t="s">
        <v>621</v>
      </c>
      <c r="I170" t="s">
        <v>255</v>
      </c>
      <c r="J170" t="s">
        <v>255</v>
      </c>
      <c r="K170" t="s">
        <v>818</v>
      </c>
      <c r="L170">
        <v>30.12</v>
      </c>
      <c r="M170">
        <v>3367.031</v>
      </c>
      <c r="N170" t="s">
        <v>926</v>
      </c>
      <c r="O170">
        <v>31.07</v>
      </c>
      <c r="P170">
        <v>3119.876</v>
      </c>
      <c r="Q170" s="1">
        <f t="shared" si="9"/>
        <v>0.0315405046480743</v>
      </c>
      <c r="R170" s="1">
        <f t="shared" si="10"/>
        <v>-0.0734044325698218</v>
      </c>
      <c r="S170" t="s">
        <v>927</v>
      </c>
      <c r="T170">
        <v>34.44</v>
      </c>
      <c r="U170">
        <v>3050.926</v>
      </c>
      <c r="V170" s="1">
        <f t="shared" si="11"/>
        <v>0.108464757000322</v>
      </c>
      <c r="W170" s="1">
        <f t="shared" si="12"/>
        <v>-0.0221002373171242</v>
      </c>
      <c r="X170" t="s">
        <v>422</v>
      </c>
      <c r="Y170">
        <v>29.03</v>
      </c>
      <c r="Z170">
        <v>2918.715</v>
      </c>
      <c r="AA170" s="2">
        <f t="shared" si="13"/>
        <v>-0.157084785133566</v>
      </c>
      <c r="AB170" s="2">
        <f t="shared" si="14"/>
        <v>-0.0433347121496883</v>
      </c>
      <c r="AC170" t="s">
        <v>682</v>
      </c>
      <c r="AD170">
        <v>25.82</v>
      </c>
      <c r="AE170">
        <v>2832.279</v>
      </c>
      <c r="AF170" s="2">
        <f t="shared" si="15"/>
        <v>-0.110575266965208</v>
      </c>
      <c r="AG170" s="2">
        <f t="shared" si="16"/>
        <v>-0.0296144022283779</v>
      </c>
      <c r="AH170" t="s">
        <v>922</v>
      </c>
      <c r="AI170" t="s">
        <v>551</v>
      </c>
      <c r="AJ170" t="s">
        <v>625</v>
      </c>
    </row>
    <row r="171" spans="1:36">
      <c r="A171">
        <v>118046</v>
      </c>
      <c r="B171" t="s">
        <v>928</v>
      </c>
      <c r="C171">
        <v>688076</v>
      </c>
      <c r="D171" t="s">
        <v>929</v>
      </c>
      <c r="E171" t="s">
        <v>930</v>
      </c>
      <c r="F171" t="s">
        <v>41</v>
      </c>
      <c r="G171" t="s">
        <v>632</v>
      </c>
      <c r="H171" t="s">
        <v>621</v>
      </c>
      <c r="I171" t="s">
        <v>255</v>
      </c>
      <c r="J171" t="s">
        <v>255</v>
      </c>
      <c r="K171" t="s">
        <v>931</v>
      </c>
      <c r="L171">
        <v>22.61</v>
      </c>
      <c r="M171">
        <v>3285.099</v>
      </c>
      <c r="N171" t="s">
        <v>586</v>
      </c>
      <c r="O171">
        <v>23.98</v>
      </c>
      <c r="P171">
        <v>3198.836</v>
      </c>
      <c r="Q171" s="1">
        <f t="shared" si="9"/>
        <v>0.060592658115878</v>
      </c>
      <c r="R171" s="1">
        <f t="shared" si="10"/>
        <v>-0.0262588737812773</v>
      </c>
      <c r="S171" t="s">
        <v>907</v>
      </c>
      <c r="T171">
        <v>33.34</v>
      </c>
      <c r="U171">
        <v>3057.27</v>
      </c>
      <c r="V171" s="1">
        <f t="shared" si="11"/>
        <v>0.390325271059216</v>
      </c>
      <c r="W171" s="1">
        <f t="shared" si="12"/>
        <v>-0.0442554729282776</v>
      </c>
      <c r="X171" t="s">
        <v>632</v>
      </c>
      <c r="Y171">
        <v>27.96</v>
      </c>
      <c r="Z171">
        <v>2942.557</v>
      </c>
      <c r="AA171" s="2">
        <f t="shared" si="13"/>
        <v>-0.161367726454709</v>
      </c>
      <c r="AB171" s="2">
        <f t="shared" si="14"/>
        <v>-0.0375213834564825</v>
      </c>
      <c r="AC171" t="s">
        <v>908</v>
      </c>
      <c r="AD171">
        <v>29.64</v>
      </c>
      <c r="AE171">
        <v>2845.784</v>
      </c>
      <c r="AF171" s="2">
        <f t="shared" si="15"/>
        <v>0.0600858369098712</v>
      </c>
      <c r="AG171" s="2">
        <f t="shared" si="16"/>
        <v>-0.0328873833200171</v>
      </c>
      <c r="AH171" t="s">
        <v>932</v>
      </c>
      <c r="AI171" t="s">
        <v>453</v>
      </c>
      <c r="AJ171" t="s">
        <v>625</v>
      </c>
    </row>
    <row r="172" spans="1:36">
      <c r="A172">
        <v>123234</v>
      </c>
      <c r="B172" t="s">
        <v>933</v>
      </c>
      <c r="C172">
        <v>300062</v>
      </c>
      <c r="D172" t="s">
        <v>934</v>
      </c>
      <c r="E172" t="s">
        <v>140</v>
      </c>
      <c r="F172" t="s">
        <v>31</v>
      </c>
      <c r="G172" t="s">
        <v>935</v>
      </c>
      <c r="H172" t="s">
        <v>33</v>
      </c>
      <c r="I172" t="s">
        <v>255</v>
      </c>
      <c r="J172" t="s">
        <v>255</v>
      </c>
      <c r="K172" t="s">
        <v>702</v>
      </c>
      <c r="L172">
        <v>5.71</v>
      </c>
      <c r="M172">
        <v>3264.872</v>
      </c>
      <c r="N172" t="s">
        <v>893</v>
      </c>
      <c r="O172">
        <v>6.43</v>
      </c>
      <c r="P172">
        <v>3167.745</v>
      </c>
      <c r="Q172" s="1">
        <f t="shared" si="9"/>
        <v>0.126094570928196</v>
      </c>
      <c r="R172" s="1">
        <f t="shared" si="10"/>
        <v>-0.0297490988926978</v>
      </c>
      <c r="S172" t="s">
        <v>498</v>
      </c>
      <c r="T172">
        <v>6.28</v>
      </c>
      <c r="U172">
        <v>3053.279</v>
      </c>
      <c r="V172" s="1">
        <f t="shared" si="11"/>
        <v>-0.0233281493001554</v>
      </c>
      <c r="W172" s="1">
        <f t="shared" si="12"/>
        <v>-0.0361348530263641</v>
      </c>
      <c r="X172" t="s">
        <v>935</v>
      </c>
      <c r="Y172">
        <v>6.08</v>
      </c>
      <c r="Z172">
        <v>2991.439</v>
      </c>
      <c r="AA172" s="2">
        <f t="shared" si="13"/>
        <v>-0.0318471337579618</v>
      </c>
      <c r="AB172" s="2">
        <f t="shared" si="14"/>
        <v>-0.02025363551775</v>
      </c>
      <c r="AC172" t="s">
        <v>779</v>
      </c>
      <c r="AD172">
        <v>6.21</v>
      </c>
      <c r="AE172">
        <v>2974.935</v>
      </c>
      <c r="AF172" s="2">
        <f t="shared" si="15"/>
        <v>0.0213815789473684</v>
      </c>
      <c r="AG172" s="2">
        <f t="shared" si="16"/>
        <v>-0.00551707723272977</v>
      </c>
      <c r="AH172" t="s">
        <v>936</v>
      </c>
      <c r="AI172" t="s">
        <v>45</v>
      </c>
      <c r="AJ172" t="s">
        <v>625</v>
      </c>
    </row>
    <row r="173" spans="1:36">
      <c r="A173">
        <v>127099</v>
      </c>
      <c r="B173" t="s">
        <v>937</v>
      </c>
      <c r="C173">
        <v>1205</v>
      </c>
      <c r="D173" t="s">
        <v>938</v>
      </c>
      <c r="E173" t="s">
        <v>939</v>
      </c>
      <c r="F173" t="s">
        <v>56</v>
      </c>
      <c r="G173" t="s">
        <v>940</v>
      </c>
      <c r="H173" t="s">
        <v>33</v>
      </c>
      <c r="I173" t="s">
        <v>255</v>
      </c>
      <c r="J173" t="s">
        <v>255</v>
      </c>
      <c r="K173" t="s">
        <v>812</v>
      </c>
      <c r="L173">
        <v>20.96</v>
      </c>
      <c r="M173">
        <v>3275.413</v>
      </c>
      <c r="N173" t="s">
        <v>926</v>
      </c>
      <c r="O173">
        <v>18.42</v>
      </c>
      <c r="P173">
        <v>3119.876</v>
      </c>
      <c r="Q173" s="1">
        <f t="shared" si="9"/>
        <v>-0.12118320610687</v>
      </c>
      <c r="R173" s="1">
        <f t="shared" si="10"/>
        <v>-0.0474862254011936</v>
      </c>
      <c r="S173" t="s">
        <v>717</v>
      </c>
      <c r="T173">
        <v>16.52</v>
      </c>
      <c r="U173">
        <v>3017.784</v>
      </c>
      <c r="V173" s="1">
        <f t="shared" si="11"/>
        <v>-0.103148751357221</v>
      </c>
      <c r="W173" s="1">
        <f t="shared" si="12"/>
        <v>-0.0327230954050738</v>
      </c>
      <c r="X173" t="s">
        <v>940</v>
      </c>
      <c r="Y173">
        <v>17.19</v>
      </c>
      <c r="Z173">
        <v>2968.933</v>
      </c>
      <c r="AA173" s="2">
        <f t="shared" si="13"/>
        <v>0.0405569007263924</v>
      </c>
      <c r="AB173" s="2">
        <f t="shared" si="14"/>
        <v>-0.0161877059458199</v>
      </c>
      <c r="AC173" t="s">
        <v>941</v>
      </c>
      <c r="AD173">
        <v>16.81</v>
      </c>
      <c r="AE173">
        <v>2954.704</v>
      </c>
      <c r="AF173" s="2">
        <f t="shared" si="15"/>
        <v>-0.022105875509017</v>
      </c>
      <c r="AG173" s="2">
        <f t="shared" si="16"/>
        <v>-0.00479263088793173</v>
      </c>
      <c r="AH173" t="s">
        <v>942</v>
      </c>
      <c r="AI173" t="s">
        <v>41</v>
      </c>
      <c r="AJ173" t="s">
        <v>41</v>
      </c>
    </row>
    <row r="174" spans="1:36">
      <c r="A174">
        <v>123233</v>
      </c>
      <c r="B174" t="s">
        <v>943</v>
      </c>
      <c r="C174">
        <v>301069</v>
      </c>
      <c r="D174" t="s">
        <v>944</v>
      </c>
      <c r="E174" t="s">
        <v>178</v>
      </c>
      <c r="F174" t="s">
        <v>56</v>
      </c>
      <c r="G174" t="s">
        <v>523</v>
      </c>
      <c r="H174" t="s">
        <v>33</v>
      </c>
      <c r="I174" t="s">
        <v>255</v>
      </c>
      <c r="J174" t="s">
        <v>255</v>
      </c>
      <c r="K174" t="s">
        <v>945</v>
      </c>
      <c r="L174">
        <v>30.09</v>
      </c>
      <c r="M174">
        <v>3267.16</v>
      </c>
      <c r="N174" t="s">
        <v>749</v>
      </c>
      <c r="O174">
        <v>22.43</v>
      </c>
      <c r="P174">
        <v>3182.381</v>
      </c>
      <c r="Q174" s="1">
        <f t="shared" si="9"/>
        <v>-0.254569624459953</v>
      </c>
      <c r="R174" s="1">
        <f t="shared" si="10"/>
        <v>-0.0259488362981917</v>
      </c>
      <c r="S174" t="s">
        <v>946</v>
      </c>
      <c r="T174">
        <v>21.22</v>
      </c>
      <c r="U174">
        <v>3135.887</v>
      </c>
      <c r="V174" s="1">
        <f t="shared" si="11"/>
        <v>-0.0539456085599644</v>
      </c>
      <c r="W174" s="1">
        <f t="shared" si="12"/>
        <v>-0.0146098157323085</v>
      </c>
      <c r="X174" t="s">
        <v>523</v>
      </c>
      <c r="Y174">
        <v>19.17</v>
      </c>
      <c r="Z174">
        <v>3021.687</v>
      </c>
      <c r="AA174" s="2">
        <f t="shared" si="13"/>
        <v>-0.096606974552309</v>
      </c>
      <c r="AB174" s="2">
        <f t="shared" si="14"/>
        <v>-0.0364171285508694</v>
      </c>
      <c r="AC174" t="s">
        <v>632</v>
      </c>
      <c r="AD174">
        <v>17.8</v>
      </c>
      <c r="AE174">
        <v>2942.557</v>
      </c>
      <c r="AF174" s="2">
        <f t="shared" si="15"/>
        <v>-0.0714658320292124</v>
      </c>
      <c r="AG174" s="2">
        <f t="shared" si="16"/>
        <v>-0.0261873582538496</v>
      </c>
      <c r="AH174" t="s">
        <v>947</v>
      </c>
      <c r="AI174" t="s">
        <v>41</v>
      </c>
      <c r="AJ174" t="s">
        <v>41</v>
      </c>
    </row>
    <row r="175" spans="1:36">
      <c r="A175">
        <v>123232</v>
      </c>
      <c r="B175" t="s">
        <v>948</v>
      </c>
      <c r="C175">
        <v>300830</v>
      </c>
      <c r="D175" t="s">
        <v>949</v>
      </c>
      <c r="E175" t="s">
        <v>950</v>
      </c>
      <c r="F175" t="s">
        <v>41</v>
      </c>
      <c r="G175" t="s">
        <v>951</v>
      </c>
      <c r="H175" t="s">
        <v>621</v>
      </c>
      <c r="I175" t="s">
        <v>255</v>
      </c>
      <c r="J175" t="s">
        <v>255</v>
      </c>
      <c r="K175" t="s">
        <v>952</v>
      </c>
      <c r="L175">
        <v>9.84</v>
      </c>
      <c r="M175">
        <v>3313.571</v>
      </c>
      <c r="N175" t="s">
        <v>953</v>
      </c>
      <c r="O175">
        <v>9.45</v>
      </c>
      <c r="P175">
        <v>3202.062</v>
      </c>
      <c r="Q175" s="1">
        <f t="shared" si="9"/>
        <v>-0.0396341463414635</v>
      </c>
      <c r="R175" s="1">
        <f t="shared" si="10"/>
        <v>-0.0336522138804329</v>
      </c>
      <c r="S175" t="s">
        <v>926</v>
      </c>
      <c r="T175">
        <v>8.79</v>
      </c>
      <c r="U175">
        <v>3119.876</v>
      </c>
      <c r="V175" s="1">
        <f t="shared" si="11"/>
        <v>-0.0698412698412699</v>
      </c>
      <c r="W175" s="1">
        <f t="shared" si="12"/>
        <v>-0.0256665860935859</v>
      </c>
      <c r="X175" t="s">
        <v>951</v>
      </c>
      <c r="Y175">
        <v>8.94</v>
      </c>
      <c r="Z175">
        <v>3031.7</v>
      </c>
      <c r="AA175" s="2">
        <f t="shared" si="13"/>
        <v>0.0170648464163823</v>
      </c>
      <c r="AB175" s="2">
        <f t="shared" si="14"/>
        <v>-0.0282626617211711</v>
      </c>
      <c r="AC175" t="s">
        <v>954</v>
      </c>
      <c r="AD175">
        <v>8.65</v>
      </c>
      <c r="AE175">
        <v>2932.391</v>
      </c>
      <c r="AF175" s="2">
        <f t="shared" si="15"/>
        <v>-0.0324384787472035</v>
      </c>
      <c r="AG175" s="2">
        <f t="shared" si="16"/>
        <v>-0.0327568690833525</v>
      </c>
      <c r="AH175" t="s">
        <v>955</v>
      </c>
      <c r="AI175" t="s">
        <v>956</v>
      </c>
      <c r="AJ175" t="s">
        <v>625</v>
      </c>
    </row>
    <row r="176" spans="1:36">
      <c r="A176">
        <v>127098</v>
      </c>
      <c r="B176" t="s">
        <v>957</v>
      </c>
      <c r="C176">
        <v>1269</v>
      </c>
      <c r="D176" t="s">
        <v>958</v>
      </c>
      <c r="E176" t="s">
        <v>959</v>
      </c>
      <c r="F176" t="s">
        <v>56</v>
      </c>
      <c r="G176" t="s">
        <v>819</v>
      </c>
      <c r="H176" t="s">
        <v>33</v>
      </c>
      <c r="I176" t="s">
        <v>255</v>
      </c>
      <c r="J176" t="s">
        <v>255</v>
      </c>
      <c r="K176" t="s">
        <v>960</v>
      </c>
      <c r="L176">
        <v>60.09</v>
      </c>
      <c r="M176">
        <v>3204.564</v>
      </c>
      <c r="N176" t="s">
        <v>961</v>
      </c>
      <c r="O176">
        <v>56.5</v>
      </c>
      <c r="P176">
        <v>3275.926</v>
      </c>
      <c r="Q176" s="1">
        <f t="shared" si="9"/>
        <v>-0.0597437177566983</v>
      </c>
      <c r="R176" s="1">
        <f t="shared" si="10"/>
        <v>0.0222688640326734</v>
      </c>
      <c r="S176" t="s">
        <v>498</v>
      </c>
      <c r="T176">
        <v>45.68</v>
      </c>
      <c r="U176">
        <v>3053.279</v>
      </c>
      <c r="V176" s="1">
        <f t="shared" si="11"/>
        <v>-0.191504424778761</v>
      </c>
      <c r="W176" s="1">
        <f t="shared" si="12"/>
        <v>-0.0679645999329655</v>
      </c>
      <c r="X176" t="s">
        <v>819</v>
      </c>
      <c r="Y176">
        <v>42.69</v>
      </c>
      <c r="Z176">
        <v>3040.972</v>
      </c>
      <c r="AA176" s="2">
        <f t="shared" si="13"/>
        <v>-0.0654553415061296</v>
      </c>
      <c r="AB176" s="2">
        <f t="shared" si="14"/>
        <v>-0.00403074858209806</v>
      </c>
      <c r="AC176" t="s">
        <v>632</v>
      </c>
      <c r="AD176">
        <v>37.45</v>
      </c>
      <c r="AE176">
        <v>2942.557</v>
      </c>
      <c r="AF176" s="2">
        <f t="shared" si="15"/>
        <v>-0.122745373623799</v>
      </c>
      <c r="AG176" s="2">
        <f t="shared" si="16"/>
        <v>-0.0323630076173014</v>
      </c>
      <c r="AH176" t="s">
        <v>962</v>
      </c>
      <c r="AI176" t="s">
        <v>41</v>
      </c>
      <c r="AJ176" t="s">
        <v>41</v>
      </c>
    </row>
    <row r="177" spans="1:36">
      <c r="A177">
        <v>113680</v>
      </c>
      <c r="B177" t="s">
        <v>963</v>
      </c>
      <c r="C177">
        <v>603937</v>
      </c>
      <c r="D177" t="s">
        <v>964</v>
      </c>
      <c r="E177" t="s">
        <v>218</v>
      </c>
      <c r="F177" t="s">
        <v>31</v>
      </c>
      <c r="G177" t="s">
        <v>965</v>
      </c>
      <c r="H177" t="s">
        <v>33</v>
      </c>
      <c r="I177" t="s">
        <v>255</v>
      </c>
      <c r="J177" t="s">
        <v>255</v>
      </c>
      <c r="K177" t="s">
        <v>757</v>
      </c>
      <c r="L177">
        <v>12.89</v>
      </c>
      <c r="M177">
        <v>3310.654</v>
      </c>
      <c r="N177" t="s">
        <v>586</v>
      </c>
      <c r="O177">
        <v>12.5</v>
      </c>
      <c r="P177">
        <v>3198.836</v>
      </c>
      <c r="Q177" s="1">
        <f t="shared" si="9"/>
        <v>-0.0302560124127231</v>
      </c>
      <c r="R177" s="1">
        <f t="shared" si="10"/>
        <v>-0.0337751997037444</v>
      </c>
      <c r="S177" t="s">
        <v>894</v>
      </c>
      <c r="T177">
        <v>12.78</v>
      </c>
      <c r="U177">
        <v>3117.743</v>
      </c>
      <c r="V177" s="1">
        <f t="shared" si="11"/>
        <v>0.0223999999999999</v>
      </c>
      <c r="W177" s="1">
        <f t="shared" si="12"/>
        <v>-0.0253507838476245</v>
      </c>
      <c r="X177" t="s">
        <v>965</v>
      </c>
      <c r="Y177">
        <v>12.49</v>
      </c>
      <c r="Z177">
        <v>3072.835</v>
      </c>
      <c r="AA177" s="2">
        <f t="shared" si="13"/>
        <v>-0.0226917057902973</v>
      </c>
      <c r="AB177" s="2">
        <f t="shared" si="14"/>
        <v>-0.0144040095671773</v>
      </c>
      <c r="AC177" t="s">
        <v>664</v>
      </c>
      <c r="AD177">
        <v>12.36</v>
      </c>
      <c r="AE177">
        <v>2972.296</v>
      </c>
      <c r="AF177" s="2">
        <f t="shared" si="15"/>
        <v>-0.0104083266613291</v>
      </c>
      <c r="AG177" s="2">
        <f t="shared" si="16"/>
        <v>-0.0327186458107904</v>
      </c>
      <c r="AH177" t="s">
        <v>966</v>
      </c>
      <c r="AI177" t="s">
        <v>41</v>
      </c>
      <c r="AJ177" t="s">
        <v>41</v>
      </c>
    </row>
    <row r="178" spans="1:36">
      <c r="A178">
        <v>123231</v>
      </c>
      <c r="B178" t="s">
        <v>967</v>
      </c>
      <c r="C178">
        <v>300938</v>
      </c>
      <c r="D178" t="s">
        <v>968</v>
      </c>
      <c r="E178" t="s">
        <v>371</v>
      </c>
      <c r="F178" t="s">
        <v>41</v>
      </c>
      <c r="G178" t="s">
        <v>498</v>
      </c>
      <c r="H178" t="s">
        <v>621</v>
      </c>
      <c r="I178" t="s">
        <v>255</v>
      </c>
      <c r="J178" t="s">
        <v>255</v>
      </c>
      <c r="K178" t="s">
        <v>969</v>
      </c>
      <c r="L178">
        <v>19.58</v>
      </c>
      <c r="M178">
        <v>3296.396</v>
      </c>
      <c r="N178" t="s">
        <v>663</v>
      </c>
      <c r="O178">
        <v>20.9</v>
      </c>
      <c r="P178">
        <v>3236.48</v>
      </c>
      <c r="Q178" s="1">
        <f t="shared" si="9"/>
        <v>0.0674157303370787</v>
      </c>
      <c r="R178" s="1">
        <f t="shared" si="10"/>
        <v>-0.0181762142655191</v>
      </c>
      <c r="S178" t="s">
        <v>946</v>
      </c>
      <c r="T178">
        <v>20.33</v>
      </c>
      <c r="U178">
        <v>3135.887</v>
      </c>
      <c r="V178" s="1">
        <f t="shared" si="11"/>
        <v>-0.0272727272727273</v>
      </c>
      <c r="W178" s="1">
        <f t="shared" si="12"/>
        <v>-0.0310809892228594</v>
      </c>
      <c r="X178" t="s">
        <v>498</v>
      </c>
      <c r="Y178">
        <v>17.71</v>
      </c>
      <c r="Z178">
        <v>3053.279</v>
      </c>
      <c r="AA178" s="2">
        <f t="shared" si="13"/>
        <v>-0.128873585833743</v>
      </c>
      <c r="AB178" s="2">
        <f t="shared" si="14"/>
        <v>-0.0263427859486009</v>
      </c>
      <c r="AC178" t="s">
        <v>523</v>
      </c>
      <c r="AD178">
        <v>18.19</v>
      </c>
      <c r="AE178">
        <v>3021.687</v>
      </c>
      <c r="AF178" s="2">
        <f t="shared" si="15"/>
        <v>0.0271033314511576</v>
      </c>
      <c r="AG178" s="2">
        <f t="shared" si="16"/>
        <v>-0.0103469090115905</v>
      </c>
      <c r="AH178" t="s">
        <v>970</v>
      </c>
      <c r="AI178" t="s">
        <v>971</v>
      </c>
      <c r="AJ178" t="s">
        <v>625</v>
      </c>
    </row>
    <row r="179" spans="1:36">
      <c r="A179">
        <v>123230</v>
      </c>
      <c r="B179" t="s">
        <v>972</v>
      </c>
      <c r="C179">
        <v>301133</v>
      </c>
      <c r="D179" t="s">
        <v>973</v>
      </c>
      <c r="E179" t="s">
        <v>974</v>
      </c>
      <c r="F179" t="s">
        <v>708</v>
      </c>
      <c r="G179" t="s">
        <v>498</v>
      </c>
      <c r="H179" t="s">
        <v>33</v>
      </c>
      <c r="I179" t="s">
        <v>255</v>
      </c>
      <c r="J179" t="s">
        <v>255</v>
      </c>
      <c r="K179" t="s">
        <v>818</v>
      </c>
      <c r="L179">
        <v>20.88</v>
      </c>
      <c r="M179">
        <v>3367.031</v>
      </c>
      <c r="N179" t="s">
        <v>975</v>
      </c>
      <c r="O179">
        <v>27.41</v>
      </c>
      <c r="P179">
        <v>3237.701</v>
      </c>
      <c r="Q179" s="1">
        <f t="shared" si="9"/>
        <v>0.312739463601533</v>
      </c>
      <c r="R179" s="1">
        <f t="shared" si="10"/>
        <v>-0.0384106947634281</v>
      </c>
      <c r="S179" t="s">
        <v>946</v>
      </c>
      <c r="T179">
        <v>25.66</v>
      </c>
      <c r="U179">
        <v>3135.887</v>
      </c>
      <c r="V179" s="1">
        <f t="shared" si="11"/>
        <v>-0.0638453119299526</v>
      </c>
      <c r="W179" s="1">
        <f t="shared" si="12"/>
        <v>-0.0314463874211979</v>
      </c>
      <c r="X179" t="s">
        <v>498</v>
      </c>
      <c r="Y179">
        <v>28.41</v>
      </c>
      <c r="Z179">
        <v>3053.279</v>
      </c>
      <c r="AA179" s="2">
        <f t="shared" si="13"/>
        <v>0.107170693686672</v>
      </c>
      <c r="AB179" s="2">
        <f t="shared" si="14"/>
        <v>-0.0263427859486009</v>
      </c>
      <c r="AC179" t="s">
        <v>669</v>
      </c>
      <c r="AD179">
        <v>31.66</v>
      </c>
      <c r="AE179">
        <v>3031.636</v>
      </c>
      <c r="AF179" s="2">
        <f t="shared" si="15"/>
        <v>0.114396339317142</v>
      </c>
      <c r="AG179" s="2">
        <f t="shared" si="16"/>
        <v>-0.00708844491446737</v>
      </c>
      <c r="AH179" t="s">
        <v>970</v>
      </c>
      <c r="AI179" t="s">
        <v>41</v>
      </c>
      <c r="AJ179" t="s">
        <v>41</v>
      </c>
    </row>
    <row r="180" spans="1:36">
      <c r="A180">
        <v>113679</v>
      </c>
      <c r="B180" t="s">
        <v>976</v>
      </c>
      <c r="C180">
        <v>603105</v>
      </c>
      <c r="D180" t="s">
        <v>977</v>
      </c>
      <c r="E180" t="s">
        <v>214</v>
      </c>
      <c r="F180" t="s">
        <v>56</v>
      </c>
      <c r="G180" t="s">
        <v>978</v>
      </c>
      <c r="H180" t="s">
        <v>33</v>
      </c>
      <c r="I180" t="s">
        <v>255</v>
      </c>
      <c r="J180" t="s">
        <v>255</v>
      </c>
      <c r="K180" t="s">
        <v>979</v>
      </c>
      <c r="L180">
        <v>14.55</v>
      </c>
      <c r="M180">
        <v>3264.101</v>
      </c>
      <c r="N180" t="s">
        <v>545</v>
      </c>
      <c r="O180">
        <v>14.54</v>
      </c>
      <c r="P180">
        <v>3189.248</v>
      </c>
      <c r="Q180" s="1">
        <f t="shared" si="9"/>
        <v>-0.000687285223367805</v>
      </c>
      <c r="R180" s="1">
        <f t="shared" si="10"/>
        <v>-0.022932194806472</v>
      </c>
      <c r="S180" t="s">
        <v>980</v>
      </c>
      <c r="T180">
        <v>13.53</v>
      </c>
      <c r="U180">
        <v>3123.067</v>
      </c>
      <c r="V180" s="1">
        <f t="shared" si="11"/>
        <v>-0.0694635488308115</v>
      </c>
      <c r="W180" s="1">
        <f t="shared" si="12"/>
        <v>-0.0207512868237277</v>
      </c>
      <c r="X180" t="s">
        <v>978</v>
      </c>
      <c r="Y180">
        <v>11.53</v>
      </c>
      <c r="Z180">
        <v>2988.299</v>
      </c>
      <c r="AA180" s="2">
        <f t="shared" si="13"/>
        <v>-0.147819660014782</v>
      </c>
      <c r="AB180" s="2">
        <f t="shared" si="14"/>
        <v>-0.0431524523809448</v>
      </c>
      <c r="AC180" t="s">
        <v>819</v>
      </c>
      <c r="AD180">
        <v>12.02</v>
      </c>
      <c r="AE180">
        <v>3040.972</v>
      </c>
      <c r="AF180" s="2">
        <f t="shared" si="15"/>
        <v>0.0424978317432784</v>
      </c>
      <c r="AG180" s="2">
        <f t="shared" si="16"/>
        <v>0.0176264155628336</v>
      </c>
      <c r="AH180" t="s">
        <v>981</v>
      </c>
      <c r="AI180" t="s">
        <v>41</v>
      </c>
      <c r="AJ180" t="s">
        <v>41</v>
      </c>
    </row>
    <row r="181" spans="1:36">
      <c r="A181">
        <v>127097</v>
      </c>
      <c r="B181" t="s">
        <v>982</v>
      </c>
      <c r="C181">
        <v>1317</v>
      </c>
      <c r="D181" t="s">
        <v>983</v>
      </c>
      <c r="E181" t="s">
        <v>984</v>
      </c>
      <c r="F181" t="s">
        <v>41</v>
      </c>
      <c r="G181" t="s">
        <v>978</v>
      </c>
      <c r="H181" t="s">
        <v>621</v>
      </c>
      <c r="I181" t="s">
        <v>255</v>
      </c>
      <c r="J181" t="s">
        <v>255</v>
      </c>
      <c r="K181" t="s">
        <v>880</v>
      </c>
      <c r="L181">
        <v>42.12</v>
      </c>
      <c r="M181">
        <v>3312.348</v>
      </c>
      <c r="N181" t="s">
        <v>985</v>
      </c>
      <c r="O181">
        <v>36.33</v>
      </c>
      <c r="P181">
        <v>3197.901</v>
      </c>
      <c r="Q181" s="1">
        <f t="shared" si="9"/>
        <v>-0.137464387464387</v>
      </c>
      <c r="R181" s="1">
        <f t="shared" si="10"/>
        <v>-0.0345516231990117</v>
      </c>
      <c r="S181" t="s">
        <v>913</v>
      </c>
      <c r="T181">
        <v>35.95</v>
      </c>
      <c r="U181">
        <v>3158.077</v>
      </c>
      <c r="V181" s="1">
        <f t="shared" si="11"/>
        <v>-0.0104596751995595</v>
      </c>
      <c r="W181" s="1">
        <f t="shared" si="12"/>
        <v>-0.012453168500213</v>
      </c>
      <c r="X181" t="s">
        <v>978</v>
      </c>
      <c r="Y181">
        <v>33.75</v>
      </c>
      <c r="Z181">
        <v>2988.299</v>
      </c>
      <c r="AA181" s="2">
        <f t="shared" si="13"/>
        <v>-0.0611961057023645</v>
      </c>
      <c r="AB181" s="2">
        <f t="shared" si="14"/>
        <v>-0.0537599304893453</v>
      </c>
      <c r="AC181" t="s">
        <v>710</v>
      </c>
      <c r="AD181">
        <v>39.83</v>
      </c>
      <c r="AE181">
        <v>3054.366</v>
      </c>
      <c r="AF181" s="2">
        <f t="shared" si="15"/>
        <v>0.180148148148148</v>
      </c>
      <c r="AG181" s="2">
        <f t="shared" si="16"/>
        <v>0.0221085641028558</v>
      </c>
      <c r="AH181" t="s">
        <v>981</v>
      </c>
      <c r="AI181" t="s">
        <v>254</v>
      </c>
      <c r="AJ181" t="s">
        <v>625</v>
      </c>
    </row>
    <row r="182" hidden="1" spans="1:36">
      <c r="A182">
        <v>127096</v>
      </c>
      <c r="B182" t="s">
        <v>986</v>
      </c>
      <c r="C182">
        <v>3036</v>
      </c>
      <c r="D182" t="s">
        <v>987</v>
      </c>
      <c r="E182" t="s">
        <v>988</v>
      </c>
      <c r="F182" t="s">
        <v>708</v>
      </c>
      <c r="G182" t="s">
        <v>989</v>
      </c>
      <c r="H182" t="s">
        <v>33</v>
      </c>
      <c r="I182" t="s">
        <v>255</v>
      </c>
      <c r="J182" t="s">
        <v>255</v>
      </c>
      <c r="K182" t="s">
        <v>255</v>
      </c>
      <c r="L182" t="s">
        <v>41</v>
      </c>
      <c r="M182" t="s">
        <v>41</v>
      </c>
      <c r="N182" t="s">
        <v>255</v>
      </c>
      <c r="O182" t="s">
        <v>41</v>
      </c>
      <c r="P182" t="s">
        <v>41</v>
      </c>
      <c r="Q182" s="2"/>
      <c r="R182" s="2"/>
      <c r="S182" t="s">
        <v>255</v>
      </c>
      <c r="T182" t="s">
        <v>41</v>
      </c>
      <c r="U182" t="s">
        <v>41</v>
      </c>
      <c r="V182" s="2"/>
      <c r="W182" s="2"/>
      <c r="X182" t="s">
        <v>989</v>
      </c>
      <c r="Y182">
        <v>11.62</v>
      </c>
      <c r="Z182">
        <v>2974.114</v>
      </c>
      <c r="AA182" s="2"/>
      <c r="AB182" s="2"/>
      <c r="AC182" t="s">
        <v>965</v>
      </c>
      <c r="AD182">
        <v>12.39</v>
      </c>
      <c r="AE182">
        <v>3072.835</v>
      </c>
      <c r="AF182" s="2">
        <f t="shared" si="15"/>
        <v>0.066265060240964</v>
      </c>
      <c r="AG182" s="2">
        <f t="shared" si="16"/>
        <v>0.033193414912811</v>
      </c>
      <c r="AH182" t="s">
        <v>990</v>
      </c>
      <c r="AI182" t="s">
        <v>41</v>
      </c>
      <c r="AJ182" t="s">
        <v>41</v>
      </c>
    </row>
    <row r="183" spans="1:36">
      <c r="A183">
        <v>123229</v>
      </c>
      <c r="B183" t="s">
        <v>991</v>
      </c>
      <c r="C183">
        <v>301062</v>
      </c>
      <c r="D183" t="s">
        <v>992</v>
      </c>
      <c r="E183" t="s">
        <v>522</v>
      </c>
      <c r="F183" t="s">
        <v>31</v>
      </c>
      <c r="G183" t="s">
        <v>993</v>
      </c>
      <c r="H183" t="s">
        <v>33</v>
      </c>
      <c r="I183" t="s">
        <v>255</v>
      </c>
      <c r="J183" t="s">
        <v>255</v>
      </c>
      <c r="K183" t="s">
        <v>812</v>
      </c>
      <c r="L183">
        <v>8.97</v>
      </c>
      <c r="M183">
        <v>3275.413</v>
      </c>
      <c r="N183" t="s">
        <v>975</v>
      </c>
      <c r="O183">
        <v>10.29</v>
      </c>
      <c r="P183">
        <v>3237.701</v>
      </c>
      <c r="Q183" s="1">
        <f t="shared" si="9"/>
        <v>0.147157190635451</v>
      </c>
      <c r="R183" s="1">
        <f t="shared" si="10"/>
        <v>-0.0115136625518675</v>
      </c>
      <c r="S183" t="s">
        <v>946</v>
      </c>
      <c r="T183">
        <v>9.59</v>
      </c>
      <c r="U183">
        <v>3135.887</v>
      </c>
      <c r="V183" s="1">
        <f t="shared" si="11"/>
        <v>-0.0680272108843537</v>
      </c>
      <c r="W183" s="1">
        <f t="shared" si="12"/>
        <v>-0.0314463874211979</v>
      </c>
      <c r="X183" t="s">
        <v>993</v>
      </c>
      <c r="Y183">
        <v>8.79</v>
      </c>
      <c r="Z183">
        <v>2939.291</v>
      </c>
      <c r="AA183" s="2">
        <f t="shared" si="13"/>
        <v>-0.0834202294056309</v>
      </c>
      <c r="AB183" s="2">
        <f t="shared" si="14"/>
        <v>-0.0626923100226507</v>
      </c>
      <c r="AC183" t="s">
        <v>994</v>
      </c>
      <c r="AD183">
        <v>11.31</v>
      </c>
      <c r="AE183">
        <v>3068.319</v>
      </c>
      <c r="AF183" s="2">
        <f t="shared" si="15"/>
        <v>0.286689419795222</v>
      </c>
      <c r="AG183" s="2">
        <f t="shared" si="16"/>
        <v>0.0438976610345828</v>
      </c>
      <c r="AH183" t="s">
        <v>995</v>
      </c>
      <c r="AI183" t="s">
        <v>41</v>
      </c>
      <c r="AJ183" t="s">
        <v>41</v>
      </c>
    </row>
    <row r="184" spans="1:36">
      <c r="A184">
        <v>123228</v>
      </c>
      <c r="B184" t="s">
        <v>996</v>
      </c>
      <c r="C184">
        <v>300953</v>
      </c>
      <c r="D184" t="s">
        <v>997</v>
      </c>
      <c r="E184" t="s">
        <v>998</v>
      </c>
      <c r="F184" t="s">
        <v>41</v>
      </c>
      <c r="G184" t="s">
        <v>631</v>
      </c>
      <c r="H184" t="s">
        <v>621</v>
      </c>
      <c r="I184" t="s">
        <v>255</v>
      </c>
      <c r="J184" t="s">
        <v>255</v>
      </c>
      <c r="K184" t="s">
        <v>702</v>
      </c>
      <c r="L184">
        <v>50.92</v>
      </c>
      <c r="M184">
        <v>3264.872</v>
      </c>
      <c r="N184" t="s">
        <v>961</v>
      </c>
      <c r="O184">
        <v>50.74</v>
      </c>
      <c r="P184">
        <v>3275.926</v>
      </c>
      <c r="Q184" s="1">
        <f t="shared" si="9"/>
        <v>-0.0035349567949725</v>
      </c>
      <c r="R184" s="1">
        <f t="shared" si="10"/>
        <v>0.00338573763381844</v>
      </c>
      <c r="S184" t="s">
        <v>913</v>
      </c>
      <c r="T184">
        <v>45.75</v>
      </c>
      <c r="U184">
        <v>3158.077</v>
      </c>
      <c r="V184" s="1">
        <f t="shared" si="11"/>
        <v>-0.0983445013795822</v>
      </c>
      <c r="W184" s="1">
        <f t="shared" si="12"/>
        <v>-0.0359742558287335</v>
      </c>
      <c r="X184" t="s">
        <v>631</v>
      </c>
      <c r="Y184">
        <v>41.19</v>
      </c>
      <c r="Z184">
        <v>2983.059</v>
      </c>
      <c r="AA184" s="2">
        <f t="shared" si="13"/>
        <v>-0.099672131147541</v>
      </c>
      <c r="AB184" s="2">
        <f t="shared" si="14"/>
        <v>-0.055419168057017</v>
      </c>
      <c r="AC184" t="s">
        <v>498</v>
      </c>
      <c r="AD184">
        <v>42.03</v>
      </c>
      <c r="AE184">
        <v>3053.279</v>
      </c>
      <c r="AF184" s="2">
        <f t="shared" si="15"/>
        <v>0.0203932993445012</v>
      </c>
      <c r="AG184" s="2">
        <f t="shared" si="16"/>
        <v>0.0235395947582665</v>
      </c>
      <c r="AH184" t="s">
        <v>999</v>
      </c>
      <c r="AI184" t="s">
        <v>1000</v>
      </c>
      <c r="AJ184" t="s">
        <v>625</v>
      </c>
    </row>
    <row r="185" spans="1:36">
      <c r="A185">
        <v>123227</v>
      </c>
      <c r="B185" t="s">
        <v>1001</v>
      </c>
      <c r="C185">
        <v>301099</v>
      </c>
      <c r="D185" t="s">
        <v>1002</v>
      </c>
      <c r="E185" t="s">
        <v>1003</v>
      </c>
      <c r="F185" t="s">
        <v>41</v>
      </c>
      <c r="G185" t="s">
        <v>631</v>
      </c>
      <c r="H185" t="s">
        <v>621</v>
      </c>
      <c r="I185" t="s">
        <v>255</v>
      </c>
      <c r="J185" t="s">
        <v>255</v>
      </c>
      <c r="K185" t="s">
        <v>1004</v>
      </c>
      <c r="L185">
        <v>38.38</v>
      </c>
      <c r="M185">
        <v>3322.026</v>
      </c>
      <c r="N185" t="s">
        <v>663</v>
      </c>
      <c r="O185">
        <v>37.75</v>
      </c>
      <c r="P185">
        <v>3236.48</v>
      </c>
      <c r="Q185" s="1">
        <f t="shared" si="9"/>
        <v>-0.0164147993746744</v>
      </c>
      <c r="R185" s="1">
        <f t="shared" si="10"/>
        <v>-0.0257511530614149</v>
      </c>
      <c r="S185" t="s">
        <v>1005</v>
      </c>
      <c r="T185">
        <v>27.08</v>
      </c>
      <c r="U185">
        <v>3133.247</v>
      </c>
      <c r="V185" s="1">
        <f t="shared" si="11"/>
        <v>-0.282649006622517</v>
      </c>
      <c r="W185" s="1">
        <f t="shared" si="12"/>
        <v>-0.0318966902313625</v>
      </c>
      <c r="X185" t="s">
        <v>631</v>
      </c>
      <c r="Y185">
        <v>27.71</v>
      </c>
      <c r="Z185">
        <v>2983.059</v>
      </c>
      <c r="AA185" s="2">
        <f t="shared" si="13"/>
        <v>0.0232644017725259</v>
      </c>
      <c r="AB185" s="2">
        <f t="shared" si="14"/>
        <v>-0.0479336611508763</v>
      </c>
      <c r="AC185" t="s">
        <v>1006</v>
      </c>
      <c r="AD185">
        <v>31.92</v>
      </c>
      <c r="AE185">
        <v>3038.97</v>
      </c>
      <c r="AF185" s="2">
        <f t="shared" si="15"/>
        <v>0.151930710934681</v>
      </c>
      <c r="AG185" s="2">
        <f t="shared" si="16"/>
        <v>0.0187428408221224</v>
      </c>
      <c r="AH185" t="s">
        <v>999</v>
      </c>
      <c r="AI185" t="s">
        <v>118</v>
      </c>
      <c r="AJ185" t="s">
        <v>625</v>
      </c>
    </row>
    <row r="186" spans="1:36">
      <c r="A186">
        <v>113678</v>
      </c>
      <c r="B186" t="s">
        <v>1007</v>
      </c>
      <c r="C186">
        <v>603220</v>
      </c>
      <c r="D186" t="s">
        <v>1008</v>
      </c>
      <c r="E186" t="s">
        <v>1009</v>
      </c>
      <c r="F186" t="s">
        <v>31</v>
      </c>
      <c r="G186" t="s">
        <v>1010</v>
      </c>
      <c r="H186" t="s">
        <v>33</v>
      </c>
      <c r="I186" t="s">
        <v>255</v>
      </c>
      <c r="J186" t="s">
        <v>255</v>
      </c>
      <c r="K186" t="s">
        <v>648</v>
      </c>
      <c r="L186">
        <v>10.1</v>
      </c>
      <c r="M186">
        <v>3322.026</v>
      </c>
      <c r="N186" t="s">
        <v>1011</v>
      </c>
      <c r="O186">
        <v>11.55</v>
      </c>
      <c r="P186">
        <v>3189.443</v>
      </c>
      <c r="Q186" s="1">
        <f t="shared" si="9"/>
        <v>0.143564356435644</v>
      </c>
      <c r="R186" s="1">
        <f t="shared" si="10"/>
        <v>-0.0399102836642457</v>
      </c>
      <c r="S186" t="s">
        <v>695</v>
      </c>
      <c r="T186">
        <v>14</v>
      </c>
      <c r="U186">
        <v>3131.953</v>
      </c>
      <c r="V186" s="1">
        <f t="shared" si="11"/>
        <v>0.212121212121212</v>
      </c>
      <c r="W186" s="1">
        <f t="shared" si="12"/>
        <v>-0.0180250909014521</v>
      </c>
      <c r="X186" t="s">
        <v>1010</v>
      </c>
      <c r="Y186">
        <v>27.08</v>
      </c>
      <c r="Z186">
        <v>3005.393</v>
      </c>
      <c r="AA186" s="2">
        <f t="shared" si="13"/>
        <v>0.934285714285714</v>
      </c>
      <c r="AB186" s="2">
        <f t="shared" si="14"/>
        <v>-0.0404092909440212</v>
      </c>
      <c r="AC186" t="s">
        <v>919</v>
      </c>
      <c r="AD186">
        <v>35.24</v>
      </c>
      <c r="AE186">
        <v>3067.933</v>
      </c>
      <c r="AF186" s="2">
        <f t="shared" si="15"/>
        <v>0.301329394387002</v>
      </c>
      <c r="AG186" s="2">
        <f t="shared" si="16"/>
        <v>0.0208092585562021</v>
      </c>
      <c r="AH186" t="s">
        <v>1012</v>
      </c>
      <c r="AI186" t="s">
        <v>41</v>
      </c>
      <c r="AJ186" t="s">
        <v>41</v>
      </c>
    </row>
    <row r="187" spans="1:36">
      <c r="A187">
        <v>127095</v>
      </c>
      <c r="B187" t="s">
        <v>1013</v>
      </c>
      <c r="C187">
        <v>2111</v>
      </c>
      <c r="D187" t="s">
        <v>1014</v>
      </c>
      <c r="E187" t="s">
        <v>1015</v>
      </c>
      <c r="F187" t="s">
        <v>56</v>
      </c>
      <c r="G187" t="s">
        <v>1016</v>
      </c>
      <c r="H187" t="s">
        <v>33</v>
      </c>
      <c r="I187" t="s">
        <v>255</v>
      </c>
      <c r="J187" t="s">
        <v>255</v>
      </c>
      <c r="K187" t="s">
        <v>1017</v>
      </c>
      <c r="L187">
        <v>9.39</v>
      </c>
      <c r="M187">
        <v>3245.376</v>
      </c>
      <c r="N187" t="s">
        <v>663</v>
      </c>
      <c r="O187">
        <v>9.09</v>
      </c>
      <c r="P187">
        <v>3236.48</v>
      </c>
      <c r="Q187" s="1">
        <f t="shared" si="9"/>
        <v>-0.0319488817891375</v>
      </c>
      <c r="R187" s="1">
        <f t="shared" si="10"/>
        <v>-0.00274113076574184</v>
      </c>
      <c r="S187" t="s">
        <v>926</v>
      </c>
      <c r="T187">
        <v>8.68</v>
      </c>
      <c r="U187">
        <v>3119.876</v>
      </c>
      <c r="V187" s="1">
        <f t="shared" si="11"/>
        <v>-0.0451045104510451</v>
      </c>
      <c r="W187" s="1">
        <f t="shared" si="12"/>
        <v>-0.0360280304528376</v>
      </c>
      <c r="X187" t="s">
        <v>1016</v>
      </c>
      <c r="Y187">
        <v>8.32</v>
      </c>
      <c r="Z187">
        <v>3058.71</v>
      </c>
      <c r="AA187" s="2">
        <f t="shared" si="13"/>
        <v>-0.0414746543778801</v>
      </c>
      <c r="AB187" s="2">
        <f t="shared" si="14"/>
        <v>-0.0196052663631504</v>
      </c>
      <c r="AC187" t="s">
        <v>1006</v>
      </c>
      <c r="AD187">
        <v>8.98</v>
      </c>
      <c r="AE187">
        <v>3038.97</v>
      </c>
      <c r="AF187" s="2">
        <f t="shared" si="15"/>
        <v>0.0793269230769231</v>
      </c>
      <c r="AG187" s="2">
        <f t="shared" si="16"/>
        <v>-0.00645370107005902</v>
      </c>
      <c r="AH187" t="s">
        <v>1018</v>
      </c>
      <c r="AI187" t="s">
        <v>41</v>
      </c>
      <c r="AJ187" t="s">
        <v>41</v>
      </c>
    </row>
    <row r="188" spans="1:36">
      <c r="A188">
        <v>127094</v>
      </c>
      <c r="B188" t="s">
        <v>1019</v>
      </c>
      <c r="C188">
        <v>2809</v>
      </c>
      <c r="D188" t="s">
        <v>1020</v>
      </c>
      <c r="E188" t="s">
        <v>1021</v>
      </c>
      <c r="F188" t="s">
        <v>31</v>
      </c>
      <c r="G188" t="s">
        <v>1016</v>
      </c>
      <c r="H188" t="s">
        <v>33</v>
      </c>
      <c r="I188" t="s">
        <v>255</v>
      </c>
      <c r="J188" t="s">
        <v>255</v>
      </c>
      <c r="K188" t="s">
        <v>757</v>
      </c>
      <c r="L188">
        <v>10.18</v>
      </c>
      <c r="M188">
        <v>3310.654</v>
      </c>
      <c r="N188" t="s">
        <v>663</v>
      </c>
      <c r="O188">
        <v>10.65</v>
      </c>
      <c r="P188">
        <v>3236.48</v>
      </c>
      <c r="Q188" s="1">
        <f t="shared" si="9"/>
        <v>0.0461689587426327</v>
      </c>
      <c r="R188" s="1">
        <f t="shared" si="10"/>
        <v>-0.0224046366669546</v>
      </c>
      <c r="S188" t="s">
        <v>926</v>
      </c>
      <c r="T188">
        <v>10.4</v>
      </c>
      <c r="U188">
        <v>3119.876</v>
      </c>
      <c r="V188" s="1">
        <f t="shared" si="11"/>
        <v>-0.0234741784037559</v>
      </c>
      <c r="W188" s="1">
        <f t="shared" si="12"/>
        <v>-0.0360280304528376</v>
      </c>
      <c r="X188" t="s">
        <v>1016</v>
      </c>
      <c r="Y188">
        <v>9.14</v>
      </c>
      <c r="Z188">
        <v>3058.71</v>
      </c>
      <c r="AA188" s="2">
        <f t="shared" si="13"/>
        <v>-0.121153846153846</v>
      </c>
      <c r="AB188" s="2">
        <f t="shared" si="14"/>
        <v>-0.0196052663631504</v>
      </c>
      <c r="AC188" t="s">
        <v>1022</v>
      </c>
      <c r="AD188">
        <v>10.2</v>
      </c>
      <c r="AE188">
        <v>3052.373</v>
      </c>
      <c r="AF188" s="2">
        <f t="shared" si="15"/>
        <v>0.115973741794311</v>
      </c>
      <c r="AG188" s="2">
        <f t="shared" si="16"/>
        <v>-0.00207178843368609</v>
      </c>
      <c r="AH188" t="s">
        <v>1018</v>
      </c>
      <c r="AI188" t="s">
        <v>41</v>
      </c>
      <c r="AJ188" t="s">
        <v>41</v>
      </c>
    </row>
    <row r="189" spans="1:36">
      <c r="A189">
        <v>127093</v>
      </c>
      <c r="B189" t="s">
        <v>1023</v>
      </c>
      <c r="C189">
        <v>2598</v>
      </c>
      <c r="D189" t="s">
        <v>1024</v>
      </c>
      <c r="E189" t="s">
        <v>30</v>
      </c>
      <c r="F189" t="s">
        <v>31</v>
      </c>
      <c r="G189" t="s">
        <v>1025</v>
      </c>
      <c r="H189" t="s">
        <v>33</v>
      </c>
      <c r="I189" t="s">
        <v>255</v>
      </c>
      <c r="J189" t="s">
        <v>255</v>
      </c>
      <c r="K189" t="s">
        <v>1026</v>
      </c>
      <c r="L189">
        <v>11.76</v>
      </c>
      <c r="M189">
        <v>3312.628</v>
      </c>
      <c r="N189" t="s">
        <v>681</v>
      </c>
      <c r="O189">
        <v>11.35</v>
      </c>
      <c r="P189">
        <v>3196.609</v>
      </c>
      <c r="Q189" s="1">
        <f t="shared" si="9"/>
        <v>-0.0348639455782313</v>
      </c>
      <c r="R189" s="1">
        <f t="shared" si="10"/>
        <v>-0.0350232504223234</v>
      </c>
      <c r="S189" t="s">
        <v>946</v>
      </c>
      <c r="T189">
        <v>10.18</v>
      </c>
      <c r="U189">
        <v>3135.887</v>
      </c>
      <c r="V189" s="1">
        <f t="shared" si="11"/>
        <v>-0.103083700440529</v>
      </c>
      <c r="W189" s="1">
        <f t="shared" si="12"/>
        <v>-0.0189957545636641</v>
      </c>
      <c r="X189" t="s">
        <v>1025</v>
      </c>
      <c r="Y189">
        <v>9.54</v>
      </c>
      <c r="Z189">
        <v>3083.496</v>
      </c>
      <c r="AA189" s="2">
        <f t="shared" si="13"/>
        <v>-0.06286836935167</v>
      </c>
      <c r="AB189" s="2">
        <f t="shared" si="14"/>
        <v>-0.0167069157785341</v>
      </c>
      <c r="AC189" t="s">
        <v>1027</v>
      </c>
      <c r="AD189">
        <v>9.85</v>
      </c>
      <c r="AE189">
        <v>3030.798</v>
      </c>
      <c r="AF189" s="2">
        <f t="shared" si="15"/>
        <v>0.0324947589098533</v>
      </c>
      <c r="AG189" s="2">
        <f t="shared" si="16"/>
        <v>-0.017090341612248</v>
      </c>
      <c r="AH189" t="s">
        <v>1028</v>
      </c>
      <c r="AI189" t="s">
        <v>41</v>
      </c>
      <c r="AJ189" t="s">
        <v>41</v>
      </c>
    </row>
    <row r="190" spans="1:36">
      <c r="A190">
        <v>123226</v>
      </c>
      <c r="B190" t="s">
        <v>1029</v>
      </c>
      <c r="C190">
        <v>300814</v>
      </c>
      <c r="D190" t="s">
        <v>1030</v>
      </c>
      <c r="E190" t="s">
        <v>483</v>
      </c>
      <c r="F190" t="s">
        <v>41</v>
      </c>
      <c r="G190" t="s">
        <v>1031</v>
      </c>
      <c r="H190" t="s">
        <v>621</v>
      </c>
      <c r="I190" t="s">
        <v>255</v>
      </c>
      <c r="J190" t="s">
        <v>255</v>
      </c>
      <c r="K190" t="s">
        <v>1032</v>
      </c>
      <c r="L190">
        <v>22.33</v>
      </c>
      <c r="M190">
        <v>3261.249</v>
      </c>
      <c r="N190" t="s">
        <v>961</v>
      </c>
      <c r="O190">
        <v>29.03</v>
      </c>
      <c r="P190">
        <v>3275.926</v>
      </c>
      <c r="Q190" s="1">
        <f t="shared" si="9"/>
        <v>0.300044782803404</v>
      </c>
      <c r="R190" s="1">
        <f t="shared" si="10"/>
        <v>0.00450042299744673</v>
      </c>
      <c r="S190" t="s">
        <v>913</v>
      </c>
      <c r="T190">
        <v>43.19</v>
      </c>
      <c r="U190">
        <v>3158.077</v>
      </c>
      <c r="V190" s="1">
        <f t="shared" si="11"/>
        <v>0.487771271098863</v>
      </c>
      <c r="W190" s="1">
        <f t="shared" si="12"/>
        <v>-0.0359742558287335</v>
      </c>
      <c r="X190" t="s">
        <v>1031</v>
      </c>
      <c r="Y190">
        <v>32.25</v>
      </c>
      <c r="Z190">
        <v>3073.813</v>
      </c>
      <c r="AA190" s="2">
        <f t="shared" si="13"/>
        <v>-0.253299374855291</v>
      </c>
      <c r="AB190" s="2">
        <f t="shared" si="14"/>
        <v>-0.026682060000437</v>
      </c>
      <c r="AC190" t="s">
        <v>1027</v>
      </c>
      <c r="AD190">
        <v>31.75</v>
      </c>
      <c r="AE190">
        <v>3030.798</v>
      </c>
      <c r="AF190" s="2">
        <f t="shared" si="15"/>
        <v>-0.0155038759689922</v>
      </c>
      <c r="AG190" s="2">
        <f t="shared" si="16"/>
        <v>-0.0139940198053689</v>
      </c>
      <c r="AH190" t="s">
        <v>1028</v>
      </c>
      <c r="AI190" t="s">
        <v>470</v>
      </c>
      <c r="AJ190" t="s">
        <v>625</v>
      </c>
    </row>
    <row r="191" spans="1:36">
      <c r="A191">
        <v>123225</v>
      </c>
      <c r="B191" t="s">
        <v>1033</v>
      </c>
      <c r="C191">
        <v>300890</v>
      </c>
      <c r="D191" t="s">
        <v>1034</v>
      </c>
      <c r="E191" t="s">
        <v>115</v>
      </c>
      <c r="F191" t="s">
        <v>56</v>
      </c>
      <c r="G191" t="s">
        <v>1035</v>
      </c>
      <c r="H191" t="s">
        <v>33</v>
      </c>
      <c r="I191" t="s">
        <v>255</v>
      </c>
      <c r="J191" t="s">
        <v>255</v>
      </c>
      <c r="K191" t="s">
        <v>1036</v>
      </c>
      <c r="L191">
        <v>39.05</v>
      </c>
      <c r="M191">
        <v>3395.004</v>
      </c>
      <c r="N191" t="s">
        <v>961</v>
      </c>
      <c r="O191">
        <v>39.46</v>
      </c>
      <c r="P191">
        <v>3275.926</v>
      </c>
      <c r="Q191" s="1">
        <f t="shared" si="9"/>
        <v>0.0104993597951345</v>
      </c>
      <c r="R191" s="1">
        <f t="shared" si="10"/>
        <v>-0.0350744800300677</v>
      </c>
      <c r="S191" t="s">
        <v>913</v>
      </c>
      <c r="T191">
        <v>34.26</v>
      </c>
      <c r="U191">
        <v>3158.077</v>
      </c>
      <c r="V191" s="1">
        <f t="shared" si="11"/>
        <v>-0.131779016725798</v>
      </c>
      <c r="W191" s="1">
        <f t="shared" si="12"/>
        <v>-0.0359742558287335</v>
      </c>
      <c r="X191" t="s">
        <v>1035</v>
      </c>
      <c r="Y191">
        <v>32.78</v>
      </c>
      <c r="Z191">
        <v>3075.236</v>
      </c>
      <c r="AA191" s="2">
        <f t="shared" si="13"/>
        <v>-0.0431990659661412</v>
      </c>
      <c r="AB191" s="2">
        <f t="shared" si="14"/>
        <v>-0.0262314693403613</v>
      </c>
      <c r="AC191" t="s">
        <v>978</v>
      </c>
      <c r="AD191">
        <v>35.76</v>
      </c>
      <c r="AE191">
        <v>2988.299</v>
      </c>
      <c r="AF191" s="2">
        <f t="shared" si="15"/>
        <v>0.0909090909090908</v>
      </c>
      <c r="AG191" s="2">
        <f t="shared" si="16"/>
        <v>-0.0282700254549569</v>
      </c>
      <c r="AH191" t="s">
        <v>1037</v>
      </c>
      <c r="AI191" t="s">
        <v>41</v>
      </c>
      <c r="AJ191" t="s">
        <v>41</v>
      </c>
    </row>
    <row r="192" spans="1:36">
      <c r="A192">
        <v>127092</v>
      </c>
      <c r="B192" t="s">
        <v>1038</v>
      </c>
      <c r="C192">
        <v>1288</v>
      </c>
      <c r="D192" t="s">
        <v>1039</v>
      </c>
      <c r="E192" t="s">
        <v>1040</v>
      </c>
      <c r="F192" t="s">
        <v>56</v>
      </c>
      <c r="G192" t="s">
        <v>1041</v>
      </c>
      <c r="H192" t="s">
        <v>33</v>
      </c>
      <c r="I192" t="s">
        <v>255</v>
      </c>
      <c r="J192" t="s">
        <v>255</v>
      </c>
      <c r="K192" t="s">
        <v>1042</v>
      </c>
      <c r="L192">
        <v>11.5</v>
      </c>
      <c r="M192">
        <v>3283.542</v>
      </c>
      <c r="N192" t="s">
        <v>961</v>
      </c>
      <c r="O192">
        <v>11.78</v>
      </c>
      <c r="P192">
        <v>3275.926</v>
      </c>
      <c r="Q192" s="1">
        <f t="shared" si="9"/>
        <v>0.0243478260869565</v>
      </c>
      <c r="R192" s="1">
        <f t="shared" si="10"/>
        <v>-0.00231944650015136</v>
      </c>
      <c r="S192" t="s">
        <v>913</v>
      </c>
      <c r="T192">
        <v>12.27</v>
      </c>
      <c r="U192">
        <v>3158.077</v>
      </c>
      <c r="V192" s="1">
        <f t="shared" si="11"/>
        <v>0.0415959252971138</v>
      </c>
      <c r="W192" s="1">
        <f t="shared" si="12"/>
        <v>-0.0359742558287335</v>
      </c>
      <c r="X192" t="s">
        <v>1041</v>
      </c>
      <c r="Y192">
        <v>11.61</v>
      </c>
      <c r="Z192">
        <v>3084.701</v>
      </c>
      <c r="AA192" s="2">
        <f t="shared" si="13"/>
        <v>-0.0537897310513448</v>
      </c>
      <c r="AB192" s="2">
        <f t="shared" si="14"/>
        <v>-0.0232343923216566</v>
      </c>
      <c r="AC192" t="s">
        <v>631</v>
      </c>
      <c r="AD192">
        <v>11.31</v>
      </c>
      <c r="AE192">
        <v>2983.059</v>
      </c>
      <c r="AF192" s="2">
        <f t="shared" si="15"/>
        <v>-0.0258397932816537</v>
      </c>
      <c r="AG192" s="2">
        <f t="shared" si="16"/>
        <v>-0.0329503572631512</v>
      </c>
      <c r="AH192" t="s">
        <v>1043</v>
      </c>
      <c r="AI192" t="s">
        <v>41</v>
      </c>
      <c r="AJ192" t="s">
        <v>41</v>
      </c>
    </row>
    <row r="193" spans="1:36">
      <c r="A193">
        <v>123224</v>
      </c>
      <c r="B193" t="s">
        <v>1044</v>
      </c>
      <c r="C193">
        <v>301266</v>
      </c>
      <c r="D193" t="s">
        <v>1045</v>
      </c>
      <c r="E193" t="s">
        <v>522</v>
      </c>
      <c r="F193" t="s">
        <v>31</v>
      </c>
      <c r="G193" t="s">
        <v>1046</v>
      </c>
      <c r="H193" t="s">
        <v>33</v>
      </c>
      <c r="I193" t="s">
        <v>255</v>
      </c>
      <c r="J193" t="s">
        <v>255</v>
      </c>
      <c r="K193" t="s">
        <v>1047</v>
      </c>
      <c r="L193">
        <v>59.62</v>
      </c>
      <c r="M193">
        <v>3318.364</v>
      </c>
      <c r="N193" t="s">
        <v>663</v>
      </c>
      <c r="O193">
        <v>64.63</v>
      </c>
      <c r="P193">
        <v>3236.48</v>
      </c>
      <c r="Q193" s="1">
        <f t="shared" si="9"/>
        <v>0.0840322039584032</v>
      </c>
      <c r="R193" s="1">
        <f t="shared" si="10"/>
        <v>-0.0246760150483793</v>
      </c>
      <c r="S193" t="s">
        <v>946</v>
      </c>
      <c r="T193">
        <v>50.32</v>
      </c>
      <c r="U193">
        <v>3135.887</v>
      </c>
      <c r="V193" s="1">
        <f t="shared" si="11"/>
        <v>-0.221414203930063</v>
      </c>
      <c r="W193" s="1">
        <f t="shared" si="12"/>
        <v>-0.0310809892228594</v>
      </c>
      <c r="X193" t="s">
        <v>1046</v>
      </c>
      <c r="Y193">
        <v>49.24</v>
      </c>
      <c r="Z193">
        <v>3124.957</v>
      </c>
      <c r="AA193" s="2">
        <f t="shared" si="13"/>
        <v>-0.0214626391096979</v>
      </c>
      <c r="AB193" s="2">
        <f t="shared" si="14"/>
        <v>-0.00348545722470239</v>
      </c>
      <c r="AC193" t="s">
        <v>1016</v>
      </c>
      <c r="AD193">
        <v>46.56</v>
      </c>
      <c r="AE193">
        <v>3058.71</v>
      </c>
      <c r="AF193" s="2">
        <f t="shared" si="15"/>
        <v>-0.0544272948822096</v>
      </c>
      <c r="AG193" s="2">
        <f t="shared" si="16"/>
        <v>-0.0211993317028042</v>
      </c>
      <c r="AH193" t="s">
        <v>1048</v>
      </c>
      <c r="AI193" t="s">
        <v>41</v>
      </c>
      <c r="AJ193" t="s">
        <v>41</v>
      </c>
    </row>
    <row r="194" spans="1:36">
      <c r="A194">
        <v>123223</v>
      </c>
      <c r="B194" t="s">
        <v>1049</v>
      </c>
      <c r="C194">
        <v>300705</v>
      </c>
      <c r="D194" t="s">
        <v>1050</v>
      </c>
      <c r="E194" t="s">
        <v>1051</v>
      </c>
      <c r="F194" t="s">
        <v>31</v>
      </c>
      <c r="G194" t="s">
        <v>894</v>
      </c>
      <c r="H194" t="s">
        <v>33</v>
      </c>
      <c r="I194" t="s">
        <v>255</v>
      </c>
      <c r="J194" t="s">
        <v>255</v>
      </c>
      <c r="K194" t="s">
        <v>1052</v>
      </c>
      <c r="L194">
        <v>12.12</v>
      </c>
      <c r="M194">
        <v>3108.91</v>
      </c>
      <c r="N194" t="s">
        <v>1053</v>
      </c>
      <c r="O194">
        <v>14.8</v>
      </c>
      <c r="P194">
        <v>3045.866</v>
      </c>
      <c r="Q194" s="1">
        <f t="shared" si="9"/>
        <v>0.221122112211221</v>
      </c>
      <c r="R194" s="1">
        <f t="shared" si="10"/>
        <v>-0.0202784898887391</v>
      </c>
      <c r="S194" t="s">
        <v>1054</v>
      </c>
      <c r="T194">
        <v>19.21</v>
      </c>
      <c r="U194">
        <v>3226.891</v>
      </c>
      <c r="V194" s="1">
        <f t="shared" si="11"/>
        <v>0.297972972972973</v>
      </c>
      <c r="W194" s="1">
        <f t="shared" si="12"/>
        <v>0.0594330151096601</v>
      </c>
      <c r="X194" t="s">
        <v>894</v>
      </c>
      <c r="Y194">
        <v>15.5</v>
      </c>
      <c r="Z194">
        <v>3117.743</v>
      </c>
      <c r="AA194" s="2">
        <f t="shared" si="13"/>
        <v>-0.193128578865174</v>
      </c>
      <c r="AB194" s="2">
        <f t="shared" si="14"/>
        <v>-0.0338245078622117</v>
      </c>
      <c r="AC194" t="s">
        <v>1055</v>
      </c>
      <c r="AD194">
        <v>17.45</v>
      </c>
      <c r="AE194">
        <v>3088.099</v>
      </c>
      <c r="AF194" s="2">
        <f t="shared" si="15"/>
        <v>0.125806451612903</v>
      </c>
      <c r="AG194" s="2">
        <f t="shared" si="16"/>
        <v>-0.00950816023001247</v>
      </c>
      <c r="AH194" t="s">
        <v>1056</v>
      </c>
      <c r="AI194" t="s">
        <v>41</v>
      </c>
      <c r="AJ194" t="s">
        <v>41</v>
      </c>
    </row>
    <row r="195" spans="1:36">
      <c r="A195">
        <v>113677</v>
      </c>
      <c r="B195" t="s">
        <v>1057</v>
      </c>
      <c r="C195">
        <v>603306</v>
      </c>
      <c r="D195" t="s">
        <v>1058</v>
      </c>
      <c r="E195" t="s">
        <v>1059</v>
      </c>
      <c r="F195" t="s">
        <v>56</v>
      </c>
      <c r="G195" t="s">
        <v>1060</v>
      </c>
      <c r="H195" t="s">
        <v>33</v>
      </c>
      <c r="I195" t="s">
        <v>255</v>
      </c>
      <c r="J195" t="s">
        <v>255</v>
      </c>
      <c r="K195" t="s">
        <v>880</v>
      </c>
      <c r="L195">
        <v>42.07</v>
      </c>
      <c r="M195">
        <v>3312.348</v>
      </c>
      <c r="N195" t="s">
        <v>881</v>
      </c>
      <c r="O195">
        <v>28.43</v>
      </c>
      <c r="P195">
        <v>3252.975</v>
      </c>
      <c r="Q195" s="1">
        <f t="shared" ref="Q195:Q258" si="17">(O195-L195)/L195</f>
        <v>-0.324221535536011</v>
      </c>
      <c r="R195" s="1">
        <f t="shared" ref="R195:R258" si="18">(P195-M195)/M195</f>
        <v>-0.017924747037449</v>
      </c>
      <c r="S195" t="s">
        <v>786</v>
      </c>
      <c r="T195">
        <v>26.8</v>
      </c>
      <c r="U195">
        <v>3261.69</v>
      </c>
      <c r="V195" s="1">
        <f t="shared" ref="V195:V258" si="19">(T195-O195)/O195</f>
        <v>-0.0573338023214914</v>
      </c>
      <c r="W195" s="1">
        <f t="shared" ref="W195:W258" si="20">(U195-P195)/P195</f>
        <v>0.00267908606736915</v>
      </c>
      <c r="X195" t="s">
        <v>1060</v>
      </c>
      <c r="Y195">
        <v>34.9</v>
      </c>
      <c r="Z195">
        <v>3126.551</v>
      </c>
      <c r="AA195" s="2">
        <f t="shared" ref="AA195:AA258" si="21">(Y195-T195)/T195</f>
        <v>0.302238805970149</v>
      </c>
      <c r="AB195" s="2">
        <f t="shared" ref="AB195:AB258" si="22">(Z195-U195)/U195</f>
        <v>-0.0414322023245618</v>
      </c>
      <c r="AC195" t="s">
        <v>1061</v>
      </c>
      <c r="AD195">
        <v>31.26</v>
      </c>
      <c r="AE195">
        <v>3107.901</v>
      </c>
      <c r="AF195" s="2">
        <f t="shared" ref="AF195:AF258" si="23">(AD195-Y195)/Y195</f>
        <v>-0.104297994269341</v>
      </c>
      <c r="AG195" s="2">
        <f t="shared" ref="AG195:AG258" si="24">(AE195-Z195)/Z195</f>
        <v>-0.00596503943162932</v>
      </c>
      <c r="AH195" t="s">
        <v>1062</v>
      </c>
      <c r="AI195" t="s">
        <v>41</v>
      </c>
      <c r="AJ195" t="s">
        <v>41</v>
      </c>
    </row>
    <row r="196" spans="1:36">
      <c r="A196">
        <v>118045</v>
      </c>
      <c r="B196" t="s">
        <v>1063</v>
      </c>
      <c r="C196">
        <v>688311</v>
      </c>
      <c r="D196" t="s">
        <v>1064</v>
      </c>
      <c r="E196" t="s">
        <v>218</v>
      </c>
      <c r="F196" t="s">
        <v>708</v>
      </c>
      <c r="G196" t="s">
        <v>1065</v>
      </c>
      <c r="H196" t="s">
        <v>33</v>
      </c>
      <c r="I196" t="s">
        <v>255</v>
      </c>
      <c r="J196" t="s">
        <v>255</v>
      </c>
      <c r="K196" t="s">
        <v>1053</v>
      </c>
      <c r="L196">
        <v>50.79</v>
      </c>
      <c r="M196">
        <v>3045.866</v>
      </c>
      <c r="N196" t="s">
        <v>1066</v>
      </c>
      <c r="O196">
        <v>47.42</v>
      </c>
      <c r="P196">
        <v>3334.503</v>
      </c>
      <c r="Q196" s="1">
        <f t="shared" si="17"/>
        <v>-0.0663516440244142</v>
      </c>
      <c r="R196" s="1">
        <f t="shared" si="18"/>
        <v>0.0947635253816157</v>
      </c>
      <c r="S196" t="s">
        <v>1067</v>
      </c>
      <c r="T196">
        <v>47.69</v>
      </c>
      <c r="U196">
        <v>3255.806</v>
      </c>
      <c r="V196" s="1">
        <f t="shared" si="19"/>
        <v>0.00569380008435251</v>
      </c>
      <c r="W196" s="1">
        <f t="shared" si="20"/>
        <v>-0.0236008184727979</v>
      </c>
      <c r="X196" t="s">
        <v>1065</v>
      </c>
      <c r="Y196">
        <v>42.69</v>
      </c>
      <c r="Z196">
        <v>3137.059</v>
      </c>
      <c r="AA196" s="2">
        <f t="shared" si="21"/>
        <v>-0.104843782763682</v>
      </c>
      <c r="AB196" s="2">
        <f t="shared" si="22"/>
        <v>-0.0364723819539616</v>
      </c>
      <c r="AC196" t="s">
        <v>1025</v>
      </c>
      <c r="AD196">
        <v>44.24</v>
      </c>
      <c r="AE196">
        <v>3083.496</v>
      </c>
      <c r="AF196" s="2">
        <f t="shared" si="23"/>
        <v>0.036308268915437</v>
      </c>
      <c r="AG196" s="2">
        <f t="shared" si="24"/>
        <v>-0.0170742724315992</v>
      </c>
      <c r="AH196" t="s">
        <v>1068</v>
      </c>
      <c r="AI196" t="s">
        <v>41</v>
      </c>
      <c r="AJ196" t="s">
        <v>41</v>
      </c>
    </row>
    <row r="197" spans="1:36">
      <c r="A197">
        <v>118044</v>
      </c>
      <c r="B197" t="s">
        <v>1069</v>
      </c>
      <c r="C197">
        <v>688398</v>
      </c>
      <c r="D197" t="s">
        <v>1070</v>
      </c>
      <c r="E197" t="s">
        <v>1071</v>
      </c>
      <c r="F197" t="s">
        <v>31</v>
      </c>
      <c r="G197" t="s">
        <v>1072</v>
      </c>
      <c r="H197" t="s">
        <v>33</v>
      </c>
      <c r="I197" t="s">
        <v>255</v>
      </c>
      <c r="J197" t="s">
        <v>255</v>
      </c>
      <c r="K197" t="s">
        <v>1073</v>
      </c>
      <c r="L197">
        <v>13.18</v>
      </c>
      <c r="M197">
        <v>3379.185</v>
      </c>
      <c r="N197" t="s">
        <v>1052</v>
      </c>
      <c r="O197">
        <v>13.52</v>
      </c>
      <c r="P197">
        <v>3108.91</v>
      </c>
      <c r="Q197" s="1">
        <f t="shared" si="17"/>
        <v>0.0257966616084977</v>
      </c>
      <c r="R197" s="1">
        <f t="shared" si="18"/>
        <v>-0.0799823034252342</v>
      </c>
      <c r="S197" t="s">
        <v>1074</v>
      </c>
      <c r="T197">
        <v>15.15</v>
      </c>
      <c r="U197">
        <v>3070.796</v>
      </c>
      <c r="V197" s="1">
        <f t="shared" si="19"/>
        <v>0.120562130177515</v>
      </c>
      <c r="W197" s="1">
        <f t="shared" si="20"/>
        <v>-0.0122596022400134</v>
      </c>
      <c r="X197" t="s">
        <v>1072</v>
      </c>
      <c r="Y197">
        <v>22.5</v>
      </c>
      <c r="Z197">
        <v>3142.779</v>
      </c>
      <c r="AA197" s="2">
        <f t="shared" si="21"/>
        <v>0.485148514851485</v>
      </c>
      <c r="AB197" s="2">
        <f t="shared" si="22"/>
        <v>0.0234411533687032</v>
      </c>
      <c r="AC197" t="s">
        <v>1061</v>
      </c>
      <c r="AD197">
        <v>21.4</v>
      </c>
      <c r="AE197">
        <v>3107.901</v>
      </c>
      <c r="AF197" s="2">
        <f t="shared" si="23"/>
        <v>-0.048888888888889</v>
      </c>
      <c r="AG197" s="2">
        <f t="shared" si="24"/>
        <v>-0.0110978213867409</v>
      </c>
      <c r="AH197" t="s">
        <v>1075</v>
      </c>
      <c r="AI197" t="s">
        <v>41</v>
      </c>
      <c r="AJ197" t="s">
        <v>41</v>
      </c>
    </row>
    <row r="198" spans="1:36">
      <c r="A198">
        <v>123222</v>
      </c>
      <c r="B198" t="s">
        <v>1076</v>
      </c>
      <c r="C198">
        <v>300926</v>
      </c>
      <c r="D198" t="s">
        <v>1077</v>
      </c>
      <c r="E198" t="s">
        <v>522</v>
      </c>
      <c r="F198" t="s">
        <v>31</v>
      </c>
      <c r="G198" t="s">
        <v>1078</v>
      </c>
      <c r="H198" t="s">
        <v>33</v>
      </c>
      <c r="I198" t="s">
        <v>255</v>
      </c>
      <c r="J198" t="s">
        <v>255</v>
      </c>
      <c r="K198" t="s">
        <v>1079</v>
      </c>
      <c r="L198">
        <v>8.1</v>
      </c>
      <c r="M198">
        <v>3095.568</v>
      </c>
      <c r="N198" t="s">
        <v>1080</v>
      </c>
      <c r="O198">
        <v>12.05</v>
      </c>
      <c r="P198">
        <v>3327.646</v>
      </c>
      <c r="Q198" s="1">
        <f t="shared" si="17"/>
        <v>0.487654320987654</v>
      </c>
      <c r="R198" s="1">
        <f t="shared" si="18"/>
        <v>0.0749710553927421</v>
      </c>
      <c r="S198" t="s">
        <v>1081</v>
      </c>
      <c r="T198">
        <v>12.01</v>
      </c>
      <c r="U198">
        <v>3290.987</v>
      </c>
      <c r="V198" s="1">
        <f t="shared" si="19"/>
        <v>-0.00331950207468887</v>
      </c>
      <c r="W198" s="1">
        <f t="shared" si="20"/>
        <v>-0.0110164963460657</v>
      </c>
      <c r="X198" t="s">
        <v>1078</v>
      </c>
      <c r="Y198">
        <v>15.58</v>
      </c>
      <c r="Z198">
        <v>3116.719</v>
      </c>
      <c r="AA198" s="2">
        <f t="shared" si="21"/>
        <v>0.297252289758535</v>
      </c>
      <c r="AB198" s="2">
        <f t="shared" si="22"/>
        <v>-0.0529531110271782</v>
      </c>
      <c r="AC198" t="s">
        <v>1082</v>
      </c>
      <c r="AD198">
        <v>21.09</v>
      </c>
      <c r="AE198">
        <v>3110.475</v>
      </c>
      <c r="AF198" s="2">
        <f t="shared" si="23"/>
        <v>0.353658536585366</v>
      </c>
      <c r="AG198" s="2">
        <f t="shared" si="24"/>
        <v>-0.00200338882010221</v>
      </c>
      <c r="AH198" t="s">
        <v>1083</v>
      </c>
      <c r="AI198" t="s">
        <v>41</v>
      </c>
      <c r="AJ198" t="s">
        <v>41</v>
      </c>
    </row>
    <row r="199" spans="1:36">
      <c r="A199">
        <v>123221</v>
      </c>
      <c r="B199" t="s">
        <v>1084</v>
      </c>
      <c r="C199">
        <v>301188</v>
      </c>
      <c r="D199" t="s">
        <v>1085</v>
      </c>
      <c r="E199" t="s">
        <v>522</v>
      </c>
      <c r="F199" t="s">
        <v>31</v>
      </c>
      <c r="G199" t="s">
        <v>906</v>
      </c>
      <c r="H199" t="s">
        <v>33</v>
      </c>
      <c r="I199" t="s">
        <v>255</v>
      </c>
      <c r="J199" t="s">
        <v>255</v>
      </c>
      <c r="K199" t="s">
        <v>1086</v>
      </c>
      <c r="L199">
        <v>17.67</v>
      </c>
      <c r="M199">
        <v>3255.669</v>
      </c>
      <c r="N199" t="s">
        <v>1087</v>
      </c>
      <c r="O199">
        <v>16.92</v>
      </c>
      <c r="P199">
        <v>3273.334</v>
      </c>
      <c r="Q199" s="1">
        <f t="shared" si="17"/>
        <v>-0.0424448217317487</v>
      </c>
      <c r="R199" s="1">
        <f t="shared" si="18"/>
        <v>0.00542592014114456</v>
      </c>
      <c r="S199" t="s">
        <v>786</v>
      </c>
      <c r="T199">
        <v>13.86</v>
      </c>
      <c r="U199">
        <v>3261.69</v>
      </c>
      <c r="V199" s="1">
        <f t="shared" si="19"/>
        <v>-0.180851063829787</v>
      </c>
      <c r="W199" s="1">
        <f t="shared" si="20"/>
        <v>-0.00355722941807948</v>
      </c>
      <c r="X199" t="s">
        <v>906</v>
      </c>
      <c r="Y199">
        <v>12.61</v>
      </c>
      <c r="Z199">
        <v>3078.402</v>
      </c>
      <c r="AA199" s="2">
        <f t="shared" si="21"/>
        <v>-0.0901875901875902</v>
      </c>
      <c r="AB199" s="2">
        <f t="shared" si="22"/>
        <v>-0.0561941815439235</v>
      </c>
      <c r="AC199" t="s">
        <v>1060</v>
      </c>
      <c r="AD199">
        <v>12.21</v>
      </c>
      <c r="AE199">
        <v>3126.551</v>
      </c>
      <c r="AF199" s="2">
        <f t="shared" si="23"/>
        <v>-0.0317208564631244</v>
      </c>
      <c r="AG199" s="2">
        <f t="shared" si="24"/>
        <v>0.0156409071979553</v>
      </c>
      <c r="AH199" t="s">
        <v>1088</v>
      </c>
      <c r="AI199" t="s">
        <v>41</v>
      </c>
      <c r="AJ199" t="s">
        <v>41</v>
      </c>
    </row>
    <row r="200" spans="1:36">
      <c r="A200">
        <v>127091</v>
      </c>
      <c r="B200" t="s">
        <v>1089</v>
      </c>
      <c r="C200">
        <v>2335</v>
      </c>
      <c r="D200" t="s">
        <v>1090</v>
      </c>
      <c r="E200" t="s">
        <v>1091</v>
      </c>
      <c r="F200" t="s">
        <v>41</v>
      </c>
      <c r="G200" t="s">
        <v>906</v>
      </c>
      <c r="H200" t="s">
        <v>621</v>
      </c>
      <c r="I200" t="s">
        <v>255</v>
      </c>
      <c r="J200" t="s">
        <v>255</v>
      </c>
      <c r="K200" t="s">
        <v>805</v>
      </c>
      <c r="L200">
        <v>43.53</v>
      </c>
      <c r="M200">
        <v>3312.558</v>
      </c>
      <c r="N200" t="s">
        <v>953</v>
      </c>
      <c r="O200">
        <v>35.73</v>
      </c>
      <c r="P200">
        <v>3202.062</v>
      </c>
      <c r="Q200" s="1">
        <f t="shared" si="17"/>
        <v>-0.179186767746382</v>
      </c>
      <c r="R200" s="1">
        <f t="shared" si="18"/>
        <v>-0.0333566989619503</v>
      </c>
      <c r="S200" t="s">
        <v>1092</v>
      </c>
      <c r="T200">
        <v>34.48</v>
      </c>
      <c r="U200">
        <v>3254.56</v>
      </c>
      <c r="V200" s="1">
        <f t="shared" si="19"/>
        <v>-0.0349846067730199</v>
      </c>
      <c r="W200" s="1">
        <f t="shared" si="20"/>
        <v>0.0163950604329335</v>
      </c>
      <c r="X200" t="s">
        <v>906</v>
      </c>
      <c r="Y200">
        <v>30.3</v>
      </c>
      <c r="Z200">
        <v>3078.402</v>
      </c>
      <c r="AA200" s="2">
        <f t="shared" si="21"/>
        <v>-0.12122969837587</v>
      </c>
      <c r="AB200" s="2">
        <f t="shared" si="22"/>
        <v>-0.0541265178703112</v>
      </c>
      <c r="AC200" t="s">
        <v>1065</v>
      </c>
      <c r="AD200">
        <v>31.75</v>
      </c>
      <c r="AE200">
        <v>3137.059</v>
      </c>
      <c r="AF200" s="2">
        <f t="shared" si="23"/>
        <v>0.0478547854785478</v>
      </c>
      <c r="AG200" s="2">
        <f t="shared" si="24"/>
        <v>0.0190543665187328</v>
      </c>
      <c r="AH200" t="s">
        <v>1088</v>
      </c>
      <c r="AI200" t="s">
        <v>225</v>
      </c>
      <c r="AJ200" t="s">
        <v>625</v>
      </c>
    </row>
    <row r="201" spans="1:36">
      <c r="A201">
        <v>113676</v>
      </c>
      <c r="B201" t="s">
        <v>1093</v>
      </c>
      <c r="C201">
        <v>603165</v>
      </c>
      <c r="D201" t="s">
        <v>1094</v>
      </c>
      <c r="E201" t="s">
        <v>251</v>
      </c>
      <c r="F201" t="s">
        <v>56</v>
      </c>
      <c r="G201" t="s">
        <v>695</v>
      </c>
      <c r="H201" t="s">
        <v>33</v>
      </c>
      <c r="I201" t="s">
        <v>255</v>
      </c>
      <c r="J201" t="s">
        <v>255</v>
      </c>
      <c r="K201" t="s">
        <v>728</v>
      </c>
      <c r="L201">
        <v>10.91</v>
      </c>
      <c r="M201">
        <v>3328.393</v>
      </c>
      <c r="N201" t="s">
        <v>1095</v>
      </c>
      <c r="O201">
        <v>12.57</v>
      </c>
      <c r="P201">
        <v>3296.47</v>
      </c>
      <c r="Q201" s="1">
        <f t="shared" si="17"/>
        <v>0.152153987167736</v>
      </c>
      <c r="R201" s="1">
        <f t="shared" si="18"/>
        <v>-0.00959111499152901</v>
      </c>
      <c r="S201" t="s">
        <v>1096</v>
      </c>
      <c r="T201">
        <v>12.68</v>
      </c>
      <c r="U201">
        <v>3150.619</v>
      </c>
      <c r="V201" s="1">
        <f t="shared" si="19"/>
        <v>0.00875099443118532</v>
      </c>
      <c r="W201" s="1">
        <f t="shared" si="20"/>
        <v>-0.0442446010429337</v>
      </c>
      <c r="X201" t="s">
        <v>695</v>
      </c>
      <c r="Y201">
        <v>13.6</v>
      </c>
      <c r="Z201">
        <v>3131.953</v>
      </c>
      <c r="AA201" s="2">
        <f t="shared" si="21"/>
        <v>0.0725552050473186</v>
      </c>
      <c r="AB201" s="2">
        <f t="shared" si="22"/>
        <v>-0.00592455006460641</v>
      </c>
      <c r="AC201" t="s">
        <v>980</v>
      </c>
      <c r="AD201">
        <v>13.65</v>
      </c>
      <c r="AE201">
        <v>3123.067</v>
      </c>
      <c r="AF201" s="2">
        <f t="shared" si="23"/>
        <v>0.00367647058823535</v>
      </c>
      <c r="AG201" s="2">
        <f t="shared" si="24"/>
        <v>-0.0028372073271853</v>
      </c>
      <c r="AH201" t="s">
        <v>1097</v>
      </c>
      <c r="AI201" t="s">
        <v>41</v>
      </c>
      <c r="AJ201" t="s">
        <v>41</v>
      </c>
    </row>
    <row r="202" spans="1:36">
      <c r="A202">
        <v>123220</v>
      </c>
      <c r="B202" t="s">
        <v>1098</v>
      </c>
      <c r="C202">
        <v>300942</v>
      </c>
      <c r="D202" t="s">
        <v>1099</v>
      </c>
      <c r="E202" t="s">
        <v>509</v>
      </c>
      <c r="F202" t="s">
        <v>31</v>
      </c>
      <c r="G202" t="s">
        <v>695</v>
      </c>
      <c r="H202" t="s">
        <v>33</v>
      </c>
      <c r="I202" t="s">
        <v>255</v>
      </c>
      <c r="J202" t="s">
        <v>255</v>
      </c>
      <c r="K202" t="s">
        <v>1100</v>
      </c>
      <c r="L202">
        <v>20.91</v>
      </c>
      <c r="M202">
        <v>3258.078</v>
      </c>
      <c r="N202" t="s">
        <v>552</v>
      </c>
      <c r="O202">
        <v>13.32</v>
      </c>
      <c r="P202">
        <v>3201.261</v>
      </c>
      <c r="Q202" s="1">
        <f t="shared" si="17"/>
        <v>-0.362984218077475</v>
      </c>
      <c r="R202" s="1">
        <f t="shared" si="18"/>
        <v>-0.0174388090156221</v>
      </c>
      <c r="S202" t="s">
        <v>622</v>
      </c>
      <c r="T202">
        <v>12.51</v>
      </c>
      <c r="U202">
        <v>3245.349</v>
      </c>
      <c r="V202" s="1">
        <f t="shared" si="19"/>
        <v>-0.0608108108108108</v>
      </c>
      <c r="W202" s="1">
        <f t="shared" si="20"/>
        <v>0.0137720729425062</v>
      </c>
      <c r="X202" t="s">
        <v>695</v>
      </c>
      <c r="Y202">
        <v>14.05</v>
      </c>
      <c r="Z202">
        <v>3131.953</v>
      </c>
      <c r="AA202" s="2">
        <f t="shared" si="21"/>
        <v>0.123101518784972</v>
      </c>
      <c r="AB202" s="2">
        <f t="shared" si="22"/>
        <v>-0.034941080296757</v>
      </c>
      <c r="AC202" t="s">
        <v>913</v>
      </c>
      <c r="AD202">
        <v>14.12</v>
      </c>
      <c r="AE202">
        <v>3158.077</v>
      </c>
      <c r="AF202" s="2">
        <f t="shared" si="23"/>
        <v>0.00498220640569384</v>
      </c>
      <c r="AG202" s="2">
        <f t="shared" si="24"/>
        <v>0.0083411213386664</v>
      </c>
      <c r="AH202" t="s">
        <v>1097</v>
      </c>
      <c r="AI202" t="s">
        <v>41</v>
      </c>
      <c r="AJ202" t="s">
        <v>41</v>
      </c>
    </row>
    <row r="203" spans="1:36">
      <c r="A203">
        <v>111017</v>
      </c>
      <c r="B203" t="s">
        <v>1101</v>
      </c>
      <c r="C203">
        <v>605368</v>
      </c>
      <c r="D203" t="s">
        <v>1102</v>
      </c>
      <c r="E203" t="s">
        <v>1103</v>
      </c>
      <c r="F203" t="s">
        <v>397</v>
      </c>
      <c r="G203" t="s">
        <v>791</v>
      </c>
      <c r="H203" t="s">
        <v>33</v>
      </c>
      <c r="I203" t="s">
        <v>255</v>
      </c>
      <c r="J203" t="s">
        <v>255</v>
      </c>
      <c r="K203" t="s">
        <v>826</v>
      </c>
      <c r="L203">
        <v>6.43</v>
      </c>
      <c r="M203">
        <v>3279.605</v>
      </c>
      <c r="N203" t="s">
        <v>854</v>
      </c>
      <c r="O203">
        <v>7.37</v>
      </c>
      <c r="P203">
        <v>3204.749</v>
      </c>
      <c r="Q203" s="1">
        <f t="shared" si="17"/>
        <v>0.146189735614308</v>
      </c>
      <c r="R203" s="1">
        <f t="shared" si="18"/>
        <v>-0.0228246999257533</v>
      </c>
      <c r="S203" t="s">
        <v>1104</v>
      </c>
      <c r="T203">
        <v>7.95</v>
      </c>
      <c r="U203">
        <v>3223.028</v>
      </c>
      <c r="V203" s="1">
        <f t="shared" si="19"/>
        <v>0.0786974219810041</v>
      </c>
      <c r="W203" s="1">
        <f t="shared" si="20"/>
        <v>0.00570372281885414</v>
      </c>
      <c r="X203" t="s">
        <v>791</v>
      </c>
      <c r="Y203">
        <v>7.41</v>
      </c>
      <c r="Z203">
        <v>3176.176</v>
      </c>
      <c r="AA203" s="2">
        <f t="shared" si="21"/>
        <v>-0.0679245283018868</v>
      </c>
      <c r="AB203" s="2">
        <f t="shared" si="22"/>
        <v>-0.0145366406993671</v>
      </c>
      <c r="AC203" t="s">
        <v>1078</v>
      </c>
      <c r="AD203">
        <v>8.01</v>
      </c>
      <c r="AE203">
        <v>3116.719</v>
      </c>
      <c r="AF203" s="2">
        <f t="shared" si="23"/>
        <v>0.0809716599190283</v>
      </c>
      <c r="AG203" s="2">
        <f t="shared" si="24"/>
        <v>-0.0187196805214824</v>
      </c>
      <c r="AH203" t="s">
        <v>1105</v>
      </c>
      <c r="AI203" t="s">
        <v>41</v>
      </c>
      <c r="AJ203" t="s">
        <v>41</v>
      </c>
    </row>
    <row r="204" spans="1:36">
      <c r="A204">
        <v>118043</v>
      </c>
      <c r="B204" t="s">
        <v>1106</v>
      </c>
      <c r="C204">
        <v>688678</v>
      </c>
      <c r="D204" t="s">
        <v>1107</v>
      </c>
      <c r="E204" t="s">
        <v>1015</v>
      </c>
      <c r="F204" t="s">
        <v>56</v>
      </c>
      <c r="G204" t="s">
        <v>1108</v>
      </c>
      <c r="H204" t="s">
        <v>33</v>
      </c>
      <c r="I204" t="s">
        <v>255</v>
      </c>
      <c r="J204" t="s">
        <v>255</v>
      </c>
      <c r="K204" t="s">
        <v>1109</v>
      </c>
      <c r="L204">
        <v>16.7</v>
      </c>
      <c r="M204">
        <v>3240.279</v>
      </c>
      <c r="N204" t="s">
        <v>1036</v>
      </c>
      <c r="O204">
        <v>11.02</v>
      </c>
      <c r="P204">
        <v>3395.004</v>
      </c>
      <c r="Q204" s="1">
        <f t="shared" si="17"/>
        <v>-0.340119760479042</v>
      </c>
      <c r="R204" s="1">
        <f t="shared" si="18"/>
        <v>0.0477505177794875</v>
      </c>
      <c r="S204" t="s">
        <v>1110</v>
      </c>
      <c r="T204">
        <v>12.32</v>
      </c>
      <c r="U204">
        <v>3228.834</v>
      </c>
      <c r="V204" s="1">
        <f t="shared" si="19"/>
        <v>0.117967332123412</v>
      </c>
      <c r="W204" s="1">
        <f t="shared" si="20"/>
        <v>-0.048945450432459</v>
      </c>
      <c r="X204" t="s">
        <v>1108</v>
      </c>
      <c r="Y204">
        <v>13.38</v>
      </c>
      <c r="Z204">
        <v>3178.427</v>
      </c>
      <c r="AA204" s="2">
        <f t="shared" si="21"/>
        <v>0.0860389610389611</v>
      </c>
      <c r="AB204" s="2">
        <f t="shared" si="22"/>
        <v>-0.0156115179659282</v>
      </c>
      <c r="AC204" t="s">
        <v>1065</v>
      </c>
      <c r="AD204">
        <v>13.62</v>
      </c>
      <c r="AE204">
        <v>3137.059</v>
      </c>
      <c r="AF204" s="2">
        <f t="shared" si="23"/>
        <v>0.0179372197309416</v>
      </c>
      <c r="AG204" s="2">
        <f t="shared" si="24"/>
        <v>-0.0130152430746404</v>
      </c>
      <c r="AH204" t="s">
        <v>1111</v>
      </c>
      <c r="AI204" t="s">
        <v>41</v>
      </c>
      <c r="AJ204" t="s">
        <v>41</v>
      </c>
    </row>
    <row r="205" spans="1:36">
      <c r="A205">
        <v>123219</v>
      </c>
      <c r="B205" t="s">
        <v>1112</v>
      </c>
      <c r="C205">
        <v>300790</v>
      </c>
      <c r="D205" t="s">
        <v>1113</v>
      </c>
      <c r="E205" t="s">
        <v>1114</v>
      </c>
      <c r="F205" t="s">
        <v>41</v>
      </c>
      <c r="G205" t="s">
        <v>545</v>
      </c>
      <c r="H205" t="s">
        <v>621</v>
      </c>
      <c r="I205" t="s">
        <v>255</v>
      </c>
      <c r="J205" t="s">
        <v>255</v>
      </c>
      <c r="K205" t="s">
        <v>1115</v>
      </c>
      <c r="L205">
        <v>18.65</v>
      </c>
      <c r="M205">
        <v>3246.248</v>
      </c>
      <c r="N205" t="s">
        <v>233</v>
      </c>
      <c r="O205">
        <v>14.55</v>
      </c>
      <c r="P205">
        <v>3297.32</v>
      </c>
      <c r="Q205" s="1">
        <f t="shared" si="17"/>
        <v>-0.219839142091153</v>
      </c>
      <c r="R205" s="1">
        <f t="shared" si="18"/>
        <v>0.015732624248055</v>
      </c>
      <c r="S205" t="s">
        <v>749</v>
      </c>
      <c r="T205">
        <v>14.73</v>
      </c>
      <c r="U205">
        <v>3182.381</v>
      </c>
      <c r="V205" s="1">
        <f t="shared" si="19"/>
        <v>0.0123711340206185</v>
      </c>
      <c r="W205" s="1">
        <f t="shared" si="20"/>
        <v>-0.0348583091722976</v>
      </c>
      <c r="X205" t="s">
        <v>545</v>
      </c>
      <c r="Y205">
        <v>13.59</v>
      </c>
      <c r="Z205">
        <v>3189.248</v>
      </c>
      <c r="AA205" s="2">
        <f t="shared" si="21"/>
        <v>-0.0773930753564155</v>
      </c>
      <c r="AB205" s="2">
        <f t="shared" si="22"/>
        <v>0.00215781831276651</v>
      </c>
      <c r="AC205" t="s">
        <v>946</v>
      </c>
      <c r="AD205">
        <v>13.22</v>
      </c>
      <c r="AE205">
        <v>3135.887</v>
      </c>
      <c r="AF205" s="2">
        <f t="shared" si="23"/>
        <v>-0.0272259013980868</v>
      </c>
      <c r="AG205" s="2">
        <f t="shared" si="24"/>
        <v>-0.016731530442286</v>
      </c>
      <c r="AH205" t="s">
        <v>1116</v>
      </c>
      <c r="AI205" t="s">
        <v>1117</v>
      </c>
      <c r="AJ205" t="s">
        <v>625</v>
      </c>
    </row>
    <row r="206" spans="1:36">
      <c r="A206">
        <v>113675</v>
      </c>
      <c r="B206" t="s">
        <v>1118</v>
      </c>
      <c r="C206">
        <v>603179</v>
      </c>
      <c r="D206" t="s">
        <v>1119</v>
      </c>
      <c r="E206" t="s">
        <v>1120</v>
      </c>
      <c r="F206" t="s">
        <v>41</v>
      </c>
      <c r="G206" t="s">
        <v>545</v>
      </c>
      <c r="H206" t="s">
        <v>621</v>
      </c>
      <c r="I206" t="s">
        <v>255</v>
      </c>
      <c r="J206" t="s">
        <v>255</v>
      </c>
      <c r="K206" t="s">
        <v>1121</v>
      </c>
      <c r="L206">
        <v>38.3</v>
      </c>
      <c r="M206">
        <v>3265.748</v>
      </c>
      <c r="N206" t="s">
        <v>778</v>
      </c>
      <c r="O206">
        <v>42.2</v>
      </c>
      <c r="P206">
        <v>3233.673</v>
      </c>
      <c r="Q206" s="1">
        <f t="shared" si="17"/>
        <v>0.101827676240209</v>
      </c>
      <c r="R206" s="1">
        <f t="shared" si="18"/>
        <v>-0.00982163963661626</v>
      </c>
      <c r="S206" t="s">
        <v>1122</v>
      </c>
      <c r="T206">
        <v>45.6</v>
      </c>
      <c r="U206">
        <v>3169.522</v>
      </c>
      <c r="V206" s="1">
        <f t="shared" si="19"/>
        <v>0.0805687203791469</v>
      </c>
      <c r="W206" s="1">
        <f t="shared" si="20"/>
        <v>-0.0198384314060203</v>
      </c>
      <c r="X206" t="s">
        <v>545</v>
      </c>
      <c r="Y206">
        <v>52.48</v>
      </c>
      <c r="Z206">
        <v>3189.248</v>
      </c>
      <c r="AA206" s="2">
        <f t="shared" si="21"/>
        <v>0.150877192982456</v>
      </c>
      <c r="AB206" s="2">
        <f t="shared" si="22"/>
        <v>0.00622365138970486</v>
      </c>
      <c r="AC206" t="s">
        <v>1123</v>
      </c>
      <c r="AD206">
        <v>51.17</v>
      </c>
      <c r="AE206">
        <v>3154.369</v>
      </c>
      <c r="AF206" s="2">
        <f t="shared" si="23"/>
        <v>-0.0249618902439024</v>
      </c>
      <c r="AG206" s="2">
        <f t="shared" si="24"/>
        <v>-0.0109364339179643</v>
      </c>
      <c r="AH206" t="s">
        <v>1116</v>
      </c>
      <c r="AI206" t="s">
        <v>278</v>
      </c>
      <c r="AJ206" t="s">
        <v>625</v>
      </c>
    </row>
    <row r="207" spans="1:36">
      <c r="A207">
        <v>123218</v>
      </c>
      <c r="B207" t="s">
        <v>1124</v>
      </c>
      <c r="C207">
        <v>301008</v>
      </c>
      <c r="D207" t="s">
        <v>1125</v>
      </c>
      <c r="E207" t="s">
        <v>212</v>
      </c>
      <c r="F207" t="s">
        <v>41</v>
      </c>
      <c r="G207" t="s">
        <v>1092</v>
      </c>
      <c r="H207" t="s">
        <v>621</v>
      </c>
      <c r="I207" t="s">
        <v>255</v>
      </c>
      <c r="J207" t="s">
        <v>255</v>
      </c>
      <c r="K207" t="s">
        <v>1126</v>
      </c>
      <c r="L207">
        <v>17.17</v>
      </c>
      <c r="M207">
        <v>3269.318</v>
      </c>
      <c r="N207" t="s">
        <v>1080</v>
      </c>
      <c r="O207">
        <v>18.72</v>
      </c>
      <c r="P207">
        <v>3327.646</v>
      </c>
      <c r="Q207" s="1">
        <f t="shared" si="17"/>
        <v>0.0902737332556783</v>
      </c>
      <c r="R207" s="1">
        <f t="shared" si="18"/>
        <v>0.0178410298416979</v>
      </c>
      <c r="S207" t="s">
        <v>1081</v>
      </c>
      <c r="T207">
        <v>17.02</v>
      </c>
      <c r="U207">
        <v>3290.987</v>
      </c>
      <c r="V207" s="1">
        <f t="shared" si="19"/>
        <v>-0.0908119658119658</v>
      </c>
      <c r="W207" s="1">
        <f t="shared" si="20"/>
        <v>-0.0110164963460657</v>
      </c>
      <c r="X207" t="s">
        <v>1092</v>
      </c>
      <c r="Y207">
        <v>21.84</v>
      </c>
      <c r="Z207">
        <v>3254.56</v>
      </c>
      <c r="AA207" s="2">
        <f t="shared" si="21"/>
        <v>0.283196239717979</v>
      </c>
      <c r="AB207" s="2">
        <f t="shared" si="22"/>
        <v>-0.0110687158594064</v>
      </c>
      <c r="AC207" t="s">
        <v>1127</v>
      </c>
      <c r="AD207">
        <v>21.16</v>
      </c>
      <c r="AE207">
        <v>3137.138</v>
      </c>
      <c r="AF207" s="2">
        <f t="shared" si="23"/>
        <v>-0.0311355311355311</v>
      </c>
      <c r="AG207" s="2">
        <f t="shared" si="24"/>
        <v>-0.0360792242269308</v>
      </c>
      <c r="AH207" t="s">
        <v>1128</v>
      </c>
      <c r="AI207" t="s">
        <v>503</v>
      </c>
      <c r="AJ207" t="s">
        <v>625</v>
      </c>
    </row>
    <row r="208" spans="1:36">
      <c r="A208">
        <v>118042</v>
      </c>
      <c r="B208" t="s">
        <v>1129</v>
      </c>
      <c r="C208">
        <v>688516</v>
      </c>
      <c r="D208" t="s">
        <v>1130</v>
      </c>
      <c r="E208" t="s">
        <v>1131</v>
      </c>
      <c r="F208" t="s">
        <v>56</v>
      </c>
      <c r="G208" t="s">
        <v>1092</v>
      </c>
      <c r="H208" t="s">
        <v>33</v>
      </c>
      <c r="I208" t="s">
        <v>255</v>
      </c>
      <c r="J208" t="s">
        <v>255</v>
      </c>
      <c r="K208" t="s">
        <v>852</v>
      </c>
      <c r="L208">
        <v>91.73</v>
      </c>
      <c r="M208">
        <v>3258.034</v>
      </c>
      <c r="N208" t="s">
        <v>654</v>
      </c>
      <c r="O208">
        <v>77.74</v>
      </c>
      <c r="P208">
        <v>3195.34</v>
      </c>
      <c r="Q208" s="1">
        <f t="shared" si="17"/>
        <v>-0.152512809331735</v>
      </c>
      <c r="R208" s="1">
        <f t="shared" si="18"/>
        <v>-0.0192428931067018</v>
      </c>
      <c r="S208" t="s">
        <v>1132</v>
      </c>
      <c r="T208">
        <v>87.48</v>
      </c>
      <c r="U208">
        <v>3203.696</v>
      </c>
      <c r="V208" s="1">
        <f t="shared" si="19"/>
        <v>0.125289426292771</v>
      </c>
      <c r="W208" s="1">
        <f t="shared" si="20"/>
        <v>0.00261505817847233</v>
      </c>
      <c r="X208" t="s">
        <v>1092</v>
      </c>
      <c r="Y208">
        <v>80.69</v>
      </c>
      <c r="Z208">
        <v>3254.56</v>
      </c>
      <c r="AA208" s="2">
        <f t="shared" si="21"/>
        <v>-0.0776177411979882</v>
      </c>
      <c r="AB208" s="2">
        <f t="shared" si="22"/>
        <v>0.0158766624548646</v>
      </c>
      <c r="AC208" t="s">
        <v>1005</v>
      </c>
      <c r="AD208">
        <v>77.7</v>
      </c>
      <c r="AE208">
        <v>3133.247</v>
      </c>
      <c r="AF208" s="2">
        <f t="shared" si="23"/>
        <v>-0.0370553971991572</v>
      </c>
      <c r="AG208" s="2">
        <f t="shared" si="24"/>
        <v>-0.0372747775428937</v>
      </c>
      <c r="AH208" t="s">
        <v>1128</v>
      </c>
      <c r="AI208" t="s">
        <v>41</v>
      </c>
      <c r="AJ208" t="s">
        <v>41</v>
      </c>
    </row>
    <row r="209" spans="1:36">
      <c r="A209">
        <v>123217</v>
      </c>
      <c r="B209" t="s">
        <v>1133</v>
      </c>
      <c r="C209">
        <v>300852</v>
      </c>
      <c r="D209" t="s">
        <v>1134</v>
      </c>
      <c r="E209" t="s">
        <v>1135</v>
      </c>
      <c r="F209" t="s">
        <v>41</v>
      </c>
      <c r="G209" t="s">
        <v>1136</v>
      </c>
      <c r="H209" t="s">
        <v>621</v>
      </c>
      <c r="I209" t="s">
        <v>255</v>
      </c>
      <c r="J209" t="s">
        <v>255</v>
      </c>
      <c r="K209" t="s">
        <v>852</v>
      </c>
      <c r="L209">
        <v>25.32</v>
      </c>
      <c r="M209">
        <v>3258.034</v>
      </c>
      <c r="N209" t="s">
        <v>1137</v>
      </c>
      <c r="O209">
        <v>28.94</v>
      </c>
      <c r="P209">
        <v>3231.406</v>
      </c>
      <c r="Q209" s="1">
        <f t="shared" si="17"/>
        <v>0.142969984202212</v>
      </c>
      <c r="R209" s="1">
        <f t="shared" si="18"/>
        <v>-0.00817302704637218</v>
      </c>
      <c r="S209" t="s">
        <v>1122</v>
      </c>
      <c r="T209">
        <v>28.43</v>
      </c>
      <c r="U209">
        <v>3169.522</v>
      </c>
      <c r="V209" s="1">
        <f t="shared" si="19"/>
        <v>-0.0176226675881134</v>
      </c>
      <c r="W209" s="1">
        <f t="shared" si="20"/>
        <v>-0.0191507968976972</v>
      </c>
      <c r="X209" t="s">
        <v>1136</v>
      </c>
      <c r="Y209">
        <v>27.59</v>
      </c>
      <c r="Z209">
        <v>3260.62</v>
      </c>
      <c r="AA209" s="2">
        <f t="shared" si="21"/>
        <v>-0.0295462539570876</v>
      </c>
      <c r="AB209" s="2">
        <f t="shared" si="22"/>
        <v>0.0287418733802763</v>
      </c>
      <c r="AC209" t="s">
        <v>716</v>
      </c>
      <c r="AD209">
        <v>26.04</v>
      </c>
      <c r="AE209">
        <v>3082.244</v>
      </c>
      <c r="AF209" s="2">
        <f t="shared" si="23"/>
        <v>-0.0561797752808989</v>
      </c>
      <c r="AG209" s="2">
        <f t="shared" si="24"/>
        <v>-0.0547061601781256</v>
      </c>
      <c r="AH209" t="s">
        <v>1138</v>
      </c>
      <c r="AI209" t="s">
        <v>166</v>
      </c>
      <c r="AJ209" t="s">
        <v>625</v>
      </c>
    </row>
    <row r="210" spans="1:36">
      <c r="A210">
        <v>110095</v>
      </c>
      <c r="B210" t="s">
        <v>1139</v>
      </c>
      <c r="C210">
        <v>600481</v>
      </c>
      <c r="D210" t="s">
        <v>1140</v>
      </c>
      <c r="E210" t="s">
        <v>1141</v>
      </c>
      <c r="F210" t="s">
        <v>56</v>
      </c>
      <c r="G210" t="s">
        <v>1136</v>
      </c>
      <c r="H210" t="s">
        <v>33</v>
      </c>
      <c r="I210" t="s">
        <v>255</v>
      </c>
      <c r="J210" t="s">
        <v>255</v>
      </c>
      <c r="K210" t="s">
        <v>728</v>
      </c>
      <c r="L210">
        <v>12.42</v>
      </c>
      <c r="M210">
        <v>3328.393</v>
      </c>
      <c r="N210" t="s">
        <v>1095</v>
      </c>
      <c r="O210">
        <v>12.57</v>
      </c>
      <c r="P210">
        <v>3296.47</v>
      </c>
      <c r="Q210" s="1">
        <f t="shared" si="17"/>
        <v>0.0120772946859904</v>
      </c>
      <c r="R210" s="1">
        <f t="shared" si="18"/>
        <v>-0.00959111499152901</v>
      </c>
      <c r="S210" t="s">
        <v>1067</v>
      </c>
      <c r="T210">
        <v>12.98</v>
      </c>
      <c r="U210">
        <v>3255.806</v>
      </c>
      <c r="V210" s="1">
        <f t="shared" si="19"/>
        <v>0.0326173428798727</v>
      </c>
      <c r="W210" s="1">
        <f t="shared" si="20"/>
        <v>-0.0123356196173482</v>
      </c>
      <c r="X210" t="s">
        <v>1136</v>
      </c>
      <c r="Y210">
        <v>11.12</v>
      </c>
      <c r="Z210">
        <v>3260.62</v>
      </c>
      <c r="AA210" s="2">
        <f t="shared" si="21"/>
        <v>-0.143297380585516</v>
      </c>
      <c r="AB210" s="2">
        <f t="shared" si="22"/>
        <v>0.00147858932626817</v>
      </c>
      <c r="AC210" t="s">
        <v>1078</v>
      </c>
      <c r="AD210">
        <v>10.25</v>
      </c>
      <c r="AE210">
        <v>3116.719</v>
      </c>
      <c r="AF210" s="2">
        <f t="shared" si="23"/>
        <v>-0.0782374100719424</v>
      </c>
      <c r="AG210" s="2">
        <f t="shared" si="24"/>
        <v>-0.0441330176469505</v>
      </c>
      <c r="AH210" t="s">
        <v>1138</v>
      </c>
      <c r="AI210" t="s">
        <v>41</v>
      </c>
      <c r="AJ210" t="s">
        <v>41</v>
      </c>
    </row>
    <row r="211" spans="1:36">
      <c r="A211">
        <v>123216</v>
      </c>
      <c r="B211" t="s">
        <v>1142</v>
      </c>
      <c r="C211">
        <v>300737</v>
      </c>
      <c r="D211" t="s">
        <v>1143</v>
      </c>
      <c r="E211" t="s">
        <v>1144</v>
      </c>
      <c r="F211" t="s">
        <v>397</v>
      </c>
      <c r="G211" t="s">
        <v>639</v>
      </c>
      <c r="H211" t="s">
        <v>33</v>
      </c>
      <c r="I211" t="s">
        <v>255</v>
      </c>
      <c r="J211" t="s">
        <v>255</v>
      </c>
      <c r="K211" t="s">
        <v>1145</v>
      </c>
      <c r="L211">
        <v>10.54</v>
      </c>
      <c r="M211">
        <v>3282.576</v>
      </c>
      <c r="N211" t="s">
        <v>1146</v>
      </c>
      <c r="O211">
        <v>11.01</v>
      </c>
      <c r="P211">
        <v>3370.128</v>
      </c>
      <c r="Q211" s="1">
        <f t="shared" si="17"/>
        <v>0.0445920303605314</v>
      </c>
      <c r="R211" s="1">
        <f t="shared" si="18"/>
        <v>0.02667173585623</v>
      </c>
      <c r="S211" t="s">
        <v>985</v>
      </c>
      <c r="T211">
        <v>8.78</v>
      </c>
      <c r="U211">
        <v>3197.901</v>
      </c>
      <c r="V211" s="1">
        <f t="shared" si="19"/>
        <v>-0.202543142597639</v>
      </c>
      <c r="W211" s="1">
        <f t="shared" si="20"/>
        <v>-0.0511039936762047</v>
      </c>
      <c r="X211" t="s">
        <v>639</v>
      </c>
      <c r="Y211">
        <v>9.53</v>
      </c>
      <c r="Z211">
        <v>3288.084</v>
      </c>
      <c r="AA211" s="2">
        <f t="shared" si="21"/>
        <v>0.0854214123006834</v>
      </c>
      <c r="AB211" s="2">
        <f t="shared" si="22"/>
        <v>0.0282006853870711</v>
      </c>
      <c r="AC211" t="s">
        <v>906</v>
      </c>
      <c r="AD211">
        <v>8.07</v>
      </c>
      <c r="AE211">
        <v>3078.402</v>
      </c>
      <c r="AF211" s="2">
        <f t="shared" si="23"/>
        <v>-0.153200419727177</v>
      </c>
      <c r="AG211" s="2">
        <f t="shared" si="24"/>
        <v>-0.0637702686427718</v>
      </c>
      <c r="AH211" t="s">
        <v>1147</v>
      </c>
      <c r="AI211" t="s">
        <v>41</v>
      </c>
      <c r="AJ211" t="s">
        <v>41</v>
      </c>
    </row>
    <row r="212" spans="1:36">
      <c r="A212">
        <v>123215</v>
      </c>
      <c r="B212" t="s">
        <v>1148</v>
      </c>
      <c r="C212">
        <v>301268</v>
      </c>
      <c r="D212" t="s">
        <v>1149</v>
      </c>
      <c r="E212" t="s">
        <v>55</v>
      </c>
      <c r="F212" t="s">
        <v>56</v>
      </c>
      <c r="G212" t="s">
        <v>860</v>
      </c>
      <c r="H212" t="s">
        <v>33</v>
      </c>
      <c r="I212" t="s">
        <v>255</v>
      </c>
      <c r="J212" t="s">
        <v>255</v>
      </c>
      <c r="K212" t="s">
        <v>852</v>
      </c>
      <c r="L212">
        <v>56.08</v>
      </c>
      <c r="M212">
        <v>3258.034</v>
      </c>
      <c r="N212" t="s">
        <v>1137</v>
      </c>
      <c r="O212">
        <v>41.94</v>
      </c>
      <c r="P212">
        <v>3231.406</v>
      </c>
      <c r="Q212" s="1">
        <f t="shared" si="17"/>
        <v>-0.252139800285307</v>
      </c>
      <c r="R212" s="1">
        <f t="shared" si="18"/>
        <v>-0.00817302704637218</v>
      </c>
      <c r="S212" t="s">
        <v>510</v>
      </c>
      <c r="T212">
        <v>39.65</v>
      </c>
      <c r="U212">
        <v>3221.367</v>
      </c>
      <c r="V212" s="1">
        <f t="shared" si="19"/>
        <v>-0.0546018121125417</v>
      </c>
      <c r="W212" s="1">
        <f t="shared" si="20"/>
        <v>-0.00310669720858343</v>
      </c>
      <c r="X212" t="s">
        <v>860</v>
      </c>
      <c r="Y212">
        <v>33.63</v>
      </c>
      <c r="Z212">
        <v>3280.463</v>
      </c>
      <c r="AA212" s="2">
        <f t="shared" si="21"/>
        <v>-0.151828499369483</v>
      </c>
      <c r="AB212" s="2">
        <f t="shared" si="22"/>
        <v>0.0183450069489133</v>
      </c>
      <c r="AC212" t="s">
        <v>906</v>
      </c>
      <c r="AD212">
        <v>29.11</v>
      </c>
      <c r="AE212">
        <v>3078.402</v>
      </c>
      <c r="AF212" s="2">
        <f t="shared" si="23"/>
        <v>-0.134403806125483</v>
      </c>
      <c r="AG212" s="2">
        <f t="shared" si="24"/>
        <v>-0.0615952687166416</v>
      </c>
      <c r="AH212" t="s">
        <v>1150</v>
      </c>
      <c r="AI212" t="s">
        <v>41</v>
      </c>
      <c r="AJ212" t="s">
        <v>41</v>
      </c>
    </row>
    <row r="213" spans="1:36">
      <c r="A213">
        <v>118041</v>
      </c>
      <c r="B213" t="s">
        <v>1151</v>
      </c>
      <c r="C213">
        <v>688633</v>
      </c>
      <c r="D213" t="s">
        <v>1152</v>
      </c>
      <c r="E213" t="s">
        <v>859</v>
      </c>
      <c r="F213" t="s">
        <v>31</v>
      </c>
      <c r="G213" t="s">
        <v>1153</v>
      </c>
      <c r="H213" t="s">
        <v>33</v>
      </c>
      <c r="I213" t="s">
        <v>255</v>
      </c>
      <c r="J213" t="s">
        <v>255</v>
      </c>
      <c r="K213" t="s">
        <v>1154</v>
      </c>
      <c r="L213">
        <v>22.86</v>
      </c>
      <c r="M213">
        <v>3123.516</v>
      </c>
      <c r="N213" t="s">
        <v>1146</v>
      </c>
      <c r="O213">
        <v>22.38</v>
      </c>
      <c r="P213">
        <v>3370.128</v>
      </c>
      <c r="Q213" s="1">
        <f t="shared" si="17"/>
        <v>-0.020997375328084</v>
      </c>
      <c r="R213" s="1">
        <f t="shared" si="18"/>
        <v>0.0789533333589455</v>
      </c>
      <c r="S213" t="s">
        <v>654</v>
      </c>
      <c r="T213">
        <v>20.86</v>
      </c>
      <c r="U213">
        <v>3195.34</v>
      </c>
      <c r="V213" s="1">
        <f t="shared" si="19"/>
        <v>-0.0679177837354781</v>
      </c>
      <c r="W213" s="1">
        <f t="shared" si="20"/>
        <v>-0.0518639054659052</v>
      </c>
      <c r="X213" t="s">
        <v>1153</v>
      </c>
      <c r="Y213">
        <v>21.65</v>
      </c>
      <c r="Z213">
        <v>3291.04</v>
      </c>
      <c r="AA213" s="2">
        <f t="shared" si="21"/>
        <v>0.0378715244487056</v>
      </c>
      <c r="AB213" s="2">
        <f t="shared" si="22"/>
        <v>0.0299498644901637</v>
      </c>
      <c r="AC213" t="s">
        <v>1155</v>
      </c>
      <c r="AD213">
        <v>19.89</v>
      </c>
      <c r="AE213">
        <v>3120.334</v>
      </c>
      <c r="AF213" s="2">
        <f t="shared" si="23"/>
        <v>-0.0812933025404156</v>
      </c>
      <c r="AG213" s="2">
        <f t="shared" si="24"/>
        <v>-0.0518699256162186</v>
      </c>
      <c r="AH213" t="s">
        <v>1156</v>
      </c>
      <c r="AI213" t="s">
        <v>41</v>
      </c>
      <c r="AJ213" t="s">
        <v>41</v>
      </c>
    </row>
    <row r="214" spans="1:36">
      <c r="A214">
        <v>123214</v>
      </c>
      <c r="B214" t="s">
        <v>1157</v>
      </c>
      <c r="C214">
        <v>300239</v>
      </c>
      <c r="D214" t="s">
        <v>1158</v>
      </c>
      <c r="E214" t="s">
        <v>1159</v>
      </c>
      <c r="F214" t="s">
        <v>31</v>
      </c>
      <c r="G214" t="s">
        <v>1153</v>
      </c>
      <c r="H214" t="s">
        <v>33</v>
      </c>
      <c r="I214" t="s">
        <v>255</v>
      </c>
      <c r="J214" t="s">
        <v>255</v>
      </c>
      <c r="K214" t="s">
        <v>757</v>
      </c>
      <c r="L214">
        <v>7.27</v>
      </c>
      <c r="M214">
        <v>3310.654</v>
      </c>
      <c r="N214" t="s">
        <v>1137</v>
      </c>
      <c r="O214">
        <v>6.23</v>
      </c>
      <c r="P214">
        <v>3231.406</v>
      </c>
      <c r="Q214" s="1">
        <f t="shared" si="17"/>
        <v>-0.143053645116919</v>
      </c>
      <c r="R214" s="1">
        <f t="shared" si="18"/>
        <v>-0.0239372643592475</v>
      </c>
      <c r="S214" t="s">
        <v>510</v>
      </c>
      <c r="T214">
        <v>6.19</v>
      </c>
      <c r="U214">
        <v>3221.367</v>
      </c>
      <c r="V214" s="1">
        <f t="shared" si="19"/>
        <v>-0.00642054574638845</v>
      </c>
      <c r="W214" s="1">
        <f t="shared" si="20"/>
        <v>-0.00310669720858343</v>
      </c>
      <c r="X214" t="s">
        <v>1153</v>
      </c>
      <c r="Y214">
        <v>6.34</v>
      </c>
      <c r="Z214">
        <v>3291.04</v>
      </c>
      <c r="AA214" s="2">
        <f t="shared" si="21"/>
        <v>0.024232633279483</v>
      </c>
      <c r="AB214" s="2">
        <f t="shared" si="22"/>
        <v>0.0216283956469411</v>
      </c>
      <c r="AC214" t="s">
        <v>695</v>
      </c>
      <c r="AD214">
        <v>6.13</v>
      </c>
      <c r="AE214">
        <v>3131.953</v>
      </c>
      <c r="AF214" s="2">
        <f t="shared" si="23"/>
        <v>-0.0331230283911672</v>
      </c>
      <c r="AG214" s="2">
        <f t="shared" si="24"/>
        <v>-0.0483394306966795</v>
      </c>
      <c r="AH214" t="s">
        <v>1156</v>
      </c>
      <c r="AI214" t="s">
        <v>41</v>
      </c>
      <c r="AJ214" t="s">
        <v>41</v>
      </c>
    </row>
    <row r="215" spans="1:36">
      <c r="A215">
        <v>113068</v>
      </c>
      <c r="B215" t="s">
        <v>1160</v>
      </c>
      <c r="C215">
        <v>601609</v>
      </c>
      <c r="D215" t="s">
        <v>1161</v>
      </c>
      <c r="E215" t="s">
        <v>1162</v>
      </c>
      <c r="F215" t="s">
        <v>41</v>
      </c>
      <c r="G215" t="s">
        <v>961</v>
      </c>
      <c r="H215" t="s">
        <v>621</v>
      </c>
      <c r="I215" t="s">
        <v>255</v>
      </c>
      <c r="J215" t="s">
        <v>255</v>
      </c>
      <c r="K215" t="s">
        <v>728</v>
      </c>
      <c r="L215">
        <v>6.75</v>
      </c>
      <c r="M215">
        <v>3328.393</v>
      </c>
      <c r="N215" t="s">
        <v>960</v>
      </c>
      <c r="O215">
        <v>6.2</v>
      </c>
      <c r="P215">
        <v>3204.564</v>
      </c>
      <c r="Q215" s="1">
        <f t="shared" si="17"/>
        <v>-0.0814814814814815</v>
      </c>
      <c r="R215" s="1">
        <f t="shared" si="18"/>
        <v>-0.0372038398109839</v>
      </c>
      <c r="S215" t="s">
        <v>1096</v>
      </c>
      <c r="T215">
        <v>6.02</v>
      </c>
      <c r="U215">
        <v>3150.619</v>
      </c>
      <c r="V215" s="1">
        <f t="shared" si="19"/>
        <v>-0.0290322580645162</v>
      </c>
      <c r="W215" s="1">
        <f t="shared" si="20"/>
        <v>-0.0168338032880603</v>
      </c>
      <c r="X215" t="s">
        <v>961</v>
      </c>
      <c r="Y215">
        <v>6.4</v>
      </c>
      <c r="Z215">
        <v>3275.926</v>
      </c>
      <c r="AA215" s="2">
        <f t="shared" si="21"/>
        <v>0.06312292358804</v>
      </c>
      <c r="AB215" s="2">
        <f t="shared" si="22"/>
        <v>0.0397721844501032</v>
      </c>
      <c r="AC215" t="s">
        <v>1163</v>
      </c>
      <c r="AD215">
        <v>6.26</v>
      </c>
      <c r="AE215">
        <v>3098.636</v>
      </c>
      <c r="AF215" s="2">
        <f t="shared" si="23"/>
        <v>-0.0218750000000001</v>
      </c>
      <c r="AG215" s="2">
        <f t="shared" si="24"/>
        <v>-0.0541190490871894</v>
      </c>
      <c r="AH215" t="s">
        <v>1164</v>
      </c>
      <c r="AI215" t="s">
        <v>71</v>
      </c>
      <c r="AJ215" t="s">
        <v>625</v>
      </c>
    </row>
    <row r="216" spans="1:36">
      <c r="A216">
        <v>123213</v>
      </c>
      <c r="B216" t="s">
        <v>1165</v>
      </c>
      <c r="C216">
        <v>301127</v>
      </c>
      <c r="D216" t="s">
        <v>1166</v>
      </c>
      <c r="E216" t="s">
        <v>55</v>
      </c>
      <c r="F216" t="s">
        <v>56</v>
      </c>
      <c r="G216" t="s">
        <v>961</v>
      </c>
      <c r="H216" t="s">
        <v>33</v>
      </c>
      <c r="I216" t="s">
        <v>255</v>
      </c>
      <c r="J216" t="s">
        <v>255</v>
      </c>
      <c r="K216" t="s">
        <v>1167</v>
      </c>
      <c r="L216">
        <v>7.28</v>
      </c>
      <c r="M216">
        <v>3260.673</v>
      </c>
      <c r="N216" t="s">
        <v>1168</v>
      </c>
      <c r="O216">
        <v>7.08</v>
      </c>
      <c r="P216">
        <v>3309.551</v>
      </c>
      <c r="Q216" s="1">
        <f t="shared" si="17"/>
        <v>-0.0274725274725275</v>
      </c>
      <c r="R216" s="1">
        <f t="shared" si="18"/>
        <v>0.0149901569399937</v>
      </c>
      <c r="S216" t="s">
        <v>1011</v>
      </c>
      <c r="T216">
        <v>6.68</v>
      </c>
      <c r="U216">
        <v>3189.443</v>
      </c>
      <c r="V216" s="1">
        <f t="shared" si="19"/>
        <v>-0.056497175141243</v>
      </c>
      <c r="W216" s="1">
        <f t="shared" si="20"/>
        <v>-0.0362913277359979</v>
      </c>
      <c r="X216" t="s">
        <v>961</v>
      </c>
      <c r="Y216">
        <v>7.06</v>
      </c>
      <c r="Z216">
        <v>3275.926</v>
      </c>
      <c r="AA216" s="2">
        <f t="shared" si="21"/>
        <v>0.0568862275449102</v>
      </c>
      <c r="AB216" s="2">
        <f t="shared" si="22"/>
        <v>0.0271153928758093</v>
      </c>
      <c r="AC216" t="s">
        <v>887</v>
      </c>
      <c r="AD216">
        <v>7.09</v>
      </c>
      <c r="AE216">
        <v>3150.128</v>
      </c>
      <c r="AF216" s="2">
        <f t="shared" si="23"/>
        <v>0.00424929178470258</v>
      </c>
      <c r="AG216" s="2">
        <f t="shared" si="24"/>
        <v>-0.0384007453159808</v>
      </c>
      <c r="AH216" t="s">
        <v>1164</v>
      </c>
      <c r="AI216" t="s">
        <v>41</v>
      </c>
      <c r="AJ216" t="s">
        <v>41</v>
      </c>
    </row>
    <row r="217" spans="1:36">
      <c r="A217">
        <v>123210</v>
      </c>
      <c r="B217" t="s">
        <v>1169</v>
      </c>
      <c r="C217">
        <v>300454</v>
      </c>
      <c r="D217" t="s">
        <v>1170</v>
      </c>
      <c r="E217" t="s">
        <v>1171</v>
      </c>
      <c r="F217" t="s">
        <v>397</v>
      </c>
      <c r="G217" t="s">
        <v>1172</v>
      </c>
      <c r="H217" t="s">
        <v>33</v>
      </c>
      <c r="I217" t="s">
        <v>255</v>
      </c>
      <c r="J217" t="s">
        <v>255</v>
      </c>
      <c r="K217" t="s">
        <v>1173</v>
      </c>
      <c r="L217">
        <v>94.7</v>
      </c>
      <c r="M217">
        <v>3269.974</v>
      </c>
      <c r="N217" t="s">
        <v>1047</v>
      </c>
      <c r="O217">
        <v>140.09</v>
      </c>
      <c r="P217">
        <v>3318.364</v>
      </c>
      <c r="Q217" s="1">
        <f t="shared" si="17"/>
        <v>0.479303062302006</v>
      </c>
      <c r="R217" s="1">
        <f t="shared" si="18"/>
        <v>0.014798282799802</v>
      </c>
      <c r="S217" t="s">
        <v>622</v>
      </c>
      <c r="T217">
        <v>113.74</v>
      </c>
      <c r="U217">
        <v>3245.349</v>
      </c>
      <c r="V217" s="1">
        <f t="shared" si="19"/>
        <v>-0.18809336854879</v>
      </c>
      <c r="W217" s="1">
        <f t="shared" si="20"/>
        <v>-0.0220033124756657</v>
      </c>
      <c r="X217" t="s">
        <v>1172</v>
      </c>
      <c r="Y217">
        <v>107.44</v>
      </c>
      <c r="Z217">
        <v>3216.671</v>
      </c>
      <c r="AA217" s="2">
        <f t="shared" si="21"/>
        <v>-0.0553894847898716</v>
      </c>
      <c r="AB217" s="2">
        <f t="shared" si="22"/>
        <v>-0.00883664592005369</v>
      </c>
      <c r="AC217" t="s">
        <v>695</v>
      </c>
      <c r="AD217">
        <v>109.07</v>
      </c>
      <c r="AE217">
        <v>3131.953</v>
      </c>
      <c r="AF217" s="2">
        <f t="shared" si="23"/>
        <v>0.0151712583767684</v>
      </c>
      <c r="AG217" s="2">
        <f t="shared" si="24"/>
        <v>-0.026337166592418</v>
      </c>
      <c r="AH217" t="s">
        <v>1174</v>
      </c>
      <c r="AI217" t="s">
        <v>41</v>
      </c>
      <c r="AJ217" t="s">
        <v>41</v>
      </c>
    </row>
    <row r="218" spans="1:36">
      <c r="A218">
        <v>123211</v>
      </c>
      <c r="B218" t="s">
        <v>1175</v>
      </c>
      <c r="C218">
        <v>300121</v>
      </c>
      <c r="D218" t="s">
        <v>1176</v>
      </c>
      <c r="E218" t="s">
        <v>178</v>
      </c>
      <c r="F218" t="s">
        <v>56</v>
      </c>
      <c r="G218" t="s">
        <v>1172</v>
      </c>
      <c r="H218" t="s">
        <v>33</v>
      </c>
      <c r="I218" t="s">
        <v>255</v>
      </c>
      <c r="J218" t="s">
        <v>255</v>
      </c>
      <c r="K218" t="s">
        <v>1177</v>
      </c>
      <c r="L218">
        <v>10.32</v>
      </c>
      <c r="M218">
        <v>3155.216</v>
      </c>
      <c r="N218" t="s">
        <v>1080</v>
      </c>
      <c r="O218">
        <v>10.69</v>
      </c>
      <c r="P218">
        <v>3327.646</v>
      </c>
      <c r="Q218" s="1">
        <f t="shared" si="17"/>
        <v>0.0358527131782945</v>
      </c>
      <c r="R218" s="1">
        <f t="shared" si="18"/>
        <v>0.054649190419927</v>
      </c>
      <c r="S218" t="s">
        <v>1178</v>
      </c>
      <c r="T218">
        <v>8.9</v>
      </c>
      <c r="U218">
        <v>3230.069</v>
      </c>
      <c r="V218" s="1">
        <f t="shared" si="19"/>
        <v>-0.167446211412535</v>
      </c>
      <c r="W218" s="1">
        <f t="shared" si="20"/>
        <v>-0.0293231311263278</v>
      </c>
      <c r="X218" t="s">
        <v>1172</v>
      </c>
      <c r="Y218">
        <v>8.98</v>
      </c>
      <c r="Z218">
        <v>3216.671</v>
      </c>
      <c r="AA218" s="2">
        <f t="shared" si="21"/>
        <v>0.00898876404494383</v>
      </c>
      <c r="AB218" s="2">
        <f t="shared" si="22"/>
        <v>-0.00414789900773022</v>
      </c>
      <c r="AC218" t="s">
        <v>1108</v>
      </c>
      <c r="AD218">
        <v>8.74</v>
      </c>
      <c r="AE218">
        <v>3178.427</v>
      </c>
      <c r="AF218" s="2">
        <f t="shared" si="23"/>
        <v>-0.0267260579064588</v>
      </c>
      <c r="AG218" s="2">
        <f t="shared" si="24"/>
        <v>-0.0118893104081828</v>
      </c>
      <c r="AH218" t="s">
        <v>1174</v>
      </c>
      <c r="AI218" t="s">
        <v>41</v>
      </c>
      <c r="AJ218" t="s">
        <v>41</v>
      </c>
    </row>
    <row r="219" spans="1:36">
      <c r="A219">
        <v>113067</v>
      </c>
      <c r="B219" t="s">
        <v>1179</v>
      </c>
      <c r="C219">
        <v>601139</v>
      </c>
      <c r="D219" t="s">
        <v>1180</v>
      </c>
      <c r="E219" t="s">
        <v>325</v>
      </c>
      <c r="F219" t="s">
        <v>444</v>
      </c>
      <c r="G219" t="s">
        <v>1172</v>
      </c>
      <c r="H219" t="s">
        <v>33</v>
      </c>
      <c r="I219" t="s">
        <v>255</v>
      </c>
      <c r="J219" t="s">
        <v>255</v>
      </c>
      <c r="K219" t="s">
        <v>880</v>
      </c>
      <c r="L219">
        <v>6.71</v>
      </c>
      <c r="M219">
        <v>3312.348</v>
      </c>
      <c r="N219" t="s">
        <v>1095</v>
      </c>
      <c r="O219">
        <v>6.79</v>
      </c>
      <c r="P219">
        <v>3296.47</v>
      </c>
      <c r="Q219" s="1">
        <f t="shared" si="17"/>
        <v>0.0119225037257824</v>
      </c>
      <c r="R219" s="1">
        <f t="shared" si="18"/>
        <v>-0.00479357845250564</v>
      </c>
      <c r="S219" t="s">
        <v>1067</v>
      </c>
      <c r="T219">
        <v>6.64</v>
      </c>
      <c r="U219">
        <v>3255.806</v>
      </c>
      <c r="V219" s="1">
        <f t="shared" si="19"/>
        <v>-0.0220913107511046</v>
      </c>
      <c r="W219" s="1">
        <f t="shared" si="20"/>
        <v>-0.0123356196173482</v>
      </c>
      <c r="X219" t="s">
        <v>1172</v>
      </c>
      <c r="Y219">
        <v>7.03</v>
      </c>
      <c r="Z219">
        <v>3216.671</v>
      </c>
      <c r="AA219" s="2">
        <f t="shared" si="21"/>
        <v>0.0587349397590362</v>
      </c>
      <c r="AB219" s="2">
        <f t="shared" si="22"/>
        <v>-0.0120200650775876</v>
      </c>
      <c r="AC219" t="s">
        <v>695</v>
      </c>
      <c r="AD219">
        <v>6.72</v>
      </c>
      <c r="AE219">
        <v>3131.953</v>
      </c>
      <c r="AF219" s="2">
        <f t="shared" si="23"/>
        <v>-0.0440967283072547</v>
      </c>
      <c r="AG219" s="2">
        <f t="shared" si="24"/>
        <v>-0.026337166592418</v>
      </c>
      <c r="AH219" t="s">
        <v>1174</v>
      </c>
      <c r="AI219" t="s">
        <v>41</v>
      </c>
      <c r="AJ219" t="s">
        <v>41</v>
      </c>
    </row>
    <row r="220" spans="1:36">
      <c r="A220">
        <v>123212</v>
      </c>
      <c r="B220" t="s">
        <v>1181</v>
      </c>
      <c r="C220">
        <v>300428</v>
      </c>
      <c r="D220" t="s">
        <v>1182</v>
      </c>
      <c r="E220" t="s">
        <v>1183</v>
      </c>
      <c r="F220" t="s">
        <v>56</v>
      </c>
      <c r="G220" t="s">
        <v>1172</v>
      </c>
      <c r="H220" t="s">
        <v>33</v>
      </c>
      <c r="I220" t="s">
        <v>255</v>
      </c>
      <c r="J220" t="s">
        <v>255</v>
      </c>
      <c r="K220" t="s">
        <v>1184</v>
      </c>
      <c r="L220">
        <v>28.44</v>
      </c>
      <c r="M220">
        <v>2999.504</v>
      </c>
      <c r="N220" t="s">
        <v>552</v>
      </c>
      <c r="O220">
        <v>20.84</v>
      </c>
      <c r="P220">
        <v>3201.261</v>
      </c>
      <c r="Q220" s="1">
        <f t="shared" si="17"/>
        <v>-0.267229254571027</v>
      </c>
      <c r="R220" s="1">
        <f t="shared" si="18"/>
        <v>0.0672634542244318</v>
      </c>
      <c r="S220" t="s">
        <v>1185</v>
      </c>
      <c r="T220">
        <v>23.1</v>
      </c>
      <c r="U220">
        <v>3205.575</v>
      </c>
      <c r="V220" s="1">
        <f t="shared" si="19"/>
        <v>0.108445297504799</v>
      </c>
      <c r="W220" s="1">
        <f t="shared" si="20"/>
        <v>0.00134759396375361</v>
      </c>
      <c r="X220" t="s">
        <v>1172</v>
      </c>
      <c r="Y220">
        <v>24.35</v>
      </c>
      <c r="Z220">
        <v>3216.671</v>
      </c>
      <c r="AA220" s="2">
        <f t="shared" si="21"/>
        <v>0.0541125541125541</v>
      </c>
      <c r="AB220" s="2">
        <f t="shared" si="22"/>
        <v>0.00346146947115572</v>
      </c>
      <c r="AC220" t="s">
        <v>887</v>
      </c>
      <c r="AD220">
        <v>23.02</v>
      </c>
      <c r="AE220">
        <v>3150.128</v>
      </c>
      <c r="AF220" s="2">
        <f t="shared" si="23"/>
        <v>-0.0546201232032855</v>
      </c>
      <c r="AG220" s="2">
        <f t="shared" si="24"/>
        <v>-0.0206869151367982</v>
      </c>
      <c r="AH220" t="s">
        <v>1174</v>
      </c>
      <c r="AI220" t="s">
        <v>281</v>
      </c>
      <c r="AJ220" t="s">
        <v>625</v>
      </c>
    </row>
    <row r="221" spans="1:36">
      <c r="A221">
        <v>123209</v>
      </c>
      <c r="B221" t="s">
        <v>1186</v>
      </c>
      <c r="C221">
        <v>300644</v>
      </c>
      <c r="D221" t="s">
        <v>1187</v>
      </c>
      <c r="E221" t="s">
        <v>1188</v>
      </c>
      <c r="F221" t="s">
        <v>31</v>
      </c>
      <c r="G221" t="s">
        <v>1104</v>
      </c>
      <c r="H221" t="s">
        <v>33</v>
      </c>
      <c r="I221" t="s">
        <v>255</v>
      </c>
      <c r="J221" t="s">
        <v>255</v>
      </c>
      <c r="K221" t="s">
        <v>1189</v>
      </c>
      <c r="L221">
        <v>13.8</v>
      </c>
      <c r="M221">
        <v>2915.926</v>
      </c>
      <c r="N221" t="s">
        <v>1080</v>
      </c>
      <c r="O221">
        <v>16.2</v>
      </c>
      <c r="P221">
        <v>3327.646</v>
      </c>
      <c r="Q221" s="1">
        <f t="shared" si="17"/>
        <v>0.173913043478261</v>
      </c>
      <c r="R221" s="1">
        <f t="shared" si="18"/>
        <v>0.141196998826445</v>
      </c>
      <c r="S221" t="s">
        <v>1081</v>
      </c>
      <c r="T221">
        <v>14.83</v>
      </c>
      <c r="U221">
        <v>3290.987</v>
      </c>
      <c r="V221" s="1">
        <f t="shared" si="19"/>
        <v>-0.0845679012345679</v>
      </c>
      <c r="W221" s="1">
        <f t="shared" si="20"/>
        <v>-0.0110164963460657</v>
      </c>
      <c r="X221" t="s">
        <v>1104</v>
      </c>
      <c r="Y221">
        <v>17.07</v>
      </c>
      <c r="Z221">
        <v>3223.028</v>
      </c>
      <c r="AA221" s="2">
        <f t="shared" si="21"/>
        <v>0.151045178691841</v>
      </c>
      <c r="AB221" s="2">
        <f t="shared" si="22"/>
        <v>-0.0206500359922419</v>
      </c>
      <c r="AC221" t="s">
        <v>491</v>
      </c>
      <c r="AD221">
        <v>16.54</v>
      </c>
      <c r="AE221">
        <v>3163.739</v>
      </c>
      <c r="AF221" s="2">
        <f t="shared" si="23"/>
        <v>-0.0310486233157587</v>
      </c>
      <c r="AG221" s="2">
        <f t="shared" si="24"/>
        <v>-0.018395434355519</v>
      </c>
      <c r="AH221" t="s">
        <v>1190</v>
      </c>
      <c r="AI221" t="s">
        <v>41</v>
      </c>
      <c r="AJ221" t="s">
        <v>41</v>
      </c>
    </row>
    <row r="222" spans="1:36">
      <c r="A222">
        <v>118040</v>
      </c>
      <c r="B222" t="s">
        <v>1191</v>
      </c>
      <c r="C222">
        <v>688711</v>
      </c>
      <c r="D222" t="s">
        <v>1192</v>
      </c>
      <c r="E222" t="s">
        <v>1193</v>
      </c>
      <c r="F222" t="s">
        <v>708</v>
      </c>
      <c r="G222" t="s">
        <v>1194</v>
      </c>
      <c r="H222" t="s">
        <v>33</v>
      </c>
      <c r="I222" t="s">
        <v>255</v>
      </c>
      <c r="J222" t="s">
        <v>255</v>
      </c>
      <c r="K222" t="s">
        <v>1053</v>
      </c>
      <c r="L222">
        <v>58.34</v>
      </c>
      <c r="M222">
        <v>3045.866</v>
      </c>
      <c r="N222" t="s">
        <v>1047</v>
      </c>
      <c r="O222">
        <v>55.61</v>
      </c>
      <c r="P222">
        <v>3318.364</v>
      </c>
      <c r="Q222" s="1">
        <f t="shared" si="17"/>
        <v>-0.046794652039767</v>
      </c>
      <c r="R222" s="1">
        <f t="shared" si="18"/>
        <v>0.0894648681196087</v>
      </c>
      <c r="S222" t="s">
        <v>1081</v>
      </c>
      <c r="T222">
        <v>45.37</v>
      </c>
      <c r="U222">
        <v>3290.987</v>
      </c>
      <c r="V222" s="1">
        <f t="shared" si="19"/>
        <v>-0.184139543247617</v>
      </c>
      <c r="W222" s="1">
        <f t="shared" si="20"/>
        <v>-0.00825014977259877</v>
      </c>
      <c r="X222" t="s">
        <v>1194</v>
      </c>
      <c r="Y222">
        <v>42.53</v>
      </c>
      <c r="Z222">
        <v>3231.521</v>
      </c>
      <c r="AA222" s="2">
        <f t="shared" si="21"/>
        <v>-0.0625964293586069</v>
      </c>
      <c r="AB222" s="2">
        <f t="shared" si="22"/>
        <v>-0.0180693512311048</v>
      </c>
      <c r="AC222" t="s">
        <v>1108</v>
      </c>
      <c r="AD222">
        <v>37.81</v>
      </c>
      <c r="AE222">
        <v>3178.427</v>
      </c>
      <c r="AF222" s="2">
        <f t="shared" si="23"/>
        <v>-0.110980484363978</v>
      </c>
      <c r="AG222" s="2">
        <f t="shared" si="24"/>
        <v>-0.0164300340304148</v>
      </c>
      <c r="AH222" t="s">
        <v>1195</v>
      </c>
      <c r="AI222" t="s">
        <v>41</v>
      </c>
      <c r="AJ222" t="s">
        <v>41</v>
      </c>
    </row>
    <row r="223" spans="1:36">
      <c r="A223">
        <v>111016</v>
      </c>
      <c r="B223" t="s">
        <v>1196</v>
      </c>
      <c r="C223">
        <v>605228</v>
      </c>
      <c r="D223" t="s">
        <v>1197</v>
      </c>
      <c r="E223" t="s">
        <v>816</v>
      </c>
      <c r="F223" t="s">
        <v>56</v>
      </c>
      <c r="G223" t="s">
        <v>1194</v>
      </c>
      <c r="H223" t="s">
        <v>33</v>
      </c>
      <c r="I223" t="s">
        <v>255</v>
      </c>
      <c r="J223" t="s">
        <v>255</v>
      </c>
      <c r="K223" t="s">
        <v>757</v>
      </c>
      <c r="L223">
        <v>9.84</v>
      </c>
      <c r="M223">
        <v>3310.654</v>
      </c>
      <c r="N223" t="s">
        <v>854</v>
      </c>
      <c r="O223">
        <v>8.43</v>
      </c>
      <c r="P223">
        <v>3204.749</v>
      </c>
      <c r="Q223" s="1">
        <f t="shared" si="17"/>
        <v>-0.143292682926829</v>
      </c>
      <c r="R223" s="1">
        <f t="shared" si="18"/>
        <v>-0.0319891477635537</v>
      </c>
      <c r="S223" t="s">
        <v>749</v>
      </c>
      <c r="T223">
        <v>9.51</v>
      </c>
      <c r="U223">
        <v>3182.381</v>
      </c>
      <c r="V223" s="1">
        <f t="shared" si="19"/>
        <v>0.128113879003559</v>
      </c>
      <c r="W223" s="1">
        <f t="shared" si="20"/>
        <v>-0.00697964177537771</v>
      </c>
      <c r="X223" t="s">
        <v>1194</v>
      </c>
      <c r="Y223">
        <v>11.3</v>
      </c>
      <c r="Z223">
        <v>3231.521</v>
      </c>
      <c r="AA223" s="2">
        <f t="shared" si="21"/>
        <v>0.188222923238696</v>
      </c>
      <c r="AB223" s="2">
        <f t="shared" si="22"/>
        <v>0.0154412686601637</v>
      </c>
      <c r="AC223" t="s">
        <v>791</v>
      </c>
      <c r="AD223">
        <v>9.5</v>
      </c>
      <c r="AE223">
        <v>3176.176</v>
      </c>
      <c r="AF223" s="2">
        <f t="shared" si="23"/>
        <v>-0.15929203539823</v>
      </c>
      <c r="AG223" s="2">
        <f t="shared" si="24"/>
        <v>-0.0171266100390498</v>
      </c>
      <c r="AH223" t="s">
        <v>1195</v>
      </c>
      <c r="AI223" t="s">
        <v>41</v>
      </c>
      <c r="AJ223" t="s">
        <v>41</v>
      </c>
    </row>
    <row r="224" spans="1:36">
      <c r="A224">
        <v>123208</v>
      </c>
      <c r="B224" t="s">
        <v>1198</v>
      </c>
      <c r="C224">
        <v>301078</v>
      </c>
      <c r="D224" t="s">
        <v>1199</v>
      </c>
      <c r="E224" t="s">
        <v>286</v>
      </c>
      <c r="F224" t="s">
        <v>41</v>
      </c>
      <c r="G224" t="s">
        <v>1200</v>
      </c>
      <c r="H224" t="s">
        <v>621</v>
      </c>
      <c r="I224" t="s">
        <v>255</v>
      </c>
      <c r="J224" t="s">
        <v>255</v>
      </c>
      <c r="K224" t="s">
        <v>1201</v>
      </c>
      <c r="L224">
        <v>14.31</v>
      </c>
      <c r="M224">
        <v>3276.223</v>
      </c>
      <c r="N224" t="s">
        <v>818</v>
      </c>
      <c r="O224">
        <v>10.7</v>
      </c>
      <c r="P224">
        <v>3367.031</v>
      </c>
      <c r="Q224" s="1">
        <f t="shared" si="17"/>
        <v>-0.252271139063592</v>
      </c>
      <c r="R224" s="1">
        <f t="shared" si="18"/>
        <v>0.0277172829810425</v>
      </c>
      <c r="S224" t="s">
        <v>1137</v>
      </c>
      <c r="T224">
        <v>12.99</v>
      </c>
      <c r="U224">
        <v>3231.406</v>
      </c>
      <c r="V224" s="1">
        <f t="shared" si="19"/>
        <v>0.214018691588785</v>
      </c>
      <c r="W224" s="1">
        <f t="shared" si="20"/>
        <v>-0.0402802944196237</v>
      </c>
      <c r="X224" t="s">
        <v>1200</v>
      </c>
      <c r="Y224">
        <v>10.75</v>
      </c>
      <c r="Z224">
        <v>3164.161</v>
      </c>
      <c r="AA224" s="2">
        <f t="shared" si="21"/>
        <v>-0.172440338722094</v>
      </c>
      <c r="AB224" s="2">
        <f t="shared" si="22"/>
        <v>-0.0208098270536107</v>
      </c>
      <c r="AC224" t="s">
        <v>1092</v>
      </c>
      <c r="AD224">
        <v>10.73</v>
      </c>
      <c r="AE224">
        <v>3254.56</v>
      </c>
      <c r="AF224" s="2">
        <f t="shared" si="23"/>
        <v>-0.00186046511627903</v>
      </c>
      <c r="AG224" s="2">
        <f t="shared" si="24"/>
        <v>0.0285696587499814</v>
      </c>
      <c r="AH224" t="s">
        <v>1202</v>
      </c>
      <c r="AI224" t="s">
        <v>580</v>
      </c>
      <c r="AJ224" t="s">
        <v>625</v>
      </c>
    </row>
    <row r="225" spans="1:36">
      <c r="A225">
        <v>127090</v>
      </c>
      <c r="B225" t="s">
        <v>1203</v>
      </c>
      <c r="C225">
        <v>2937</v>
      </c>
      <c r="D225" t="s">
        <v>1204</v>
      </c>
      <c r="E225" t="s">
        <v>1205</v>
      </c>
      <c r="F225" t="s">
        <v>56</v>
      </c>
      <c r="G225" t="s">
        <v>1200</v>
      </c>
      <c r="H225" t="s">
        <v>33</v>
      </c>
      <c r="I225" t="s">
        <v>255</v>
      </c>
      <c r="J225" t="s">
        <v>255</v>
      </c>
      <c r="K225" t="s">
        <v>757</v>
      </c>
      <c r="L225">
        <v>25.4</v>
      </c>
      <c r="M225">
        <v>3310.654</v>
      </c>
      <c r="N225" t="s">
        <v>233</v>
      </c>
      <c r="O225">
        <v>21.6</v>
      </c>
      <c r="P225">
        <v>3297.32</v>
      </c>
      <c r="Q225" s="1">
        <f t="shared" si="17"/>
        <v>-0.149606299212598</v>
      </c>
      <c r="R225" s="1">
        <f t="shared" si="18"/>
        <v>-0.0040276030053276</v>
      </c>
      <c r="S225" t="s">
        <v>622</v>
      </c>
      <c r="T225">
        <v>25.2</v>
      </c>
      <c r="U225">
        <v>3245.349</v>
      </c>
      <c r="V225" s="1">
        <f t="shared" si="19"/>
        <v>0.166666666666667</v>
      </c>
      <c r="W225" s="1">
        <f t="shared" si="20"/>
        <v>-0.0157615881989009</v>
      </c>
      <c r="X225" t="s">
        <v>1200</v>
      </c>
      <c r="Y225">
        <v>25.13</v>
      </c>
      <c r="Z225">
        <v>3164.161</v>
      </c>
      <c r="AA225" s="2">
        <f t="shared" si="21"/>
        <v>-0.00277777777777779</v>
      </c>
      <c r="AB225" s="2">
        <f t="shared" si="22"/>
        <v>-0.0250167239332349</v>
      </c>
      <c r="AC225" t="s">
        <v>791</v>
      </c>
      <c r="AD225">
        <v>23.36</v>
      </c>
      <c r="AE225">
        <v>3176.176</v>
      </c>
      <c r="AF225" s="2">
        <f t="shared" si="23"/>
        <v>-0.070433744528452</v>
      </c>
      <c r="AG225" s="2">
        <f t="shared" si="24"/>
        <v>0.00379721512274498</v>
      </c>
      <c r="AH225" t="s">
        <v>1202</v>
      </c>
      <c r="AI225" t="s">
        <v>41</v>
      </c>
      <c r="AJ225" t="s">
        <v>41</v>
      </c>
    </row>
    <row r="226" spans="1:36">
      <c r="A226">
        <v>123207</v>
      </c>
      <c r="B226" t="s">
        <v>1206</v>
      </c>
      <c r="C226">
        <v>300948</v>
      </c>
      <c r="D226" t="s">
        <v>1207</v>
      </c>
      <c r="E226" t="s">
        <v>140</v>
      </c>
      <c r="F226" t="s">
        <v>1208</v>
      </c>
      <c r="G226" t="s">
        <v>893</v>
      </c>
      <c r="H226" t="s">
        <v>33</v>
      </c>
      <c r="I226" t="s">
        <v>255</v>
      </c>
      <c r="J226" t="s">
        <v>255</v>
      </c>
      <c r="K226" t="s">
        <v>1209</v>
      </c>
      <c r="L226">
        <v>12.57</v>
      </c>
      <c r="M226">
        <v>3224.406</v>
      </c>
      <c r="N226" t="s">
        <v>1042</v>
      </c>
      <c r="O226">
        <v>14.27</v>
      </c>
      <c r="P226">
        <v>3283.542</v>
      </c>
      <c r="Q226" s="1">
        <f t="shared" si="17"/>
        <v>0.135242641209228</v>
      </c>
      <c r="R226" s="1">
        <f t="shared" si="18"/>
        <v>0.0183401221806435</v>
      </c>
      <c r="S226" t="s">
        <v>749</v>
      </c>
      <c r="T226">
        <v>14.63</v>
      </c>
      <c r="U226">
        <v>3182.381</v>
      </c>
      <c r="V226" s="1">
        <f t="shared" si="19"/>
        <v>0.0252277505255782</v>
      </c>
      <c r="W226" s="1">
        <f t="shared" si="20"/>
        <v>-0.0308084988710362</v>
      </c>
      <c r="X226" t="s">
        <v>893</v>
      </c>
      <c r="Y226">
        <v>15.15</v>
      </c>
      <c r="Z226">
        <v>3167.745</v>
      </c>
      <c r="AA226" s="2">
        <f t="shared" si="21"/>
        <v>0.0355434039644566</v>
      </c>
      <c r="AB226" s="2">
        <f t="shared" si="22"/>
        <v>-0.00459907220411383</v>
      </c>
      <c r="AC226" t="s">
        <v>735</v>
      </c>
      <c r="AD226">
        <v>14.79</v>
      </c>
      <c r="AE226">
        <v>3244.487</v>
      </c>
      <c r="AF226" s="2">
        <f t="shared" si="23"/>
        <v>-0.0237623762376238</v>
      </c>
      <c r="AG226" s="2">
        <f t="shared" si="24"/>
        <v>0.0242260661764126</v>
      </c>
      <c r="AH226" t="s">
        <v>1210</v>
      </c>
      <c r="AI226" t="s">
        <v>41</v>
      </c>
      <c r="AJ226" t="s">
        <v>41</v>
      </c>
    </row>
    <row r="227" spans="1:36">
      <c r="A227">
        <v>113674</v>
      </c>
      <c r="B227" t="s">
        <v>1211</v>
      </c>
      <c r="C227">
        <v>603018</v>
      </c>
      <c r="D227" t="s">
        <v>1212</v>
      </c>
      <c r="E227" t="s">
        <v>140</v>
      </c>
      <c r="F227" t="s">
        <v>397</v>
      </c>
      <c r="G227" t="s">
        <v>893</v>
      </c>
      <c r="H227" t="s">
        <v>33</v>
      </c>
      <c r="I227" t="s">
        <v>255</v>
      </c>
      <c r="J227" t="s">
        <v>255</v>
      </c>
      <c r="K227" t="s">
        <v>852</v>
      </c>
      <c r="L227">
        <v>7.58</v>
      </c>
      <c r="M227">
        <v>3258.034</v>
      </c>
      <c r="N227" t="s">
        <v>1146</v>
      </c>
      <c r="O227">
        <v>8.4</v>
      </c>
      <c r="P227">
        <v>3370.128</v>
      </c>
      <c r="Q227" s="1">
        <f t="shared" si="17"/>
        <v>0.108179419525066</v>
      </c>
      <c r="R227" s="1">
        <f t="shared" si="18"/>
        <v>0.0344054113615757</v>
      </c>
      <c r="S227" t="s">
        <v>1213</v>
      </c>
      <c r="T227">
        <v>8.64</v>
      </c>
      <c r="U227">
        <v>3255.806</v>
      </c>
      <c r="V227" s="1">
        <f t="shared" si="19"/>
        <v>0.0285714285714286</v>
      </c>
      <c r="W227" s="1">
        <f t="shared" si="20"/>
        <v>-0.0339221536986133</v>
      </c>
      <c r="X227" t="s">
        <v>893</v>
      </c>
      <c r="Y227">
        <v>8.3</v>
      </c>
      <c r="Z227">
        <v>3167.745</v>
      </c>
      <c r="AA227" s="2">
        <f t="shared" si="21"/>
        <v>-0.0393518518518518</v>
      </c>
      <c r="AB227" s="2">
        <f t="shared" si="22"/>
        <v>-0.027047373215726</v>
      </c>
      <c r="AC227" t="s">
        <v>791</v>
      </c>
      <c r="AD227">
        <v>8.27</v>
      </c>
      <c r="AE227">
        <v>3176.176</v>
      </c>
      <c r="AF227" s="2">
        <f t="shared" si="23"/>
        <v>-0.00361445783132544</v>
      </c>
      <c r="AG227" s="2">
        <f t="shared" si="24"/>
        <v>0.00266151473682384</v>
      </c>
      <c r="AH227" t="s">
        <v>1210</v>
      </c>
      <c r="AI227" t="s">
        <v>41</v>
      </c>
      <c r="AJ227" t="s">
        <v>41</v>
      </c>
    </row>
    <row r="228" spans="1:36">
      <c r="A228">
        <v>123206</v>
      </c>
      <c r="B228" t="s">
        <v>1214</v>
      </c>
      <c r="C228">
        <v>300272</v>
      </c>
      <c r="D228" t="s">
        <v>1215</v>
      </c>
      <c r="E228" t="s">
        <v>776</v>
      </c>
      <c r="F228" t="s">
        <v>41</v>
      </c>
      <c r="G228" t="s">
        <v>1122</v>
      </c>
      <c r="H228" t="s">
        <v>621</v>
      </c>
      <c r="I228" t="s">
        <v>255</v>
      </c>
      <c r="J228" t="s">
        <v>255</v>
      </c>
      <c r="K228" t="s">
        <v>1216</v>
      </c>
      <c r="L228">
        <v>5.4</v>
      </c>
      <c r="M228">
        <v>3270.383</v>
      </c>
      <c r="N228" t="s">
        <v>798</v>
      </c>
      <c r="O228">
        <v>4.78</v>
      </c>
      <c r="P228">
        <v>3285.884</v>
      </c>
      <c r="Q228" s="1">
        <f t="shared" si="17"/>
        <v>-0.114814814814815</v>
      </c>
      <c r="R228" s="1">
        <f t="shared" si="18"/>
        <v>0.00473981182020583</v>
      </c>
      <c r="S228" t="s">
        <v>1217</v>
      </c>
      <c r="T228">
        <v>4.89</v>
      </c>
      <c r="U228">
        <v>3243.975</v>
      </c>
      <c r="V228" s="1">
        <f t="shared" si="19"/>
        <v>0.0230125523012551</v>
      </c>
      <c r="W228" s="1">
        <f t="shared" si="20"/>
        <v>-0.0127542542585192</v>
      </c>
      <c r="X228" t="s">
        <v>1122</v>
      </c>
      <c r="Y228">
        <v>5.17</v>
      </c>
      <c r="Z228">
        <v>3169.522</v>
      </c>
      <c r="AA228" s="2">
        <f t="shared" si="21"/>
        <v>0.0572597137014315</v>
      </c>
      <c r="AB228" s="2">
        <f t="shared" si="22"/>
        <v>-0.0229511633104447</v>
      </c>
      <c r="AC228" t="s">
        <v>1136</v>
      </c>
      <c r="AD228">
        <v>5.25</v>
      </c>
      <c r="AE228">
        <v>3260.62</v>
      </c>
      <c r="AF228" s="2">
        <f t="shared" si="23"/>
        <v>0.0154738878143134</v>
      </c>
      <c r="AG228" s="2">
        <f t="shared" si="24"/>
        <v>0.0287418733802763</v>
      </c>
      <c r="AH228" t="s">
        <v>1218</v>
      </c>
      <c r="AI228" t="s">
        <v>168</v>
      </c>
      <c r="AJ228" t="s">
        <v>625</v>
      </c>
    </row>
    <row r="229" spans="1:36">
      <c r="A229">
        <v>118039</v>
      </c>
      <c r="B229" t="s">
        <v>1219</v>
      </c>
      <c r="C229">
        <v>688597</v>
      </c>
      <c r="D229" t="s">
        <v>1220</v>
      </c>
      <c r="E229" t="s">
        <v>1221</v>
      </c>
      <c r="F229" t="s">
        <v>708</v>
      </c>
      <c r="G229" t="s">
        <v>1122</v>
      </c>
      <c r="H229" t="s">
        <v>33</v>
      </c>
      <c r="I229" t="s">
        <v>255</v>
      </c>
      <c r="J229" t="s">
        <v>255</v>
      </c>
      <c r="K229" t="s">
        <v>1222</v>
      </c>
      <c r="L229">
        <v>7.97</v>
      </c>
      <c r="M229">
        <v>3284.921</v>
      </c>
      <c r="N229" t="s">
        <v>1223</v>
      </c>
      <c r="O229">
        <v>7.47</v>
      </c>
      <c r="P229">
        <v>3221.448</v>
      </c>
      <c r="Q229" s="1">
        <f t="shared" si="17"/>
        <v>-0.0627352572145546</v>
      </c>
      <c r="R229" s="1">
        <f t="shared" si="18"/>
        <v>-0.0193225346971814</v>
      </c>
      <c r="S229" t="s">
        <v>764</v>
      </c>
      <c r="T229">
        <v>6.96</v>
      </c>
      <c r="U229">
        <v>3150.619</v>
      </c>
      <c r="V229" s="1">
        <f t="shared" si="19"/>
        <v>-0.0682730923694779</v>
      </c>
      <c r="W229" s="1">
        <f t="shared" si="20"/>
        <v>-0.0219866966655987</v>
      </c>
      <c r="X229" t="s">
        <v>1122</v>
      </c>
      <c r="Y229">
        <v>6.91</v>
      </c>
      <c r="Z229">
        <v>3169.522</v>
      </c>
      <c r="AA229" s="2">
        <f t="shared" si="21"/>
        <v>-0.00718390804597699</v>
      </c>
      <c r="AB229" s="2">
        <f t="shared" si="22"/>
        <v>0.00599977337786632</v>
      </c>
      <c r="AC229" t="s">
        <v>791</v>
      </c>
      <c r="AD229">
        <v>6.26</v>
      </c>
      <c r="AE229">
        <v>3176.176</v>
      </c>
      <c r="AF229" s="2">
        <f t="shared" si="23"/>
        <v>-0.0940665701881332</v>
      </c>
      <c r="AG229" s="2">
        <f t="shared" si="24"/>
        <v>0.00209937018894332</v>
      </c>
      <c r="AH229" t="s">
        <v>1218</v>
      </c>
      <c r="AI229" t="s">
        <v>41</v>
      </c>
      <c r="AJ229" t="s">
        <v>41</v>
      </c>
    </row>
    <row r="230" spans="1:36">
      <c r="A230">
        <v>127089</v>
      </c>
      <c r="B230" t="s">
        <v>1224</v>
      </c>
      <c r="C230">
        <v>2459</v>
      </c>
      <c r="D230" t="s">
        <v>1225</v>
      </c>
      <c r="E230" t="s">
        <v>1226</v>
      </c>
      <c r="F230" t="s">
        <v>98</v>
      </c>
      <c r="G230" t="s">
        <v>1227</v>
      </c>
      <c r="H230" t="s">
        <v>33</v>
      </c>
      <c r="I230" t="s">
        <v>255</v>
      </c>
      <c r="J230" t="s">
        <v>255</v>
      </c>
      <c r="K230" t="s">
        <v>826</v>
      </c>
      <c r="L230">
        <v>42.93</v>
      </c>
      <c r="M230">
        <v>3279.605</v>
      </c>
      <c r="N230" t="s">
        <v>798</v>
      </c>
      <c r="O230">
        <v>40.4</v>
      </c>
      <c r="P230">
        <v>3285.884</v>
      </c>
      <c r="Q230" s="1">
        <f t="shared" si="17"/>
        <v>-0.0589331469834615</v>
      </c>
      <c r="R230" s="1">
        <f t="shared" si="18"/>
        <v>0.00191455983266277</v>
      </c>
      <c r="S230" t="s">
        <v>960</v>
      </c>
      <c r="T230">
        <v>35.44</v>
      </c>
      <c r="U230">
        <v>3204.564</v>
      </c>
      <c r="V230" s="1">
        <f t="shared" si="19"/>
        <v>-0.122772277227723</v>
      </c>
      <c r="W230" s="1">
        <f t="shared" si="20"/>
        <v>-0.0247482869145716</v>
      </c>
      <c r="X230" t="s">
        <v>1227</v>
      </c>
      <c r="Y230">
        <v>32.65</v>
      </c>
      <c r="Z230">
        <v>3197.82</v>
      </c>
      <c r="AA230" s="2">
        <f t="shared" si="21"/>
        <v>-0.0787246049661399</v>
      </c>
      <c r="AB230" s="2">
        <f t="shared" si="22"/>
        <v>-0.00210449845907265</v>
      </c>
      <c r="AC230" t="s">
        <v>639</v>
      </c>
      <c r="AD230">
        <v>31.07</v>
      </c>
      <c r="AE230">
        <v>3288.084</v>
      </c>
      <c r="AF230" s="2">
        <f t="shared" si="23"/>
        <v>-0.0483920367534456</v>
      </c>
      <c r="AG230" s="2">
        <f t="shared" si="24"/>
        <v>0.0282267294594441</v>
      </c>
      <c r="AH230" t="s">
        <v>1228</v>
      </c>
      <c r="AI230" t="s">
        <v>41</v>
      </c>
      <c r="AJ230" t="s">
        <v>41</v>
      </c>
    </row>
    <row r="231" spans="1:36">
      <c r="A231">
        <v>113673</v>
      </c>
      <c r="B231" t="s">
        <v>1229</v>
      </c>
      <c r="C231">
        <v>603730</v>
      </c>
      <c r="D231" t="s">
        <v>1230</v>
      </c>
      <c r="E231" t="s">
        <v>273</v>
      </c>
      <c r="F231" t="s">
        <v>397</v>
      </c>
      <c r="G231" t="s">
        <v>1227</v>
      </c>
      <c r="H231" t="s">
        <v>33</v>
      </c>
      <c r="I231" t="s">
        <v>255</v>
      </c>
      <c r="J231" t="s">
        <v>255</v>
      </c>
      <c r="K231" t="s">
        <v>852</v>
      </c>
      <c r="L231">
        <v>7.49</v>
      </c>
      <c r="M231">
        <v>3258.034</v>
      </c>
      <c r="N231" t="s">
        <v>979</v>
      </c>
      <c r="O231">
        <v>6.75</v>
      </c>
      <c r="P231">
        <v>3264.101</v>
      </c>
      <c r="Q231" s="1">
        <f t="shared" si="17"/>
        <v>-0.0987983978638184</v>
      </c>
      <c r="R231" s="1">
        <f t="shared" si="18"/>
        <v>0.0018621659565247</v>
      </c>
      <c r="S231" t="s">
        <v>1110</v>
      </c>
      <c r="T231">
        <v>7.83</v>
      </c>
      <c r="U231">
        <v>3228.834</v>
      </c>
      <c r="V231" s="1">
        <f t="shared" si="19"/>
        <v>0.16</v>
      </c>
      <c r="W231" s="1">
        <f t="shared" si="20"/>
        <v>-0.0108045063556551</v>
      </c>
      <c r="X231" t="s">
        <v>1227</v>
      </c>
      <c r="Y231">
        <v>9.86</v>
      </c>
      <c r="Z231">
        <v>3197.82</v>
      </c>
      <c r="AA231" s="2">
        <f t="shared" si="21"/>
        <v>0.259259259259259</v>
      </c>
      <c r="AB231" s="2">
        <f t="shared" si="22"/>
        <v>-0.00960532501825726</v>
      </c>
      <c r="AC231" t="s">
        <v>1092</v>
      </c>
      <c r="AD231">
        <v>10.5</v>
      </c>
      <c r="AE231">
        <v>3254.56</v>
      </c>
      <c r="AF231" s="2">
        <f t="shared" si="23"/>
        <v>0.0649087221095335</v>
      </c>
      <c r="AG231" s="2">
        <f t="shared" si="24"/>
        <v>0.0177433376487732</v>
      </c>
      <c r="AH231" t="s">
        <v>1228</v>
      </c>
      <c r="AI231" t="s">
        <v>41</v>
      </c>
      <c r="AJ231" t="s">
        <v>41</v>
      </c>
    </row>
    <row r="232" spans="1:36">
      <c r="A232">
        <v>113672</v>
      </c>
      <c r="B232" t="s">
        <v>1231</v>
      </c>
      <c r="C232">
        <v>603327</v>
      </c>
      <c r="D232" t="s">
        <v>1232</v>
      </c>
      <c r="E232" t="s">
        <v>1233</v>
      </c>
      <c r="F232" t="s">
        <v>397</v>
      </c>
      <c r="G232" t="s">
        <v>1227</v>
      </c>
      <c r="H232" t="s">
        <v>33</v>
      </c>
      <c r="I232" t="s">
        <v>255</v>
      </c>
      <c r="J232" t="s">
        <v>255</v>
      </c>
      <c r="K232" t="s">
        <v>757</v>
      </c>
      <c r="L232">
        <v>8.14</v>
      </c>
      <c r="M232">
        <v>3310.654</v>
      </c>
      <c r="N232" t="s">
        <v>233</v>
      </c>
      <c r="O232">
        <v>7.44</v>
      </c>
      <c r="P232">
        <v>3297.32</v>
      </c>
      <c r="Q232" s="1">
        <f t="shared" si="17"/>
        <v>-0.085995085995086</v>
      </c>
      <c r="R232" s="1">
        <f t="shared" si="18"/>
        <v>-0.0040276030053276</v>
      </c>
      <c r="S232" t="s">
        <v>985</v>
      </c>
      <c r="T232">
        <v>7.4</v>
      </c>
      <c r="U232">
        <v>3197.901</v>
      </c>
      <c r="V232" s="1">
        <f t="shared" si="19"/>
        <v>-0.00537634408602151</v>
      </c>
      <c r="W232" s="1">
        <f t="shared" si="20"/>
        <v>-0.0301514563342352</v>
      </c>
      <c r="X232" t="s">
        <v>1227</v>
      </c>
      <c r="Y232">
        <v>8.17</v>
      </c>
      <c r="Z232">
        <v>3197.82</v>
      </c>
      <c r="AA232" s="2">
        <f t="shared" si="21"/>
        <v>0.104054054054054</v>
      </c>
      <c r="AB232" s="2">
        <f t="shared" si="22"/>
        <v>-2.53291143158204e-5</v>
      </c>
      <c r="AC232" t="s">
        <v>1092</v>
      </c>
      <c r="AD232">
        <v>8.43</v>
      </c>
      <c r="AE232">
        <v>3254.56</v>
      </c>
      <c r="AF232" s="2">
        <f t="shared" si="23"/>
        <v>0.0318237454100367</v>
      </c>
      <c r="AG232" s="2">
        <f t="shared" si="24"/>
        <v>0.0177433376487732</v>
      </c>
      <c r="AH232" t="s">
        <v>1228</v>
      </c>
      <c r="AI232" t="s">
        <v>41</v>
      </c>
      <c r="AJ232" t="s">
        <v>41</v>
      </c>
    </row>
    <row r="233" spans="1:36">
      <c r="A233">
        <v>110094</v>
      </c>
      <c r="B233" t="s">
        <v>1234</v>
      </c>
      <c r="C233">
        <v>600888</v>
      </c>
      <c r="D233" t="s">
        <v>1235</v>
      </c>
      <c r="E233" t="s">
        <v>1236</v>
      </c>
      <c r="F233" t="s">
        <v>397</v>
      </c>
      <c r="G233" t="s">
        <v>1227</v>
      </c>
      <c r="H233" t="s">
        <v>33</v>
      </c>
      <c r="I233" t="s">
        <v>255</v>
      </c>
      <c r="J233" t="s">
        <v>255</v>
      </c>
      <c r="K233" t="s">
        <v>826</v>
      </c>
      <c r="L233">
        <v>8.41</v>
      </c>
      <c r="M233">
        <v>3279.605</v>
      </c>
      <c r="N233" t="s">
        <v>1237</v>
      </c>
      <c r="O233">
        <v>7.87</v>
      </c>
      <c r="P233">
        <v>3284.232</v>
      </c>
      <c r="Q233" s="1">
        <f t="shared" si="17"/>
        <v>-0.0642092746730083</v>
      </c>
      <c r="R233" s="1">
        <f t="shared" si="18"/>
        <v>0.00141084063477155</v>
      </c>
      <c r="S233" t="s">
        <v>749</v>
      </c>
      <c r="T233">
        <v>7.44</v>
      </c>
      <c r="U233">
        <v>3182.381</v>
      </c>
      <c r="V233" s="1">
        <f t="shared" si="19"/>
        <v>-0.0546378653113087</v>
      </c>
      <c r="W233" s="1">
        <f t="shared" si="20"/>
        <v>-0.0310121209463887</v>
      </c>
      <c r="X233" t="s">
        <v>1227</v>
      </c>
      <c r="Y233">
        <v>7.71</v>
      </c>
      <c r="Z233">
        <v>3197.82</v>
      </c>
      <c r="AA233" s="2">
        <f t="shared" si="21"/>
        <v>0.0362903225806451</v>
      </c>
      <c r="AB233" s="2">
        <f t="shared" si="22"/>
        <v>0.0048513989996799</v>
      </c>
      <c r="AC233" t="s">
        <v>1108</v>
      </c>
      <c r="AD233">
        <v>7.79</v>
      </c>
      <c r="AE233">
        <v>3178.427</v>
      </c>
      <c r="AF233" s="2">
        <f t="shared" si="23"/>
        <v>0.0103761348897536</v>
      </c>
      <c r="AG233" s="2">
        <f t="shared" si="24"/>
        <v>-0.00606444390240852</v>
      </c>
      <c r="AH233" t="s">
        <v>1228</v>
      </c>
      <c r="AI233" t="s">
        <v>41</v>
      </c>
      <c r="AJ233" t="s">
        <v>41</v>
      </c>
    </row>
    <row r="234" spans="1:36">
      <c r="A234">
        <v>123205</v>
      </c>
      <c r="B234" t="s">
        <v>1238</v>
      </c>
      <c r="C234">
        <v>300879</v>
      </c>
      <c r="D234" t="s">
        <v>1239</v>
      </c>
      <c r="E234" t="s">
        <v>1240</v>
      </c>
      <c r="F234" t="s">
        <v>41</v>
      </c>
      <c r="G234" t="s">
        <v>1241</v>
      </c>
      <c r="H234" t="s">
        <v>621</v>
      </c>
      <c r="I234" t="s">
        <v>255</v>
      </c>
      <c r="J234" t="s">
        <v>255</v>
      </c>
      <c r="K234" t="s">
        <v>1242</v>
      </c>
      <c r="L234">
        <v>23.94</v>
      </c>
      <c r="M234">
        <v>3355.35</v>
      </c>
      <c r="N234" t="s">
        <v>1243</v>
      </c>
      <c r="O234">
        <v>18.11</v>
      </c>
      <c r="P234">
        <v>3036.132</v>
      </c>
      <c r="Q234" s="1">
        <f t="shared" si="17"/>
        <v>-0.243525480367586</v>
      </c>
      <c r="R234" s="1">
        <f t="shared" si="18"/>
        <v>-0.0951370199830122</v>
      </c>
      <c r="S234" t="s">
        <v>1209</v>
      </c>
      <c r="T234">
        <v>16.58</v>
      </c>
      <c r="U234">
        <v>3224.406</v>
      </c>
      <c r="V234" s="1">
        <f t="shared" si="19"/>
        <v>-0.0844837106570956</v>
      </c>
      <c r="W234" s="1">
        <f t="shared" si="20"/>
        <v>0.0620111378556663</v>
      </c>
      <c r="X234" t="s">
        <v>1241</v>
      </c>
      <c r="Y234">
        <v>18.01</v>
      </c>
      <c r="Z234">
        <v>3209.63</v>
      </c>
      <c r="AA234" s="2">
        <f t="shared" si="21"/>
        <v>0.0862484921592282</v>
      </c>
      <c r="AB234" s="2">
        <f t="shared" si="22"/>
        <v>-0.004582549468026</v>
      </c>
      <c r="AC234" t="s">
        <v>1136</v>
      </c>
      <c r="AD234">
        <v>17.34</v>
      </c>
      <c r="AE234">
        <v>3260.62</v>
      </c>
      <c r="AF234" s="2">
        <f t="shared" si="23"/>
        <v>-0.037201554691838</v>
      </c>
      <c r="AG234" s="2">
        <f t="shared" si="24"/>
        <v>0.0158865663643472</v>
      </c>
      <c r="AH234" t="s">
        <v>1244</v>
      </c>
      <c r="AI234" t="s">
        <v>633</v>
      </c>
      <c r="AJ234" t="s">
        <v>625</v>
      </c>
    </row>
    <row r="235" spans="1:36">
      <c r="A235">
        <v>118038</v>
      </c>
      <c r="B235" t="s">
        <v>1245</v>
      </c>
      <c r="C235">
        <v>688106</v>
      </c>
      <c r="D235" t="s">
        <v>1246</v>
      </c>
      <c r="E235" t="s">
        <v>1247</v>
      </c>
      <c r="F235" t="s">
        <v>56</v>
      </c>
      <c r="G235" t="s">
        <v>1241</v>
      </c>
      <c r="H235" t="s">
        <v>33</v>
      </c>
      <c r="I235" t="s">
        <v>255</v>
      </c>
      <c r="J235" t="s">
        <v>255</v>
      </c>
      <c r="K235" t="s">
        <v>1248</v>
      </c>
      <c r="L235">
        <v>19.99</v>
      </c>
      <c r="M235">
        <v>3197.35</v>
      </c>
      <c r="N235" t="s">
        <v>1249</v>
      </c>
      <c r="O235">
        <v>22.76</v>
      </c>
      <c r="P235">
        <v>3315.358</v>
      </c>
      <c r="Q235" s="1">
        <f t="shared" si="17"/>
        <v>0.138569284642321</v>
      </c>
      <c r="R235" s="1">
        <f t="shared" si="18"/>
        <v>0.0369080644909066</v>
      </c>
      <c r="S235" t="s">
        <v>1213</v>
      </c>
      <c r="T235">
        <v>25.1</v>
      </c>
      <c r="U235">
        <v>3255.806</v>
      </c>
      <c r="V235" s="1">
        <f t="shared" si="19"/>
        <v>0.102811950790861</v>
      </c>
      <c r="W235" s="1">
        <f t="shared" si="20"/>
        <v>-0.017962464385445</v>
      </c>
      <c r="X235" t="s">
        <v>1241</v>
      </c>
      <c r="Y235">
        <v>24.66</v>
      </c>
      <c r="Z235">
        <v>3209.63</v>
      </c>
      <c r="AA235" s="2">
        <f t="shared" si="21"/>
        <v>-0.0175298804780877</v>
      </c>
      <c r="AB235" s="2">
        <f t="shared" si="22"/>
        <v>-0.0141826632176487</v>
      </c>
      <c r="AC235" t="s">
        <v>1092</v>
      </c>
      <c r="AD235">
        <v>24.42</v>
      </c>
      <c r="AE235">
        <v>3254.56</v>
      </c>
      <c r="AF235" s="2">
        <f t="shared" si="23"/>
        <v>-0.00973236009732354</v>
      </c>
      <c r="AG235" s="2">
        <f t="shared" si="24"/>
        <v>0.0139984982692709</v>
      </c>
      <c r="AH235" t="s">
        <v>1244</v>
      </c>
      <c r="AI235" t="s">
        <v>41</v>
      </c>
      <c r="AJ235" t="s">
        <v>41</v>
      </c>
    </row>
    <row r="236" spans="1:36">
      <c r="A236">
        <v>123204</v>
      </c>
      <c r="B236" t="s">
        <v>1250</v>
      </c>
      <c r="C236">
        <v>300829</v>
      </c>
      <c r="D236" t="s">
        <v>1251</v>
      </c>
      <c r="E236" t="s">
        <v>1015</v>
      </c>
      <c r="F236" t="s">
        <v>41</v>
      </c>
      <c r="G236" t="s">
        <v>663</v>
      </c>
      <c r="H236" t="s">
        <v>621</v>
      </c>
      <c r="I236" t="s">
        <v>255</v>
      </c>
      <c r="J236" t="s">
        <v>255</v>
      </c>
      <c r="K236" t="s">
        <v>1252</v>
      </c>
      <c r="L236">
        <v>22.54</v>
      </c>
      <c r="M236">
        <v>2974.145</v>
      </c>
      <c r="N236" t="s">
        <v>1253</v>
      </c>
      <c r="O236">
        <v>22.64</v>
      </c>
      <c r="P236">
        <v>3286.649</v>
      </c>
      <c r="Q236" s="1">
        <f t="shared" si="17"/>
        <v>0.00443655723158835</v>
      </c>
      <c r="R236" s="1">
        <f t="shared" si="18"/>
        <v>0.105073558955599</v>
      </c>
      <c r="S236" t="s">
        <v>979</v>
      </c>
      <c r="T236">
        <v>23.39</v>
      </c>
      <c r="U236">
        <v>3264.101</v>
      </c>
      <c r="V236" s="1">
        <f t="shared" si="19"/>
        <v>0.0331272084805654</v>
      </c>
      <c r="W236" s="1">
        <f t="shared" si="20"/>
        <v>-0.0068604831243007</v>
      </c>
      <c r="X236" t="s">
        <v>663</v>
      </c>
      <c r="Y236">
        <v>21.34</v>
      </c>
      <c r="Z236">
        <v>3236.48</v>
      </c>
      <c r="AA236" s="2">
        <f t="shared" si="21"/>
        <v>-0.0876442924326636</v>
      </c>
      <c r="AB236" s="2">
        <f t="shared" si="22"/>
        <v>-0.00846205432981396</v>
      </c>
      <c r="AC236" t="s">
        <v>786</v>
      </c>
      <c r="AD236">
        <v>20.93</v>
      </c>
      <c r="AE236">
        <v>3261.69</v>
      </c>
      <c r="AF236" s="2">
        <f t="shared" si="23"/>
        <v>-0.0192127460168697</v>
      </c>
      <c r="AG236" s="2">
        <f t="shared" si="24"/>
        <v>0.00778932667589481</v>
      </c>
      <c r="AH236" t="s">
        <v>1254</v>
      </c>
      <c r="AI236" t="s">
        <v>1255</v>
      </c>
      <c r="AJ236" t="s">
        <v>625</v>
      </c>
    </row>
    <row r="237" spans="1:36">
      <c r="A237">
        <v>113671</v>
      </c>
      <c r="B237" t="s">
        <v>1256</v>
      </c>
      <c r="C237">
        <v>603878</v>
      </c>
      <c r="D237" t="s">
        <v>1257</v>
      </c>
      <c r="E237" t="s">
        <v>1258</v>
      </c>
      <c r="F237" t="s">
        <v>397</v>
      </c>
      <c r="G237" t="s">
        <v>1132</v>
      </c>
      <c r="H237" t="s">
        <v>33</v>
      </c>
      <c r="I237" t="s">
        <v>255</v>
      </c>
      <c r="J237" t="s">
        <v>255</v>
      </c>
      <c r="K237" t="s">
        <v>826</v>
      </c>
      <c r="L237">
        <v>8.74</v>
      </c>
      <c r="M237">
        <v>3279.605</v>
      </c>
      <c r="N237" t="s">
        <v>1095</v>
      </c>
      <c r="O237">
        <v>7.85</v>
      </c>
      <c r="P237">
        <v>3296.47</v>
      </c>
      <c r="Q237" s="1">
        <f t="shared" si="17"/>
        <v>-0.101830663615561</v>
      </c>
      <c r="R237" s="1">
        <f t="shared" si="18"/>
        <v>0.00514238757411328</v>
      </c>
      <c r="S237" t="s">
        <v>1067</v>
      </c>
      <c r="T237">
        <v>7.52</v>
      </c>
      <c r="U237">
        <v>3255.806</v>
      </c>
      <c r="V237" s="1">
        <f t="shared" si="19"/>
        <v>-0.0420382165605096</v>
      </c>
      <c r="W237" s="1">
        <f t="shared" si="20"/>
        <v>-0.0123356196173482</v>
      </c>
      <c r="X237" t="s">
        <v>1132</v>
      </c>
      <c r="Y237">
        <v>7.66</v>
      </c>
      <c r="Z237">
        <v>3203.696</v>
      </c>
      <c r="AA237" s="2">
        <f t="shared" si="21"/>
        <v>0.0186170212765958</v>
      </c>
      <c r="AB237" s="2">
        <f t="shared" si="22"/>
        <v>-0.0160052533842619</v>
      </c>
      <c r="AC237" t="s">
        <v>860</v>
      </c>
      <c r="AD237">
        <v>7.81</v>
      </c>
      <c r="AE237">
        <v>3280.463</v>
      </c>
      <c r="AF237" s="2">
        <f t="shared" si="23"/>
        <v>0.0195822454308093</v>
      </c>
      <c r="AG237" s="2">
        <f t="shared" si="24"/>
        <v>0.0239620113768598</v>
      </c>
      <c r="AH237" t="s">
        <v>1259</v>
      </c>
      <c r="AI237" t="s">
        <v>41</v>
      </c>
      <c r="AJ237" t="s">
        <v>41</v>
      </c>
    </row>
    <row r="238" spans="1:36">
      <c r="A238">
        <v>111015</v>
      </c>
      <c r="B238" t="s">
        <v>1260</v>
      </c>
      <c r="C238">
        <v>605177</v>
      </c>
      <c r="D238" t="s">
        <v>1261</v>
      </c>
      <c r="E238" t="s">
        <v>1262</v>
      </c>
      <c r="F238" t="s">
        <v>31</v>
      </c>
      <c r="G238" t="s">
        <v>1185</v>
      </c>
      <c r="H238" t="s">
        <v>33</v>
      </c>
      <c r="I238" t="s">
        <v>255</v>
      </c>
      <c r="J238" t="s">
        <v>255</v>
      </c>
      <c r="K238" t="s">
        <v>728</v>
      </c>
      <c r="L238">
        <v>24.06</v>
      </c>
      <c r="M238">
        <v>3328.393</v>
      </c>
      <c r="N238" t="s">
        <v>979</v>
      </c>
      <c r="O238">
        <v>22.64</v>
      </c>
      <c r="P238">
        <v>3264.101</v>
      </c>
      <c r="Q238" s="1">
        <f t="shared" si="17"/>
        <v>-0.0590191188694929</v>
      </c>
      <c r="R238" s="1">
        <f t="shared" si="18"/>
        <v>-0.0193162285823819</v>
      </c>
      <c r="S238" t="s">
        <v>1263</v>
      </c>
      <c r="T238">
        <v>24.17</v>
      </c>
      <c r="U238">
        <v>3212.504</v>
      </c>
      <c r="V238" s="1">
        <f t="shared" si="19"/>
        <v>0.0675795053003534</v>
      </c>
      <c r="W238" s="1">
        <f t="shared" si="20"/>
        <v>-0.0158074152729956</v>
      </c>
      <c r="X238" t="s">
        <v>1185</v>
      </c>
      <c r="Y238">
        <v>25.2</v>
      </c>
      <c r="Z238">
        <v>3205.575</v>
      </c>
      <c r="AA238" s="2">
        <f t="shared" si="21"/>
        <v>0.0426148117501033</v>
      </c>
      <c r="AB238" s="2">
        <f t="shared" si="22"/>
        <v>-0.00215688447391819</v>
      </c>
      <c r="AC238" t="s">
        <v>786</v>
      </c>
      <c r="AD238">
        <v>28.32</v>
      </c>
      <c r="AE238">
        <v>3261.69</v>
      </c>
      <c r="AF238" s="2">
        <f t="shared" si="23"/>
        <v>0.123809523809524</v>
      </c>
      <c r="AG238" s="2">
        <f t="shared" si="24"/>
        <v>0.0175054397417001</v>
      </c>
      <c r="AH238" t="s">
        <v>1264</v>
      </c>
      <c r="AI238" t="s">
        <v>41</v>
      </c>
      <c r="AJ238" t="s">
        <v>41</v>
      </c>
    </row>
    <row r="239" spans="1:36">
      <c r="A239">
        <v>118037</v>
      </c>
      <c r="B239" t="s">
        <v>1265</v>
      </c>
      <c r="C239">
        <v>688533</v>
      </c>
      <c r="D239" t="s">
        <v>79</v>
      </c>
      <c r="E239" t="s">
        <v>483</v>
      </c>
      <c r="F239" t="s">
        <v>31</v>
      </c>
      <c r="G239" t="s">
        <v>1185</v>
      </c>
      <c r="H239" t="s">
        <v>33</v>
      </c>
      <c r="I239" t="s">
        <v>255</v>
      </c>
      <c r="J239" t="s">
        <v>255</v>
      </c>
      <c r="K239" t="s">
        <v>1177</v>
      </c>
      <c r="L239">
        <v>56.63</v>
      </c>
      <c r="M239">
        <v>3155.216</v>
      </c>
      <c r="N239" t="s">
        <v>1266</v>
      </c>
      <c r="O239">
        <v>40.34</v>
      </c>
      <c r="P239">
        <v>3385.61</v>
      </c>
      <c r="Q239" s="1">
        <f t="shared" si="17"/>
        <v>-0.287656719053505</v>
      </c>
      <c r="R239" s="1">
        <f t="shared" si="18"/>
        <v>0.0730200404663263</v>
      </c>
      <c r="S239" t="s">
        <v>1081</v>
      </c>
      <c r="T239">
        <v>40.63</v>
      </c>
      <c r="U239">
        <v>3290.987</v>
      </c>
      <c r="V239" s="1">
        <f t="shared" si="19"/>
        <v>0.00718889439762021</v>
      </c>
      <c r="W239" s="1">
        <f t="shared" si="20"/>
        <v>-0.0279485823824953</v>
      </c>
      <c r="X239" t="s">
        <v>1185</v>
      </c>
      <c r="Y239">
        <v>48.82</v>
      </c>
      <c r="Z239">
        <v>3205.575</v>
      </c>
      <c r="AA239" s="2">
        <f t="shared" si="21"/>
        <v>0.201575190745754</v>
      </c>
      <c r="AB239" s="2">
        <f t="shared" si="22"/>
        <v>-0.0259533082324544</v>
      </c>
      <c r="AC239" t="s">
        <v>1267</v>
      </c>
      <c r="AD239">
        <v>45.73</v>
      </c>
      <c r="AE239">
        <v>3290.949</v>
      </c>
      <c r="AF239" s="2">
        <f t="shared" si="23"/>
        <v>-0.0632937320770177</v>
      </c>
      <c r="AG239" s="2">
        <f t="shared" si="24"/>
        <v>0.0266329753632344</v>
      </c>
      <c r="AH239" t="s">
        <v>1264</v>
      </c>
      <c r="AI239" t="s">
        <v>41</v>
      </c>
      <c r="AJ239" t="s">
        <v>41</v>
      </c>
    </row>
    <row r="240" spans="1:36">
      <c r="A240">
        <v>123202</v>
      </c>
      <c r="B240" t="s">
        <v>1268</v>
      </c>
      <c r="C240">
        <v>300980</v>
      </c>
      <c r="D240" t="s">
        <v>1269</v>
      </c>
      <c r="E240" t="s">
        <v>476</v>
      </c>
      <c r="F240" t="s">
        <v>41</v>
      </c>
      <c r="G240" t="s">
        <v>1217</v>
      </c>
      <c r="H240" t="s">
        <v>621</v>
      </c>
      <c r="I240" t="s">
        <v>255</v>
      </c>
      <c r="J240" t="s">
        <v>255</v>
      </c>
      <c r="K240" t="s">
        <v>1184</v>
      </c>
      <c r="L240">
        <v>21.23</v>
      </c>
      <c r="M240">
        <v>2999.504</v>
      </c>
      <c r="N240" t="s">
        <v>945</v>
      </c>
      <c r="O240">
        <v>19.21</v>
      </c>
      <c r="P240">
        <v>3267.16</v>
      </c>
      <c r="Q240" s="1">
        <f t="shared" si="17"/>
        <v>-0.095148374941121</v>
      </c>
      <c r="R240" s="1">
        <f t="shared" si="18"/>
        <v>0.0892334199254277</v>
      </c>
      <c r="S240" t="s">
        <v>952</v>
      </c>
      <c r="T240">
        <v>20.31</v>
      </c>
      <c r="U240">
        <v>3313.571</v>
      </c>
      <c r="V240" s="1">
        <f t="shared" si="19"/>
        <v>0.0572618427902133</v>
      </c>
      <c r="W240" s="1">
        <f t="shared" si="20"/>
        <v>0.0142053036888307</v>
      </c>
      <c r="X240" t="s">
        <v>1217</v>
      </c>
      <c r="Y240">
        <v>18.84</v>
      </c>
      <c r="Z240">
        <v>3243.975</v>
      </c>
      <c r="AA240" s="2">
        <f t="shared" si="21"/>
        <v>-0.0723781388478582</v>
      </c>
      <c r="AB240" s="2">
        <f t="shared" si="22"/>
        <v>-0.021003322397498</v>
      </c>
      <c r="AC240" t="s">
        <v>1104</v>
      </c>
      <c r="AD240">
        <v>19.22</v>
      </c>
      <c r="AE240">
        <v>3223.028</v>
      </c>
      <c r="AF240" s="2">
        <f t="shared" si="23"/>
        <v>0.0201698513800424</v>
      </c>
      <c r="AG240" s="2">
        <f t="shared" si="24"/>
        <v>-0.00645720142726134</v>
      </c>
      <c r="AH240" t="s">
        <v>1270</v>
      </c>
      <c r="AI240" t="s">
        <v>1271</v>
      </c>
      <c r="AJ240" t="s">
        <v>625</v>
      </c>
    </row>
    <row r="241" spans="1:36">
      <c r="A241">
        <v>123203</v>
      </c>
      <c r="B241" t="s">
        <v>1272</v>
      </c>
      <c r="C241">
        <v>300739</v>
      </c>
      <c r="D241" t="s">
        <v>1273</v>
      </c>
      <c r="E241" t="s">
        <v>1274</v>
      </c>
      <c r="F241" t="s">
        <v>56</v>
      </c>
      <c r="G241" t="s">
        <v>1217</v>
      </c>
      <c r="H241" t="s">
        <v>33</v>
      </c>
      <c r="I241" t="s">
        <v>255</v>
      </c>
      <c r="J241" t="s">
        <v>255</v>
      </c>
      <c r="K241" t="s">
        <v>1209</v>
      </c>
      <c r="L241">
        <v>13.13</v>
      </c>
      <c r="M241">
        <v>3224.406</v>
      </c>
      <c r="N241" t="s">
        <v>1080</v>
      </c>
      <c r="O241">
        <v>15.79</v>
      </c>
      <c r="P241">
        <v>3327.646</v>
      </c>
      <c r="Q241" s="1">
        <f t="shared" si="17"/>
        <v>0.202589489718202</v>
      </c>
      <c r="R241" s="1">
        <f t="shared" si="18"/>
        <v>0.0320183004249466</v>
      </c>
      <c r="S241" t="s">
        <v>552</v>
      </c>
      <c r="T241">
        <v>13.58</v>
      </c>
      <c r="U241">
        <v>3201.261</v>
      </c>
      <c r="V241" s="1">
        <f t="shared" si="19"/>
        <v>-0.139962001266624</v>
      </c>
      <c r="W241" s="1">
        <f t="shared" si="20"/>
        <v>-0.0379803019912575</v>
      </c>
      <c r="X241" t="s">
        <v>1217</v>
      </c>
      <c r="Y241">
        <v>14.33</v>
      </c>
      <c r="Z241">
        <v>3243.975</v>
      </c>
      <c r="AA241" s="2">
        <f t="shared" si="21"/>
        <v>0.0552282768777614</v>
      </c>
      <c r="AB241" s="2">
        <f t="shared" si="22"/>
        <v>0.0133428670764427</v>
      </c>
      <c r="AC241" t="s">
        <v>586</v>
      </c>
      <c r="AD241">
        <v>14.87</v>
      </c>
      <c r="AE241">
        <v>3198.836</v>
      </c>
      <c r="AF241" s="2">
        <f t="shared" si="23"/>
        <v>0.0376831821353803</v>
      </c>
      <c r="AG241" s="2">
        <f t="shared" si="24"/>
        <v>-0.0139147188248985</v>
      </c>
      <c r="AH241" t="s">
        <v>1270</v>
      </c>
      <c r="AI241" t="s">
        <v>121</v>
      </c>
      <c r="AJ241" t="s">
        <v>625</v>
      </c>
    </row>
    <row r="242" spans="1:36">
      <c r="A242">
        <v>127088</v>
      </c>
      <c r="B242" t="s">
        <v>1275</v>
      </c>
      <c r="C242">
        <v>2810</v>
      </c>
      <c r="D242" t="s">
        <v>1276</v>
      </c>
      <c r="E242" t="s">
        <v>1114</v>
      </c>
      <c r="F242" t="s">
        <v>56</v>
      </c>
      <c r="G242" t="s">
        <v>1217</v>
      </c>
      <c r="H242" t="s">
        <v>33</v>
      </c>
      <c r="I242" t="s">
        <v>255</v>
      </c>
      <c r="J242" t="s">
        <v>255</v>
      </c>
      <c r="K242" t="s">
        <v>880</v>
      </c>
      <c r="L242">
        <v>25.35</v>
      </c>
      <c r="M242">
        <v>3312.348</v>
      </c>
      <c r="N242" t="s">
        <v>900</v>
      </c>
      <c r="O242">
        <v>19.32</v>
      </c>
      <c r="P242">
        <v>3301.258</v>
      </c>
      <c r="Q242" s="1">
        <f t="shared" si="17"/>
        <v>-0.237869822485207</v>
      </c>
      <c r="R242" s="1">
        <f t="shared" si="18"/>
        <v>-0.00334807816086961</v>
      </c>
      <c r="S242" t="s">
        <v>771</v>
      </c>
      <c r="T242">
        <v>16.53</v>
      </c>
      <c r="U242">
        <v>3213.586</v>
      </c>
      <c r="V242" s="1">
        <f t="shared" si="19"/>
        <v>-0.144409937888199</v>
      </c>
      <c r="W242" s="1">
        <f t="shared" si="20"/>
        <v>-0.0265571488202376</v>
      </c>
      <c r="X242" t="s">
        <v>1217</v>
      </c>
      <c r="Y242">
        <v>17.58</v>
      </c>
      <c r="Z242">
        <v>3243.975</v>
      </c>
      <c r="AA242" s="2">
        <f t="shared" si="21"/>
        <v>0.0635208711433755</v>
      </c>
      <c r="AB242" s="2">
        <f t="shared" si="22"/>
        <v>0.00945641411183647</v>
      </c>
      <c r="AC242" t="s">
        <v>586</v>
      </c>
      <c r="AD242">
        <v>18.22</v>
      </c>
      <c r="AE242">
        <v>3198.836</v>
      </c>
      <c r="AF242" s="2">
        <f t="shared" si="23"/>
        <v>0.0364050056882822</v>
      </c>
      <c r="AG242" s="2">
        <f t="shared" si="24"/>
        <v>-0.0139147188248985</v>
      </c>
      <c r="AH242" t="s">
        <v>1270</v>
      </c>
      <c r="AI242" t="s">
        <v>41</v>
      </c>
      <c r="AJ242" t="s">
        <v>41</v>
      </c>
    </row>
    <row r="243" spans="1:36">
      <c r="A243">
        <v>118036</v>
      </c>
      <c r="B243" t="s">
        <v>1277</v>
      </c>
      <c r="C243">
        <v>688589</v>
      </c>
      <c r="D243" t="s">
        <v>1278</v>
      </c>
      <c r="E243" t="s">
        <v>212</v>
      </c>
      <c r="F243" t="s">
        <v>56</v>
      </c>
      <c r="G243" t="s">
        <v>630</v>
      </c>
      <c r="H243" t="s">
        <v>33</v>
      </c>
      <c r="I243" t="s">
        <v>255</v>
      </c>
      <c r="J243" t="s">
        <v>255</v>
      </c>
      <c r="K243" t="s">
        <v>1279</v>
      </c>
      <c r="L243">
        <v>19.91</v>
      </c>
      <c r="M243">
        <v>3024.391</v>
      </c>
      <c r="N243" t="s">
        <v>77</v>
      </c>
      <c r="O243">
        <v>29.12</v>
      </c>
      <c r="P243">
        <v>3265.654</v>
      </c>
      <c r="Q243" s="1">
        <f t="shared" si="17"/>
        <v>0.46258161727775</v>
      </c>
      <c r="R243" s="1">
        <f t="shared" si="18"/>
        <v>0.0797724236052812</v>
      </c>
      <c r="S243" t="s">
        <v>1280</v>
      </c>
      <c r="T243">
        <v>27.3</v>
      </c>
      <c r="U243">
        <v>3272.362</v>
      </c>
      <c r="V243" s="1">
        <f t="shared" si="19"/>
        <v>-0.0625</v>
      </c>
      <c r="W243" s="1">
        <f t="shared" si="20"/>
        <v>0.00205410616066493</v>
      </c>
      <c r="X243" t="s">
        <v>630</v>
      </c>
      <c r="Y243">
        <v>27.2</v>
      </c>
      <c r="Z243">
        <v>3189.376</v>
      </c>
      <c r="AA243" s="2">
        <f t="shared" si="21"/>
        <v>-0.00366300366300372</v>
      </c>
      <c r="AB243" s="2">
        <f t="shared" si="22"/>
        <v>-0.0253596637535822</v>
      </c>
      <c r="AC243" t="s">
        <v>1122</v>
      </c>
      <c r="AD243">
        <v>29.78</v>
      </c>
      <c r="AE243">
        <v>3169.522</v>
      </c>
      <c r="AF243" s="2">
        <f t="shared" si="23"/>
        <v>0.0948529411764707</v>
      </c>
      <c r="AG243" s="2">
        <f t="shared" si="24"/>
        <v>-0.00622504213990457</v>
      </c>
      <c r="AH243" t="s">
        <v>1281</v>
      </c>
      <c r="AI243" t="s">
        <v>41</v>
      </c>
      <c r="AJ243" t="s">
        <v>41</v>
      </c>
    </row>
    <row r="244" spans="1:36">
      <c r="A244">
        <v>123200</v>
      </c>
      <c r="B244" t="s">
        <v>1282</v>
      </c>
      <c r="C244">
        <v>301022</v>
      </c>
      <c r="D244" t="s">
        <v>1283</v>
      </c>
      <c r="E244" t="s">
        <v>1284</v>
      </c>
      <c r="F244" t="s">
        <v>41</v>
      </c>
      <c r="G244" t="s">
        <v>1011</v>
      </c>
      <c r="H244" t="s">
        <v>621</v>
      </c>
      <c r="I244" t="s">
        <v>255</v>
      </c>
      <c r="J244" t="s">
        <v>255</v>
      </c>
      <c r="K244" t="s">
        <v>1177</v>
      </c>
      <c r="L244">
        <v>20.9</v>
      </c>
      <c r="M244">
        <v>3155.216</v>
      </c>
      <c r="N244" t="s">
        <v>1080</v>
      </c>
      <c r="O244">
        <v>21.89</v>
      </c>
      <c r="P244">
        <v>3327.646</v>
      </c>
      <c r="Q244" s="1">
        <f t="shared" si="17"/>
        <v>0.0473684210526317</v>
      </c>
      <c r="R244" s="1">
        <f t="shared" si="18"/>
        <v>0.054649190419927</v>
      </c>
      <c r="S244" t="s">
        <v>1081</v>
      </c>
      <c r="T244">
        <v>21.81</v>
      </c>
      <c r="U244">
        <v>3290.987</v>
      </c>
      <c r="V244" s="1">
        <f t="shared" si="19"/>
        <v>-0.00365463682046605</v>
      </c>
      <c r="W244" s="1">
        <f t="shared" si="20"/>
        <v>-0.0110164963460657</v>
      </c>
      <c r="X244" t="s">
        <v>1011</v>
      </c>
      <c r="Y244">
        <v>24.36</v>
      </c>
      <c r="Z244">
        <v>3189.443</v>
      </c>
      <c r="AA244" s="2">
        <f t="shared" si="21"/>
        <v>0.116918844566713</v>
      </c>
      <c r="AB244" s="2">
        <f t="shared" si="22"/>
        <v>-0.0308551811356289</v>
      </c>
      <c r="AC244" t="s">
        <v>1241</v>
      </c>
      <c r="AD244">
        <v>27.5</v>
      </c>
      <c r="AE244">
        <v>3209.63</v>
      </c>
      <c r="AF244" s="2">
        <f t="shared" si="23"/>
        <v>0.128899835796388</v>
      </c>
      <c r="AG244" s="2">
        <f t="shared" si="24"/>
        <v>0.00632931831670919</v>
      </c>
      <c r="AH244" t="s">
        <v>1285</v>
      </c>
      <c r="AI244" t="s">
        <v>744</v>
      </c>
      <c r="AJ244" t="s">
        <v>625</v>
      </c>
    </row>
    <row r="245" spans="1:36">
      <c r="A245">
        <v>123201</v>
      </c>
      <c r="B245" t="s">
        <v>1286</v>
      </c>
      <c r="C245">
        <v>301229</v>
      </c>
      <c r="D245" t="s">
        <v>1287</v>
      </c>
      <c r="E245" t="s">
        <v>974</v>
      </c>
      <c r="F245" t="s">
        <v>41</v>
      </c>
      <c r="G245" t="s">
        <v>1011</v>
      </c>
      <c r="H245" t="s">
        <v>621</v>
      </c>
      <c r="I245" t="s">
        <v>255</v>
      </c>
      <c r="J245" t="s">
        <v>255</v>
      </c>
      <c r="K245" t="s">
        <v>1086</v>
      </c>
      <c r="L245">
        <v>15.56</v>
      </c>
      <c r="M245">
        <v>3255.669</v>
      </c>
      <c r="N245" t="s">
        <v>798</v>
      </c>
      <c r="O245">
        <v>13.12</v>
      </c>
      <c r="P245">
        <v>3285.884</v>
      </c>
      <c r="Q245" s="1">
        <f t="shared" si="17"/>
        <v>-0.15681233933162</v>
      </c>
      <c r="R245" s="1">
        <f t="shared" si="18"/>
        <v>0.00928073462013495</v>
      </c>
      <c r="S245" t="s">
        <v>1178</v>
      </c>
      <c r="T245">
        <v>14.28</v>
      </c>
      <c r="U245">
        <v>3230.069</v>
      </c>
      <c r="V245" s="1">
        <f t="shared" si="19"/>
        <v>0.0884146341463415</v>
      </c>
      <c r="W245" s="1">
        <f t="shared" si="20"/>
        <v>-0.0169862965339008</v>
      </c>
      <c r="X245" t="s">
        <v>1011</v>
      </c>
      <c r="Y245">
        <v>14.38</v>
      </c>
      <c r="Z245">
        <v>3189.443</v>
      </c>
      <c r="AA245" s="2">
        <f t="shared" si="21"/>
        <v>0.00700280112044828</v>
      </c>
      <c r="AB245" s="2">
        <f t="shared" si="22"/>
        <v>-0.012577440296167</v>
      </c>
      <c r="AC245" t="s">
        <v>1227</v>
      </c>
      <c r="AD245">
        <v>17.96</v>
      </c>
      <c r="AE245">
        <v>3197.82</v>
      </c>
      <c r="AF245" s="2">
        <f t="shared" si="23"/>
        <v>0.248956884561891</v>
      </c>
      <c r="AG245" s="2">
        <f t="shared" si="24"/>
        <v>0.00262647741314077</v>
      </c>
      <c r="AH245" t="s">
        <v>1285</v>
      </c>
      <c r="AI245" t="s">
        <v>120</v>
      </c>
      <c r="AJ245" t="s">
        <v>625</v>
      </c>
    </row>
    <row r="246" spans="1:36">
      <c r="A246">
        <v>111014</v>
      </c>
      <c r="B246" t="s">
        <v>1288</v>
      </c>
      <c r="C246">
        <v>605337</v>
      </c>
      <c r="D246" t="s">
        <v>1289</v>
      </c>
      <c r="E246" t="s">
        <v>1114</v>
      </c>
      <c r="F246" t="s">
        <v>397</v>
      </c>
      <c r="G246" t="s">
        <v>649</v>
      </c>
      <c r="H246" t="s">
        <v>33</v>
      </c>
      <c r="I246" t="s">
        <v>255</v>
      </c>
      <c r="J246" t="s">
        <v>255</v>
      </c>
      <c r="K246" t="s">
        <v>880</v>
      </c>
      <c r="L246">
        <v>19.56</v>
      </c>
      <c r="M246">
        <v>3312.348</v>
      </c>
      <c r="N246" t="s">
        <v>818</v>
      </c>
      <c r="O246">
        <v>16.46</v>
      </c>
      <c r="P246">
        <v>3367.031</v>
      </c>
      <c r="Q246" s="1">
        <f t="shared" si="17"/>
        <v>-0.158486707566462</v>
      </c>
      <c r="R246" s="1">
        <f t="shared" si="18"/>
        <v>0.016508833009092</v>
      </c>
      <c r="S246" t="s">
        <v>1263</v>
      </c>
      <c r="T246">
        <v>17.47</v>
      </c>
      <c r="U246">
        <v>3212.504</v>
      </c>
      <c r="V246" s="1">
        <f t="shared" si="19"/>
        <v>0.0613608748481165</v>
      </c>
      <c r="W246" s="1">
        <f t="shared" si="20"/>
        <v>-0.0458941423467738</v>
      </c>
      <c r="X246" t="s">
        <v>649</v>
      </c>
      <c r="Y246">
        <v>17.18</v>
      </c>
      <c r="Z246">
        <v>3240.365</v>
      </c>
      <c r="AA246" s="2">
        <f t="shared" si="21"/>
        <v>-0.0165998855180309</v>
      </c>
      <c r="AB246" s="2">
        <f t="shared" si="22"/>
        <v>0.00867267402624242</v>
      </c>
      <c r="AC246" t="s">
        <v>663</v>
      </c>
      <c r="AD246">
        <v>17.15</v>
      </c>
      <c r="AE246">
        <v>3236.48</v>
      </c>
      <c r="AF246" s="2">
        <f t="shared" si="23"/>
        <v>-0.00174621653084989</v>
      </c>
      <c r="AG246" s="2">
        <f t="shared" si="24"/>
        <v>-0.0011989390084141</v>
      </c>
      <c r="AH246" t="s">
        <v>1290</v>
      </c>
      <c r="AI246" t="s">
        <v>41</v>
      </c>
      <c r="AJ246" t="s">
        <v>41</v>
      </c>
    </row>
    <row r="247" hidden="1" spans="1:36">
      <c r="A247">
        <v>127087</v>
      </c>
      <c r="B247" t="s">
        <v>1291</v>
      </c>
      <c r="C247">
        <v>2860</v>
      </c>
      <c r="D247" t="s">
        <v>1292</v>
      </c>
      <c r="E247" t="s">
        <v>1293</v>
      </c>
      <c r="F247" t="s">
        <v>41</v>
      </c>
      <c r="G247" t="s">
        <v>1294</v>
      </c>
      <c r="H247" t="s">
        <v>621</v>
      </c>
      <c r="I247" t="s">
        <v>255</v>
      </c>
      <c r="J247" t="s">
        <v>255</v>
      </c>
      <c r="K247" t="s">
        <v>255</v>
      </c>
      <c r="L247" t="s">
        <v>41</v>
      </c>
      <c r="M247" t="s">
        <v>41</v>
      </c>
      <c r="N247" t="s">
        <v>255</v>
      </c>
      <c r="O247" t="s">
        <v>41</v>
      </c>
      <c r="P247" t="s">
        <v>41</v>
      </c>
      <c r="Q247" s="2"/>
      <c r="R247" s="2"/>
      <c r="S247" t="s">
        <v>255</v>
      </c>
      <c r="T247" t="s">
        <v>41</v>
      </c>
      <c r="U247" t="s">
        <v>41</v>
      </c>
      <c r="V247" s="2"/>
      <c r="W247" s="2"/>
      <c r="X247" t="s">
        <v>1294</v>
      </c>
      <c r="Y247">
        <v>12.45</v>
      </c>
      <c r="Z247">
        <v>3228.989</v>
      </c>
      <c r="AA247" s="2"/>
      <c r="AB247" s="2"/>
      <c r="AC247" t="s">
        <v>1241</v>
      </c>
      <c r="AD247">
        <v>13.43</v>
      </c>
      <c r="AE247">
        <v>3209.63</v>
      </c>
      <c r="AF247" s="2">
        <f t="shared" si="23"/>
        <v>0.078714859437751</v>
      </c>
      <c r="AG247" s="2">
        <f t="shared" si="24"/>
        <v>-0.00599537502295608</v>
      </c>
      <c r="AH247" t="s">
        <v>1295</v>
      </c>
      <c r="AI247" t="s">
        <v>562</v>
      </c>
      <c r="AJ247" t="s">
        <v>625</v>
      </c>
    </row>
    <row r="248" spans="1:36">
      <c r="A248">
        <v>118035</v>
      </c>
      <c r="B248" t="s">
        <v>1296</v>
      </c>
      <c r="C248">
        <v>688103</v>
      </c>
      <c r="D248" t="s">
        <v>1297</v>
      </c>
      <c r="E248" t="s">
        <v>1298</v>
      </c>
      <c r="F248" t="s">
        <v>31</v>
      </c>
      <c r="G248" t="s">
        <v>1110</v>
      </c>
      <c r="H248" t="s">
        <v>33</v>
      </c>
      <c r="I248" t="s">
        <v>255</v>
      </c>
      <c r="J248" t="s">
        <v>255</v>
      </c>
      <c r="K248" t="s">
        <v>1299</v>
      </c>
      <c r="L248">
        <v>68.17</v>
      </c>
      <c r="M248">
        <v>3168.648</v>
      </c>
      <c r="N248" t="s">
        <v>1300</v>
      </c>
      <c r="O248">
        <v>60.68</v>
      </c>
      <c r="P248">
        <v>3255.651</v>
      </c>
      <c r="Q248" s="1">
        <f t="shared" si="17"/>
        <v>-0.109872377878832</v>
      </c>
      <c r="R248" s="1">
        <f t="shared" si="18"/>
        <v>0.0274574518848416</v>
      </c>
      <c r="S248" t="s">
        <v>1168</v>
      </c>
      <c r="T248">
        <v>53.96</v>
      </c>
      <c r="U248">
        <v>3309.551</v>
      </c>
      <c r="V248" s="1">
        <f t="shared" si="19"/>
        <v>-0.110744891232696</v>
      </c>
      <c r="W248" s="1">
        <f t="shared" si="20"/>
        <v>0.0165558286192224</v>
      </c>
      <c r="X248" t="s">
        <v>1110</v>
      </c>
      <c r="Y248">
        <v>62.79</v>
      </c>
      <c r="Z248">
        <v>3228.834</v>
      </c>
      <c r="AA248" s="2">
        <f t="shared" si="21"/>
        <v>0.163639733135656</v>
      </c>
      <c r="AB248" s="2">
        <f t="shared" si="22"/>
        <v>-0.0243891089758097</v>
      </c>
      <c r="AC248" t="s">
        <v>1185</v>
      </c>
      <c r="AD248">
        <v>56.66</v>
      </c>
      <c r="AE248">
        <v>3205.575</v>
      </c>
      <c r="AF248" s="2">
        <f t="shared" si="23"/>
        <v>-0.097627010670489</v>
      </c>
      <c r="AG248" s="2">
        <f t="shared" si="24"/>
        <v>-0.00720352919970491</v>
      </c>
      <c r="AH248" t="s">
        <v>1301</v>
      </c>
      <c r="AI248" t="s">
        <v>41</v>
      </c>
      <c r="AJ248" t="s">
        <v>41</v>
      </c>
    </row>
    <row r="249" spans="1:36">
      <c r="A249">
        <v>127086</v>
      </c>
      <c r="B249" t="s">
        <v>1302</v>
      </c>
      <c r="C249">
        <v>2237</v>
      </c>
      <c r="D249" t="s">
        <v>1303</v>
      </c>
      <c r="E249" t="s">
        <v>1304</v>
      </c>
      <c r="F249" t="s">
        <v>41</v>
      </c>
      <c r="G249" t="s">
        <v>1110</v>
      </c>
      <c r="H249" t="s">
        <v>621</v>
      </c>
      <c r="I249" t="s">
        <v>255</v>
      </c>
      <c r="J249" t="s">
        <v>255</v>
      </c>
      <c r="K249" t="s">
        <v>880</v>
      </c>
      <c r="L249">
        <v>11.09</v>
      </c>
      <c r="M249">
        <v>3312.348</v>
      </c>
      <c r="N249" t="s">
        <v>1305</v>
      </c>
      <c r="O249">
        <v>13.04</v>
      </c>
      <c r="P249">
        <v>3338.153</v>
      </c>
      <c r="Q249" s="1">
        <f t="shared" si="17"/>
        <v>0.175834084761046</v>
      </c>
      <c r="R249" s="1">
        <f t="shared" si="18"/>
        <v>0.00779054616242008</v>
      </c>
      <c r="S249" t="s">
        <v>552</v>
      </c>
      <c r="T249">
        <v>10.84</v>
      </c>
      <c r="U249">
        <v>3201.261</v>
      </c>
      <c r="V249" s="1">
        <f t="shared" si="19"/>
        <v>-0.168711656441718</v>
      </c>
      <c r="W249" s="1">
        <f t="shared" si="20"/>
        <v>-0.0410083060902241</v>
      </c>
      <c r="X249" t="s">
        <v>1110</v>
      </c>
      <c r="Y249">
        <v>10.64</v>
      </c>
      <c r="Z249">
        <v>3228.834</v>
      </c>
      <c r="AA249" s="2">
        <f t="shared" si="21"/>
        <v>-0.018450184501845</v>
      </c>
      <c r="AB249" s="2">
        <f t="shared" si="22"/>
        <v>0.00861316837333784</v>
      </c>
      <c r="AC249" t="s">
        <v>681</v>
      </c>
      <c r="AD249">
        <v>10.74</v>
      </c>
      <c r="AE249">
        <v>3196.609</v>
      </c>
      <c r="AF249" s="2">
        <f t="shared" si="23"/>
        <v>0.00939849624060147</v>
      </c>
      <c r="AG249" s="2">
        <f t="shared" si="24"/>
        <v>-0.00998038301132852</v>
      </c>
      <c r="AH249" t="s">
        <v>1301</v>
      </c>
      <c r="AI249" t="s">
        <v>84</v>
      </c>
      <c r="AJ249" t="s">
        <v>625</v>
      </c>
    </row>
    <row r="250" spans="1:36">
      <c r="A250">
        <v>123199</v>
      </c>
      <c r="B250" t="s">
        <v>1306</v>
      </c>
      <c r="C250">
        <v>300452</v>
      </c>
      <c r="D250" t="s">
        <v>1307</v>
      </c>
      <c r="E250" t="s">
        <v>1308</v>
      </c>
      <c r="F250" t="s">
        <v>31</v>
      </c>
      <c r="G250" t="s">
        <v>1110</v>
      </c>
      <c r="H250" t="s">
        <v>33</v>
      </c>
      <c r="I250" t="s">
        <v>255</v>
      </c>
      <c r="J250" t="s">
        <v>255</v>
      </c>
      <c r="K250" t="s">
        <v>1052</v>
      </c>
      <c r="L250">
        <v>12.08</v>
      </c>
      <c r="M250">
        <v>3108.91</v>
      </c>
      <c r="N250" t="s">
        <v>1309</v>
      </c>
      <c r="O250">
        <v>14.96</v>
      </c>
      <c r="P250">
        <v>3054.431</v>
      </c>
      <c r="Q250" s="1">
        <f t="shared" si="17"/>
        <v>0.23841059602649</v>
      </c>
      <c r="R250" s="1">
        <f t="shared" si="18"/>
        <v>-0.0175235050226606</v>
      </c>
      <c r="S250" t="s">
        <v>875</v>
      </c>
      <c r="T250">
        <v>16.93</v>
      </c>
      <c r="U250">
        <v>3284.16</v>
      </c>
      <c r="V250" s="1">
        <f t="shared" si="19"/>
        <v>0.13168449197861</v>
      </c>
      <c r="W250" s="1">
        <f t="shared" si="20"/>
        <v>0.0752117170104677</v>
      </c>
      <c r="X250" t="s">
        <v>1110</v>
      </c>
      <c r="Y250">
        <v>17.36</v>
      </c>
      <c r="Z250">
        <v>3228.834</v>
      </c>
      <c r="AA250" s="2">
        <f t="shared" si="21"/>
        <v>0.0253987005316007</v>
      </c>
      <c r="AB250" s="2">
        <f t="shared" si="22"/>
        <v>-0.0168463168664133</v>
      </c>
      <c r="AC250" t="s">
        <v>681</v>
      </c>
      <c r="AD250">
        <v>15.3</v>
      </c>
      <c r="AE250">
        <v>3196.609</v>
      </c>
      <c r="AF250" s="2">
        <f t="shared" si="23"/>
        <v>-0.118663594470046</v>
      </c>
      <c r="AG250" s="2">
        <f t="shared" si="24"/>
        <v>-0.00998038301132852</v>
      </c>
      <c r="AH250" t="s">
        <v>1301</v>
      </c>
      <c r="AI250" t="s">
        <v>41</v>
      </c>
      <c r="AJ250" t="s">
        <v>41</v>
      </c>
    </row>
    <row r="251" spans="1:36">
      <c r="A251">
        <v>123198</v>
      </c>
      <c r="B251" t="s">
        <v>1310</v>
      </c>
      <c r="C251">
        <v>301098</v>
      </c>
      <c r="D251" t="s">
        <v>1311</v>
      </c>
      <c r="E251" t="s">
        <v>483</v>
      </c>
      <c r="F251" t="s">
        <v>708</v>
      </c>
      <c r="G251" t="s">
        <v>771</v>
      </c>
      <c r="H251" t="s">
        <v>33</v>
      </c>
      <c r="I251" t="s">
        <v>255</v>
      </c>
      <c r="J251" t="s">
        <v>255</v>
      </c>
      <c r="K251" t="s">
        <v>1312</v>
      </c>
      <c r="L251">
        <v>11.74</v>
      </c>
      <c r="M251">
        <v>2976.283</v>
      </c>
      <c r="N251" t="s">
        <v>880</v>
      </c>
      <c r="O251">
        <v>11.55</v>
      </c>
      <c r="P251">
        <v>3312.348</v>
      </c>
      <c r="Q251" s="1">
        <f t="shared" si="17"/>
        <v>-0.0161839863713799</v>
      </c>
      <c r="R251" s="1">
        <f t="shared" si="18"/>
        <v>0.112914329719318</v>
      </c>
      <c r="S251" t="s">
        <v>952</v>
      </c>
      <c r="T251">
        <v>11.04</v>
      </c>
      <c r="U251">
        <v>3313.571</v>
      </c>
      <c r="V251" s="1">
        <f t="shared" si="19"/>
        <v>-0.0441558441558443</v>
      </c>
      <c r="W251" s="1">
        <f t="shared" si="20"/>
        <v>0.000369224489697325</v>
      </c>
      <c r="X251" t="s">
        <v>771</v>
      </c>
      <c r="Y251">
        <v>11.93</v>
      </c>
      <c r="Z251">
        <v>3213.586</v>
      </c>
      <c r="AA251" s="2">
        <f t="shared" si="21"/>
        <v>0.0806159420289856</v>
      </c>
      <c r="AB251" s="2">
        <f t="shared" si="22"/>
        <v>-0.0301743949352527</v>
      </c>
      <c r="AC251" t="s">
        <v>681</v>
      </c>
      <c r="AD251">
        <v>11.9</v>
      </c>
      <c r="AE251">
        <v>3196.609</v>
      </c>
      <c r="AF251" s="2">
        <f t="shared" si="23"/>
        <v>-0.00251466890192786</v>
      </c>
      <c r="AG251" s="2">
        <f t="shared" si="24"/>
        <v>-0.0052828833583417</v>
      </c>
      <c r="AH251" t="s">
        <v>1313</v>
      </c>
      <c r="AI251" t="s">
        <v>41</v>
      </c>
      <c r="AJ251" t="s">
        <v>41</v>
      </c>
    </row>
    <row r="252" spans="1:36">
      <c r="A252">
        <v>123197</v>
      </c>
      <c r="B252" t="s">
        <v>1314</v>
      </c>
      <c r="C252">
        <v>300480</v>
      </c>
      <c r="D252" t="s">
        <v>1315</v>
      </c>
      <c r="E252" t="s">
        <v>140</v>
      </c>
      <c r="F252" t="s">
        <v>31</v>
      </c>
      <c r="G252" t="s">
        <v>1036</v>
      </c>
      <c r="H252" t="s">
        <v>33</v>
      </c>
      <c r="I252" t="s">
        <v>255</v>
      </c>
      <c r="J252" t="s">
        <v>255</v>
      </c>
      <c r="K252" t="s">
        <v>1316</v>
      </c>
      <c r="L252">
        <v>13.97</v>
      </c>
      <c r="M252">
        <v>2928.512</v>
      </c>
      <c r="N252" t="s">
        <v>1317</v>
      </c>
      <c r="O252">
        <v>16.55</v>
      </c>
      <c r="P252">
        <v>3186.478</v>
      </c>
      <c r="Q252" s="1">
        <f t="shared" si="17"/>
        <v>0.184681460272011</v>
      </c>
      <c r="R252" s="1">
        <f t="shared" si="18"/>
        <v>0.0880877387560645</v>
      </c>
      <c r="S252" t="s">
        <v>1318</v>
      </c>
      <c r="T252">
        <v>15.35</v>
      </c>
      <c r="U252">
        <v>3083.401</v>
      </c>
      <c r="V252" s="1">
        <f t="shared" si="19"/>
        <v>-0.0725075528700907</v>
      </c>
      <c r="W252" s="1">
        <f t="shared" si="20"/>
        <v>-0.0323482540911942</v>
      </c>
      <c r="X252" t="s">
        <v>1036</v>
      </c>
      <c r="Y252">
        <v>20.91</v>
      </c>
      <c r="Z252">
        <v>3395.004</v>
      </c>
      <c r="AA252" s="2">
        <f t="shared" si="21"/>
        <v>0.362214983713355</v>
      </c>
      <c r="AB252" s="2">
        <f t="shared" si="22"/>
        <v>0.101058214614317</v>
      </c>
      <c r="AC252" t="s">
        <v>1223</v>
      </c>
      <c r="AD252">
        <v>22.29</v>
      </c>
      <c r="AE252">
        <v>3221.448</v>
      </c>
      <c r="AF252" s="2">
        <f t="shared" si="23"/>
        <v>0.0659971305595408</v>
      </c>
      <c r="AG252" s="2">
        <f t="shared" si="24"/>
        <v>-0.0511210001519881</v>
      </c>
      <c r="AH252" t="s">
        <v>1319</v>
      </c>
      <c r="AI252" t="s">
        <v>41</v>
      </c>
      <c r="AJ252" t="s">
        <v>41</v>
      </c>
    </row>
    <row r="253" spans="1:36">
      <c r="A253">
        <v>118034</v>
      </c>
      <c r="B253" t="s">
        <v>1320</v>
      </c>
      <c r="C253">
        <v>688223</v>
      </c>
      <c r="D253" t="s">
        <v>1321</v>
      </c>
      <c r="E253" t="s">
        <v>1322</v>
      </c>
      <c r="F253" t="s">
        <v>98</v>
      </c>
      <c r="G253" t="s">
        <v>818</v>
      </c>
      <c r="H253" t="s">
        <v>33</v>
      </c>
      <c r="I253" t="s">
        <v>255</v>
      </c>
      <c r="J253" t="s">
        <v>255</v>
      </c>
      <c r="K253" t="s">
        <v>1189</v>
      </c>
      <c r="L253">
        <v>16.86</v>
      </c>
      <c r="M253">
        <v>2915.926</v>
      </c>
      <c r="N253" t="s">
        <v>875</v>
      </c>
      <c r="O253">
        <v>14.19</v>
      </c>
      <c r="P253">
        <v>3284.16</v>
      </c>
      <c r="Q253" s="1">
        <f t="shared" si="17"/>
        <v>-0.158362989323843</v>
      </c>
      <c r="R253" s="1">
        <f t="shared" si="18"/>
        <v>0.126283725993046</v>
      </c>
      <c r="S253" t="s">
        <v>1017</v>
      </c>
      <c r="T253">
        <v>13.56</v>
      </c>
      <c r="U253">
        <v>3245.376</v>
      </c>
      <c r="V253" s="1">
        <f t="shared" si="19"/>
        <v>-0.0443974630021141</v>
      </c>
      <c r="W253" s="1">
        <f t="shared" si="20"/>
        <v>-0.0118094124524992</v>
      </c>
      <c r="X253" t="s">
        <v>818</v>
      </c>
      <c r="Y253">
        <v>12.32</v>
      </c>
      <c r="Z253">
        <v>3367.031</v>
      </c>
      <c r="AA253" s="2">
        <f t="shared" si="21"/>
        <v>-0.0914454277286136</v>
      </c>
      <c r="AB253" s="2">
        <f t="shared" si="22"/>
        <v>0.0374856411090733</v>
      </c>
      <c r="AC253" t="s">
        <v>1042</v>
      </c>
      <c r="AD253">
        <v>12</v>
      </c>
      <c r="AE253">
        <v>3283.542</v>
      </c>
      <c r="AF253" s="2">
        <f t="shared" si="23"/>
        <v>-0.025974025974026</v>
      </c>
      <c r="AG253" s="2">
        <f t="shared" si="24"/>
        <v>-0.0247960294989859</v>
      </c>
      <c r="AH253" t="s">
        <v>1323</v>
      </c>
      <c r="AI253" t="s">
        <v>41</v>
      </c>
      <c r="AJ253" t="s">
        <v>41</v>
      </c>
    </row>
    <row r="254" spans="1:36">
      <c r="A254">
        <v>123196</v>
      </c>
      <c r="B254" t="s">
        <v>1324</v>
      </c>
      <c r="C254">
        <v>300645</v>
      </c>
      <c r="D254" t="s">
        <v>1325</v>
      </c>
      <c r="E254" t="s">
        <v>1326</v>
      </c>
      <c r="F254" t="s">
        <v>31</v>
      </c>
      <c r="G254" t="s">
        <v>1327</v>
      </c>
      <c r="H254" t="s">
        <v>33</v>
      </c>
      <c r="I254" t="s">
        <v>255</v>
      </c>
      <c r="J254" t="s">
        <v>255</v>
      </c>
      <c r="K254" t="s">
        <v>1328</v>
      </c>
      <c r="L254">
        <v>21.69</v>
      </c>
      <c r="M254">
        <v>3364.398</v>
      </c>
      <c r="N254" t="s">
        <v>1329</v>
      </c>
      <c r="O254">
        <v>28.04</v>
      </c>
      <c r="P254">
        <v>3119.98</v>
      </c>
      <c r="Q254" s="1">
        <f t="shared" si="17"/>
        <v>0.292761641309359</v>
      </c>
      <c r="R254" s="1">
        <f t="shared" si="18"/>
        <v>-0.0726483608657478</v>
      </c>
      <c r="S254" t="s">
        <v>1330</v>
      </c>
      <c r="T254">
        <v>28.81</v>
      </c>
      <c r="U254">
        <v>3250.546</v>
      </c>
      <c r="V254" s="1">
        <f t="shared" si="19"/>
        <v>0.0274607703281027</v>
      </c>
      <c r="W254" s="1">
        <f t="shared" si="20"/>
        <v>0.0418483451816998</v>
      </c>
      <c r="X254" t="s">
        <v>1327</v>
      </c>
      <c r="Y254">
        <v>29.77</v>
      </c>
      <c r="Z254">
        <v>3393.331</v>
      </c>
      <c r="AA254" s="2">
        <f t="shared" si="21"/>
        <v>0.0333217632766401</v>
      </c>
      <c r="AB254" s="2">
        <f t="shared" si="22"/>
        <v>0.043926466507473</v>
      </c>
      <c r="AC254" t="s">
        <v>1042</v>
      </c>
      <c r="AD254">
        <v>27.89</v>
      </c>
      <c r="AE254">
        <v>3283.542</v>
      </c>
      <c r="AF254" s="2">
        <f t="shared" si="23"/>
        <v>-0.0631508229761505</v>
      </c>
      <c r="AG254" s="2">
        <f t="shared" si="24"/>
        <v>-0.0323543444479776</v>
      </c>
      <c r="AH254" t="s">
        <v>1331</v>
      </c>
      <c r="AI254" t="s">
        <v>41</v>
      </c>
      <c r="AJ254" t="s">
        <v>41</v>
      </c>
    </row>
    <row r="255" hidden="1" spans="1:36">
      <c r="A255">
        <v>113670</v>
      </c>
      <c r="B255" t="s">
        <v>1332</v>
      </c>
      <c r="C255">
        <v>603180</v>
      </c>
      <c r="D255" t="s">
        <v>1333</v>
      </c>
      <c r="E255" t="s">
        <v>1334</v>
      </c>
      <c r="F255" t="s">
        <v>397</v>
      </c>
      <c r="G255" t="s">
        <v>1266</v>
      </c>
      <c r="H255" t="s">
        <v>33</v>
      </c>
      <c r="I255" t="s">
        <v>255</v>
      </c>
      <c r="J255" t="s">
        <v>255</v>
      </c>
      <c r="K255" t="s">
        <v>255</v>
      </c>
      <c r="L255" t="s">
        <v>41</v>
      </c>
      <c r="M255" t="s">
        <v>41</v>
      </c>
      <c r="N255" t="s">
        <v>255</v>
      </c>
      <c r="O255" t="s">
        <v>41</v>
      </c>
      <c r="P255" t="s">
        <v>41</v>
      </c>
      <c r="Q255" s="2"/>
      <c r="R255" s="2"/>
      <c r="S255" t="s">
        <v>255</v>
      </c>
      <c r="T255" t="s">
        <v>41</v>
      </c>
      <c r="U255" t="s">
        <v>41</v>
      </c>
      <c r="V255" s="2"/>
      <c r="W255" s="2"/>
      <c r="X255" t="s">
        <v>1266</v>
      </c>
      <c r="Y255">
        <v>35.3</v>
      </c>
      <c r="Z255">
        <v>3385.61</v>
      </c>
      <c r="AA255" s="2"/>
      <c r="AB255" s="2"/>
      <c r="AC255" t="s">
        <v>1081</v>
      </c>
      <c r="AD255">
        <v>31.18</v>
      </c>
      <c r="AE255">
        <v>3290.987</v>
      </c>
      <c r="AF255" s="2">
        <f t="shared" si="23"/>
        <v>-0.11671388101983</v>
      </c>
      <c r="AG255" s="2">
        <f t="shared" si="24"/>
        <v>-0.0279485823824953</v>
      </c>
      <c r="AH255" t="s">
        <v>1335</v>
      </c>
      <c r="AI255" t="s">
        <v>41</v>
      </c>
      <c r="AJ255" t="s">
        <v>41</v>
      </c>
    </row>
    <row r="256" spans="1:36">
      <c r="A256">
        <v>123195</v>
      </c>
      <c r="B256" t="s">
        <v>1336</v>
      </c>
      <c r="C256">
        <v>300487</v>
      </c>
      <c r="D256" t="s">
        <v>1337</v>
      </c>
      <c r="E256" t="s">
        <v>1338</v>
      </c>
      <c r="F256" t="s">
        <v>31</v>
      </c>
      <c r="G256" t="s">
        <v>1266</v>
      </c>
      <c r="H256" t="s">
        <v>33</v>
      </c>
      <c r="I256" t="s">
        <v>255</v>
      </c>
      <c r="J256" t="s">
        <v>255</v>
      </c>
      <c r="K256" t="s">
        <v>1339</v>
      </c>
      <c r="L256">
        <v>47.36</v>
      </c>
      <c r="M256">
        <v>3096.907</v>
      </c>
      <c r="N256" t="s">
        <v>757</v>
      </c>
      <c r="O256">
        <v>63.97</v>
      </c>
      <c r="P256">
        <v>3310.654</v>
      </c>
      <c r="Q256" s="1">
        <f t="shared" si="17"/>
        <v>0.350717905405405</v>
      </c>
      <c r="R256" s="1">
        <f t="shared" si="18"/>
        <v>0.0690195088196061</v>
      </c>
      <c r="S256" t="s">
        <v>1017</v>
      </c>
      <c r="T256">
        <v>58.77</v>
      </c>
      <c r="U256">
        <v>3245.376</v>
      </c>
      <c r="V256" s="1">
        <f t="shared" si="19"/>
        <v>-0.0812881037986556</v>
      </c>
      <c r="W256" s="1">
        <f t="shared" si="20"/>
        <v>-0.0197175542959185</v>
      </c>
      <c r="X256" t="s">
        <v>1266</v>
      </c>
      <c r="Y256">
        <v>58.53</v>
      </c>
      <c r="Z256">
        <v>3385.61</v>
      </c>
      <c r="AA256" s="2">
        <f t="shared" si="21"/>
        <v>-0.0040837161817254</v>
      </c>
      <c r="AB256" s="2">
        <f t="shared" si="22"/>
        <v>0.0432104015066359</v>
      </c>
      <c r="AC256" t="s">
        <v>1036</v>
      </c>
      <c r="AD256">
        <v>57.66</v>
      </c>
      <c r="AE256">
        <v>3395.004</v>
      </c>
      <c r="AF256" s="2">
        <f t="shared" si="23"/>
        <v>-0.0148641722193748</v>
      </c>
      <c r="AG256" s="2">
        <f t="shared" si="24"/>
        <v>0.00277468462108742</v>
      </c>
      <c r="AH256" t="s">
        <v>1335</v>
      </c>
      <c r="AI256" t="s">
        <v>41</v>
      </c>
      <c r="AJ256" t="s">
        <v>41</v>
      </c>
    </row>
    <row r="257" spans="1:36">
      <c r="A257">
        <v>123194</v>
      </c>
      <c r="B257" t="s">
        <v>1340</v>
      </c>
      <c r="C257">
        <v>301015</v>
      </c>
      <c r="D257" t="s">
        <v>1341</v>
      </c>
      <c r="E257" t="s">
        <v>1342</v>
      </c>
      <c r="F257" t="s">
        <v>56</v>
      </c>
      <c r="G257" t="s">
        <v>1305</v>
      </c>
      <c r="H257" t="s">
        <v>33</v>
      </c>
      <c r="I257" t="s">
        <v>255</v>
      </c>
      <c r="J257" t="s">
        <v>255</v>
      </c>
      <c r="K257" t="s">
        <v>1343</v>
      </c>
      <c r="L257">
        <v>26.42</v>
      </c>
      <c r="M257">
        <v>3223.533</v>
      </c>
      <c r="N257" t="s">
        <v>875</v>
      </c>
      <c r="O257">
        <v>25.78</v>
      </c>
      <c r="P257">
        <v>3284.16</v>
      </c>
      <c r="Q257" s="1">
        <f t="shared" si="17"/>
        <v>-0.024224072672218</v>
      </c>
      <c r="R257" s="1">
        <f t="shared" si="18"/>
        <v>0.0188076250499064</v>
      </c>
      <c r="S257" t="s">
        <v>1017</v>
      </c>
      <c r="T257">
        <v>24.27</v>
      </c>
      <c r="U257">
        <v>3245.376</v>
      </c>
      <c r="V257" s="1">
        <f t="shared" si="19"/>
        <v>-0.0585725368502716</v>
      </c>
      <c r="W257" s="1">
        <f t="shared" si="20"/>
        <v>-0.0118094124524992</v>
      </c>
      <c r="X257" t="s">
        <v>1305</v>
      </c>
      <c r="Y257">
        <v>26.15</v>
      </c>
      <c r="Z257">
        <v>3338.153</v>
      </c>
      <c r="AA257" s="2">
        <f t="shared" si="21"/>
        <v>0.0774618871034198</v>
      </c>
      <c r="AB257" s="2">
        <f t="shared" si="22"/>
        <v>0.0285874425644362</v>
      </c>
      <c r="AC257" t="s">
        <v>1066</v>
      </c>
      <c r="AD257">
        <v>25.62</v>
      </c>
      <c r="AE257">
        <v>3334.503</v>
      </c>
      <c r="AF257" s="2">
        <f t="shared" si="23"/>
        <v>-0.0202676864244741</v>
      </c>
      <c r="AG257" s="2">
        <f t="shared" si="24"/>
        <v>-0.00109341902543102</v>
      </c>
      <c r="AH257" t="s">
        <v>1344</v>
      </c>
      <c r="AI257" t="s">
        <v>41</v>
      </c>
      <c r="AJ257" t="s">
        <v>41</v>
      </c>
    </row>
    <row r="258" spans="1:36">
      <c r="A258">
        <v>123192</v>
      </c>
      <c r="B258" t="s">
        <v>1345</v>
      </c>
      <c r="C258">
        <v>300856</v>
      </c>
      <c r="D258" t="s">
        <v>1346</v>
      </c>
      <c r="E258" t="s">
        <v>1347</v>
      </c>
      <c r="F258" t="s">
        <v>56</v>
      </c>
      <c r="G258" t="s">
        <v>1047</v>
      </c>
      <c r="H258" t="s">
        <v>33</v>
      </c>
      <c r="I258" t="s">
        <v>255</v>
      </c>
      <c r="J258" t="s">
        <v>255</v>
      </c>
      <c r="K258" t="s">
        <v>1348</v>
      </c>
      <c r="L258">
        <v>21.07</v>
      </c>
      <c r="M258">
        <v>2982.903</v>
      </c>
      <c r="N258" t="s">
        <v>945</v>
      </c>
      <c r="O258">
        <v>19.04</v>
      </c>
      <c r="P258">
        <v>3267.16</v>
      </c>
      <c r="Q258" s="1">
        <f t="shared" si="17"/>
        <v>-0.0963455149501662</v>
      </c>
      <c r="R258" s="1">
        <f t="shared" si="18"/>
        <v>0.0952954219429864</v>
      </c>
      <c r="S258" t="s">
        <v>969</v>
      </c>
      <c r="T258">
        <v>17.65</v>
      </c>
      <c r="U258">
        <v>3296.396</v>
      </c>
      <c r="V258" s="1">
        <f t="shared" si="19"/>
        <v>-0.0730042016806723</v>
      </c>
      <c r="W258" s="1">
        <f t="shared" si="20"/>
        <v>0.00894844452062352</v>
      </c>
      <c r="X258" t="s">
        <v>1047</v>
      </c>
      <c r="Y258">
        <v>17.63</v>
      </c>
      <c r="Z258">
        <v>3318.364</v>
      </c>
      <c r="AA258" s="2">
        <f t="shared" si="21"/>
        <v>-0.00113314447592066</v>
      </c>
      <c r="AB258" s="2">
        <f t="shared" si="22"/>
        <v>0.00666424786342413</v>
      </c>
      <c r="AC258" t="s">
        <v>1168</v>
      </c>
      <c r="AD258">
        <v>22.35</v>
      </c>
      <c r="AE258">
        <v>3309.551</v>
      </c>
      <c r="AF258" s="2">
        <f t="shared" si="23"/>
        <v>0.267725467952354</v>
      </c>
      <c r="AG258" s="2">
        <f t="shared" si="24"/>
        <v>-0.0026558267869348</v>
      </c>
      <c r="AH258" t="s">
        <v>1349</v>
      </c>
      <c r="AI258" t="s">
        <v>41</v>
      </c>
      <c r="AJ258" t="s">
        <v>41</v>
      </c>
    </row>
    <row r="259" spans="1:36">
      <c r="A259">
        <v>123193</v>
      </c>
      <c r="B259" t="s">
        <v>1350</v>
      </c>
      <c r="C259">
        <v>300787</v>
      </c>
      <c r="D259" t="s">
        <v>1351</v>
      </c>
      <c r="E259" t="s">
        <v>1114</v>
      </c>
      <c r="F259" t="s">
        <v>56</v>
      </c>
      <c r="G259" t="s">
        <v>1047</v>
      </c>
      <c r="H259" t="s">
        <v>33</v>
      </c>
      <c r="I259" t="s">
        <v>255</v>
      </c>
      <c r="J259" t="s">
        <v>255</v>
      </c>
      <c r="K259" t="s">
        <v>1352</v>
      </c>
      <c r="L259">
        <v>19.88</v>
      </c>
      <c r="M259">
        <v>3236.223</v>
      </c>
      <c r="N259" t="s">
        <v>1353</v>
      </c>
      <c r="O259">
        <v>13.01</v>
      </c>
      <c r="P259">
        <v>3101.693</v>
      </c>
      <c r="Q259" s="1">
        <f t="shared" ref="Q259:Q322" si="25">(O259-L259)/L259</f>
        <v>-0.345573440643863</v>
      </c>
      <c r="R259" s="1">
        <f t="shared" ref="R259:R322" si="26">(P259-M259)/M259</f>
        <v>-0.0415700648564699</v>
      </c>
      <c r="S259" t="s">
        <v>875</v>
      </c>
      <c r="T259">
        <v>14.03</v>
      </c>
      <c r="U259">
        <v>3284.16</v>
      </c>
      <c r="V259" s="1">
        <f t="shared" ref="V259:V322" si="27">(T259-O259)/O259</f>
        <v>0.0784012298232129</v>
      </c>
      <c r="W259" s="1">
        <f t="shared" ref="W259:W322" si="28">(U259-P259)/P259</f>
        <v>0.0588281947955519</v>
      </c>
      <c r="X259" t="s">
        <v>1047</v>
      </c>
      <c r="Y259">
        <v>14.41</v>
      </c>
      <c r="Z259">
        <v>3318.364</v>
      </c>
      <c r="AA259" s="2">
        <f t="shared" ref="AA259:AA322" si="29">(Y259-T259)/T259</f>
        <v>0.0270848182466145</v>
      </c>
      <c r="AB259" s="2">
        <f t="shared" ref="AB259:AB322" si="30">(Z259-U259)/U259</f>
        <v>0.0104148397154829</v>
      </c>
      <c r="AC259" t="s">
        <v>1354</v>
      </c>
      <c r="AD259">
        <v>11.85</v>
      </c>
      <c r="AE259">
        <v>3357.671</v>
      </c>
      <c r="AF259" s="2">
        <f t="shared" ref="AF259:AF322" si="31">(AD259-Y259)/Y259</f>
        <v>-0.17765440666204</v>
      </c>
      <c r="AG259" s="2">
        <f t="shared" ref="AG259:AG322" si="32">(AE259-Z259)/Z259</f>
        <v>0.0118452948501128</v>
      </c>
      <c r="AH259" t="s">
        <v>1349</v>
      </c>
      <c r="AI259" t="s">
        <v>41</v>
      </c>
      <c r="AJ259" t="s">
        <v>41</v>
      </c>
    </row>
    <row r="260" hidden="1" spans="1:36">
      <c r="A260">
        <v>127085</v>
      </c>
      <c r="B260" t="s">
        <v>1355</v>
      </c>
      <c r="C260">
        <v>2120</v>
      </c>
      <c r="D260" t="s">
        <v>1356</v>
      </c>
      <c r="E260" t="s">
        <v>1357</v>
      </c>
      <c r="F260" t="s">
        <v>98</v>
      </c>
      <c r="G260" t="s">
        <v>952</v>
      </c>
      <c r="H260" t="s">
        <v>33</v>
      </c>
      <c r="I260" t="s">
        <v>255</v>
      </c>
      <c r="J260" t="s">
        <v>255</v>
      </c>
      <c r="K260" t="s">
        <v>255</v>
      </c>
      <c r="L260" t="s">
        <v>41</v>
      </c>
      <c r="M260" t="s">
        <v>41</v>
      </c>
      <c r="N260" t="s">
        <v>255</v>
      </c>
      <c r="O260" t="s">
        <v>41</v>
      </c>
      <c r="P260" t="s">
        <v>41</v>
      </c>
      <c r="Q260" s="2"/>
      <c r="R260" s="2"/>
      <c r="S260" t="s">
        <v>255</v>
      </c>
      <c r="T260" t="s">
        <v>41</v>
      </c>
      <c r="U260" t="s">
        <v>41</v>
      </c>
      <c r="V260" s="2"/>
      <c r="W260" s="2"/>
      <c r="X260" t="s">
        <v>952</v>
      </c>
      <c r="Y260">
        <v>11.44</v>
      </c>
      <c r="Z260">
        <v>3313.571</v>
      </c>
      <c r="AA260" s="2"/>
      <c r="AB260" s="2"/>
      <c r="AC260" t="s">
        <v>1358</v>
      </c>
      <c r="AD260">
        <v>11.51</v>
      </c>
      <c r="AE260">
        <v>3246.238</v>
      </c>
      <c r="AF260" s="2">
        <f t="shared" si="31"/>
        <v>0.00611888111888114</v>
      </c>
      <c r="AG260" s="2">
        <f t="shared" si="32"/>
        <v>-0.0203203733977633</v>
      </c>
      <c r="AH260" t="s">
        <v>1359</v>
      </c>
      <c r="AI260" t="s">
        <v>41</v>
      </c>
      <c r="AJ260" t="s">
        <v>41</v>
      </c>
    </row>
    <row r="261" spans="1:36">
      <c r="A261">
        <v>123191</v>
      </c>
      <c r="B261" t="s">
        <v>1360</v>
      </c>
      <c r="C261">
        <v>300918</v>
      </c>
      <c r="D261" t="s">
        <v>1361</v>
      </c>
      <c r="E261" t="s">
        <v>1015</v>
      </c>
      <c r="F261" t="s">
        <v>41</v>
      </c>
      <c r="G261" t="s">
        <v>1249</v>
      </c>
      <c r="H261" t="s">
        <v>621</v>
      </c>
      <c r="I261" t="s">
        <v>255</v>
      </c>
      <c r="J261" t="s">
        <v>255</v>
      </c>
      <c r="K261" t="s">
        <v>1362</v>
      </c>
      <c r="L261">
        <v>7.75</v>
      </c>
      <c r="M261">
        <v>3051.226</v>
      </c>
      <c r="N261" t="s">
        <v>1363</v>
      </c>
      <c r="O261">
        <v>9.63</v>
      </c>
      <c r="P261">
        <v>3163.451</v>
      </c>
      <c r="Q261" s="1">
        <f t="shared" si="25"/>
        <v>0.24258064516129</v>
      </c>
      <c r="R261" s="1">
        <f t="shared" si="26"/>
        <v>0.0367802974935321</v>
      </c>
      <c r="S261" t="s">
        <v>875</v>
      </c>
      <c r="T261">
        <v>10.46</v>
      </c>
      <c r="U261">
        <v>3284.16</v>
      </c>
      <c r="V261" s="1">
        <f t="shared" si="27"/>
        <v>0.0861889927310488</v>
      </c>
      <c r="W261" s="1">
        <f t="shared" si="28"/>
        <v>0.0381573793935799</v>
      </c>
      <c r="X261" t="s">
        <v>1249</v>
      </c>
      <c r="Y261">
        <v>10.96</v>
      </c>
      <c r="Z261">
        <v>3315.358</v>
      </c>
      <c r="AA261" s="2">
        <f t="shared" si="29"/>
        <v>0.0478011472275335</v>
      </c>
      <c r="AB261" s="2">
        <f t="shared" si="30"/>
        <v>0.00949953717236685</v>
      </c>
      <c r="AC261" t="s">
        <v>1364</v>
      </c>
      <c r="AD261">
        <v>11.22</v>
      </c>
      <c r="AE261">
        <v>3323.275</v>
      </c>
      <c r="AF261" s="2">
        <f t="shared" si="31"/>
        <v>0.0237226277372263</v>
      </c>
      <c r="AG261" s="2">
        <f t="shared" si="32"/>
        <v>0.00238797740696477</v>
      </c>
      <c r="AH261" t="s">
        <v>1365</v>
      </c>
      <c r="AI261" t="s">
        <v>1366</v>
      </c>
      <c r="AJ261" t="s">
        <v>625</v>
      </c>
    </row>
    <row r="262" spans="1:36">
      <c r="A262">
        <v>123190</v>
      </c>
      <c r="B262" t="s">
        <v>1367</v>
      </c>
      <c r="C262">
        <v>300409</v>
      </c>
      <c r="D262" t="s">
        <v>1368</v>
      </c>
      <c r="E262" t="s">
        <v>1141</v>
      </c>
      <c r="F262" t="s">
        <v>41</v>
      </c>
      <c r="G262" t="s">
        <v>1080</v>
      </c>
      <c r="H262" t="s">
        <v>621</v>
      </c>
      <c r="I262" t="s">
        <v>255</v>
      </c>
      <c r="J262" t="s">
        <v>255</v>
      </c>
      <c r="K262" t="s">
        <v>1369</v>
      </c>
      <c r="L262">
        <v>21.93</v>
      </c>
      <c r="M262">
        <v>3247.432</v>
      </c>
      <c r="N262" t="s">
        <v>1370</v>
      </c>
      <c r="O262">
        <v>15.87</v>
      </c>
      <c r="P262">
        <v>3167.858</v>
      </c>
      <c r="Q262" s="1">
        <f t="shared" si="25"/>
        <v>-0.276333789329685</v>
      </c>
      <c r="R262" s="1">
        <f t="shared" si="26"/>
        <v>-0.024503669360898</v>
      </c>
      <c r="S262" t="s">
        <v>875</v>
      </c>
      <c r="T262">
        <v>16.4</v>
      </c>
      <c r="U262">
        <v>3284.16</v>
      </c>
      <c r="V262" s="1">
        <f t="shared" si="27"/>
        <v>0.033396345305608</v>
      </c>
      <c r="W262" s="1">
        <f t="shared" si="28"/>
        <v>0.0367131355003916</v>
      </c>
      <c r="X262" t="s">
        <v>1080</v>
      </c>
      <c r="Y262">
        <v>14.24</v>
      </c>
      <c r="Z262">
        <v>3327.646</v>
      </c>
      <c r="AA262" s="2">
        <f t="shared" si="29"/>
        <v>-0.131707317073171</v>
      </c>
      <c r="AB262" s="2">
        <f t="shared" si="30"/>
        <v>0.0132411331969211</v>
      </c>
      <c r="AC262" t="s">
        <v>702</v>
      </c>
      <c r="AD262">
        <v>12.3</v>
      </c>
      <c r="AE262">
        <v>3264.872</v>
      </c>
      <c r="AF262" s="2">
        <f t="shared" si="31"/>
        <v>-0.13623595505618</v>
      </c>
      <c r="AG262" s="2">
        <f t="shared" si="32"/>
        <v>-0.0188643864161033</v>
      </c>
      <c r="AH262" t="s">
        <v>1371</v>
      </c>
      <c r="AI262" t="s">
        <v>230</v>
      </c>
      <c r="AJ262" t="s">
        <v>625</v>
      </c>
    </row>
    <row r="263" spans="1:36">
      <c r="A263">
        <v>123189</v>
      </c>
      <c r="B263" t="s">
        <v>1372</v>
      </c>
      <c r="C263">
        <v>300967</v>
      </c>
      <c r="D263" t="s">
        <v>1373</v>
      </c>
      <c r="E263" t="s">
        <v>1374</v>
      </c>
      <c r="F263" t="s">
        <v>708</v>
      </c>
      <c r="G263" t="s">
        <v>1026</v>
      </c>
      <c r="H263" t="s">
        <v>33</v>
      </c>
      <c r="I263" t="s">
        <v>255</v>
      </c>
      <c r="J263" t="s">
        <v>255</v>
      </c>
      <c r="K263" t="s">
        <v>1375</v>
      </c>
      <c r="L263">
        <v>17.5</v>
      </c>
      <c r="M263">
        <v>3182.157</v>
      </c>
      <c r="N263" t="s">
        <v>1376</v>
      </c>
      <c r="O263">
        <v>17.37</v>
      </c>
      <c r="P263">
        <v>3246.294</v>
      </c>
      <c r="Q263" s="1">
        <f t="shared" si="25"/>
        <v>-0.00742857142857137</v>
      </c>
      <c r="R263" s="1">
        <f t="shared" si="26"/>
        <v>0.0201551966166345</v>
      </c>
      <c r="S263" t="s">
        <v>1377</v>
      </c>
      <c r="T263">
        <v>16.6</v>
      </c>
      <c r="U263">
        <v>3249.03</v>
      </c>
      <c r="V263" s="1">
        <f t="shared" si="27"/>
        <v>-0.0443293033966609</v>
      </c>
      <c r="W263" s="1">
        <f t="shared" si="28"/>
        <v>0.000842807213394822</v>
      </c>
      <c r="X263" t="s">
        <v>1026</v>
      </c>
      <c r="Y263">
        <v>19.61</v>
      </c>
      <c r="Z263">
        <v>3312.628</v>
      </c>
      <c r="AA263" s="2">
        <f t="shared" si="29"/>
        <v>0.181325301204819</v>
      </c>
      <c r="AB263" s="2">
        <f t="shared" si="30"/>
        <v>0.0195744576073474</v>
      </c>
      <c r="AC263" t="s">
        <v>702</v>
      </c>
      <c r="AD263">
        <v>16.82</v>
      </c>
      <c r="AE263">
        <v>3264.872</v>
      </c>
      <c r="AF263" s="2">
        <f t="shared" si="31"/>
        <v>-0.14227434982152</v>
      </c>
      <c r="AG263" s="2">
        <f t="shared" si="32"/>
        <v>-0.0144163485909074</v>
      </c>
      <c r="AH263" t="s">
        <v>1378</v>
      </c>
      <c r="AI263" t="s">
        <v>41</v>
      </c>
      <c r="AJ263" t="s">
        <v>41</v>
      </c>
    </row>
    <row r="264" spans="1:36">
      <c r="A264">
        <v>123187</v>
      </c>
      <c r="B264" t="s">
        <v>1379</v>
      </c>
      <c r="C264">
        <v>301186</v>
      </c>
      <c r="D264" t="s">
        <v>1380</v>
      </c>
      <c r="E264" t="s">
        <v>316</v>
      </c>
      <c r="F264" t="s">
        <v>708</v>
      </c>
      <c r="G264" t="s">
        <v>805</v>
      </c>
      <c r="H264" t="s">
        <v>33</v>
      </c>
      <c r="I264" t="s">
        <v>255</v>
      </c>
      <c r="J264" t="s">
        <v>255</v>
      </c>
      <c r="K264" t="s">
        <v>1312</v>
      </c>
      <c r="L264">
        <v>25.72</v>
      </c>
      <c r="M264">
        <v>2976.283</v>
      </c>
      <c r="N264" t="s">
        <v>945</v>
      </c>
      <c r="O264">
        <v>32.65</v>
      </c>
      <c r="P264">
        <v>3267.16</v>
      </c>
      <c r="Q264" s="1">
        <f t="shared" si="25"/>
        <v>0.269440124416796</v>
      </c>
      <c r="R264" s="1">
        <f t="shared" si="26"/>
        <v>0.0977316337189709</v>
      </c>
      <c r="S264" t="s">
        <v>1330</v>
      </c>
      <c r="T264">
        <v>29.02</v>
      </c>
      <c r="U264">
        <v>3250.546</v>
      </c>
      <c r="V264" s="1">
        <f t="shared" si="27"/>
        <v>-0.111179173047473</v>
      </c>
      <c r="W264" s="1">
        <f t="shared" si="28"/>
        <v>-0.00508515040585709</v>
      </c>
      <c r="X264" t="s">
        <v>805</v>
      </c>
      <c r="Y264">
        <v>29.89</v>
      </c>
      <c r="Z264">
        <v>3312.558</v>
      </c>
      <c r="AA264" s="2">
        <f t="shared" si="29"/>
        <v>0.0299793246037216</v>
      </c>
      <c r="AB264" s="2">
        <f t="shared" si="30"/>
        <v>0.0190774103796717</v>
      </c>
      <c r="AC264" t="s">
        <v>702</v>
      </c>
      <c r="AD264">
        <v>25.59</v>
      </c>
      <c r="AE264">
        <v>3264.872</v>
      </c>
      <c r="AF264" s="2">
        <f t="shared" si="31"/>
        <v>-0.143860823017732</v>
      </c>
      <c r="AG264" s="2">
        <f t="shared" si="32"/>
        <v>-0.0143955215274722</v>
      </c>
      <c r="AH264" t="s">
        <v>1381</v>
      </c>
      <c r="AI264" t="s">
        <v>41</v>
      </c>
      <c r="AJ264" t="s">
        <v>41</v>
      </c>
    </row>
    <row r="265" hidden="1" spans="1:36">
      <c r="A265">
        <v>113669</v>
      </c>
      <c r="B265" t="s">
        <v>1382</v>
      </c>
      <c r="C265">
        <v>603228</v>
      </c>
      <c r="D265" t="s">
        <v>1383</v>
      </c>
      <c r="E265" t="s">
        <v>1384</v>
      </c>
      <c r="F265" t="s">
        <v>41</v>
      </c>
      <c r="G265" t="s">
        <v>805</v>
      </c>
      <c r="H265" t="s">
        <v>621</v>
      </c>
      <c r="I265" t="s">
        <v>255</v>
      </c>
      <c r="J265" t="s">
        <v>255</v>
      </c>
      <c r="K265" t="s">
        <v>255</v>
      </c>
      <c r="L265" t="s">
        <v>41</v>
      </c>
      <c r="M265" t="s">
        <v>41</v>
      </c>
      <c r="N265" t="s">
        <v>255</v>
      </c>
      <c r="O265" t="s">
        <v>41</v>
      </c>
      <c r="P265" t="s">
        <v>41</v>
      </c>
      <c r="Q265" s="2"/>
      <c r="R265" s="2"/>
      <c r="S265" t="s">
        <v>255</v>
      </c>
      <c r="T265" t="s">
        <v>41</v>
      </c>
      <c r="U265" t="s">
        <v>41</v>
      </c>
      <c r="V265" s="2"/>
      <c r="W265" s="2"/>
      <c r="X265" t="s">
        <v>805</v>
      </c>
      <c r="Y265">
        <v>24.62</v>
      </c>
      <c r="Z265">
        <v>3312.558</v>
      </c>
      <c r="AA265" s="2"/>
      <c r="AB265" s="2"/>
      <c r="AC265" t="s">
        <v>1354</v>
      </c>
      <c r="AD265">
        <v>20.29</v>
      </c>
      <c r="AE265">
        <v>3357.671</v>
      </c>
      <c r="AF265" s="2">
        <f t="shared" si="31"/>
        <v>-0.17587327376117</v>
      </c>
      <c r="AG265" s="2">
        <f t="shared" si="32"/>
        <v>0.0136187804107882</v>
      </c>
      <c r="AH265" t="s">
        <v>1381</v>
      </c>
      <c r="AI265" t="s">
        <v>37</v>
      </c>
      <c r="AJ265" t="s">
        <v>625</v>
      </c>
    </row>
    <row r="266" spans="1:36">
      <c r="A266">
        <v>123188</v>
      </c>
      <c r="B266" t="s">
        <v>1385</v>
      </c>
      <c r="C266">
        <v>300740</v>
      </c>
      <c r="D266" t="s">
        <v>1386</v>
      </c>
      <c r="E266" t="s">
        <v>66</v>
      </c>
      <c r="F266" t="s">
        <v>31</v>
      </c>
      <c r="G266" t="s">
        <v>805</v>
      </c>
      <c r="H266" t="s">
        <v>33</v>
      </c>
      <c r="I266" t="s">
        <v>255</v>
      </c>
      <c r="J266" t="s">
        <v>255</v>
      </c>
      <c r="K266" t="s">
        <v>1387</v>
      </c>
      <c r="L266">
        <v>12.6</v>
      </c>
      <c r="M266">
        <v>3115.602</v>
      </c>
      <c r="N266" t="s">
        <v>1053</v>
      </c>
      <c r="O266">
        <v>13.87</v>
      </c>
      <c r="P266">
        <v>3045.866</v>
      </c>
      <c r="Q266" s="1">
        <f t="shared" si="25"/>
        <v>0.100793650793651</v>
      </c>
      <c r="R266" s="1">
        <f t="shared" si="26"/>
        <v>-0.0223828332373647</v>
      </c>
      <c r="S266" t="s">
        <v>1377</v>
      </c>
      <c r="T266">
        <v>13.71</v>
      </c>
      <c r="U266">
        <v>3249.03</v>
      </c>
      <c r="V266" s="1">
        <f t="shared" si="27"/>
        <v>-0.0115356885364094</v>
      </c>
      <c r="W266" s="1">
        <f t="shared" si="28"/>
        <v>0.0667015554853694</v>
      </c>
      <c r="X266" t="s">
        <v>805</v>
      </c>
      <c r="Y266">
        <v>13.53</v>
      </c>
      <c r="Z266">
        <v>3312.558</v>
      </c>
      <c r="AA266" s="2">
        <f t="shared" si="29"/>
        <v>-0.0131291028446391</v>
      </c>
      <c r="AB266" s="2">
        <f t="shared" si="30"/>
        <v>0.0195529127154873</v>
      </c>
      <c r="AC266" t="s">
        <v>702</v>
      </c>
      <c r="AD266">
        <v>13.4</v>
      </c>
      <c r="AE266">
        <v>3264.872</v>
      </c>
      <c r="AF266" s="2">
        <f t="shared" si="31"/>
        <v>-0.00960827790096075</v>
      </c>
      <c r="AG266" s="2">
        <f t="shared" si="32"/>
        <v>-0.0143955215274722</v>
      </c>
      <c r="AH266" t="s">
        <v>1381</v>
      </c>
      <c r="AI266" t="s">
        <v>41</v>
      </c>
      <c r="AJ266" t="s">
        <v>41</v>
      </c>
    </row>
    <row r="267" spans="1:36">
      <c r="A267">
        <v>123186</v>
      </c>
      <c r="B267" t="s">
        <v>1388</v>
      </c>
      <c r="C267">
        <v>300986</v>
      </c>
      <c r="D267" t="s">
        <v>1389</v>
      </c>
      <c r="E267" t="s">
        <v>1390</v>
      </c>
      <c r="F267" t="s">
        <v>41</v>
      </c>
      <c r="G267" t="s">
        <v>1391</v>
      </c>
      <c r="H267" t="s">
        <v>621</v>
      </c>
      <c r="I267" t="s">
        <v>255</v>
      </c>
      <c r="J267" t="s">
        <v>255</v>
      </c>
      <c r="K267" t="s">
        <v>1392</v>
      </c>
      <c r="L267">
        <v>18.13</v>
      </c>
      <c r="M267">
        <v>3262.054</v>
      </c>
      <c r="N267" t="s">
        <v>1393</v>
      </c>
      <c r="O267">
        <v>18.6</v>
      </c>
      <c r="P267">
        <v>3224.024</v>
      </c>
      <c r="Q267" s="1">
        <f t="shared" si="25"/>
        <v>0.0259238830667403</v>
      </c>
      <c r="R267" s="1">
        <f t="shared" si="26"/>
        <v>-0.0116582987283473</v>
      </c>
      <c r="S267" t="s">
        <v>1330</v>
      </c>
      <c r="T267">
        <v>19.03</v>
      </c>
      <c r="U267">
        <v>3250.546</v>
      </c>
      <c r="V267" s="1">
        <f t="shared" si="27"/>
        <v>0.0231182795698925</v>
      </c>
      <c r="W267" s="1">
        <f t="shared" si="28"/>
        <v>0.00822636556055412</v>
      </c>
      <c r="X267" t="s">
        <v>1391</v>
      </c>
      <c r="Y267">
        <v>18.59</v>
      </c>
      <c r="Z267">
        <v>3272.86</v>
      </c>
      <c r="AA267" s="2">
        <f t="shared" si="29"/>
        <v>-0.0231213872832371</v>
      </c>
      <c r="AB267" s="2">
        <f t="shared" si="30"/>
        <v>0.00686469288544149</v>
      </c>
      <c r="AC267" t="s">
        <v>900</v>
      </c>
      <c r="AD267">
        <v>16.31</v>
      </c>
      <c r="AE267">
        <v>3301.258</v>
      </c>
      <c r="AF267" s="2">
        <f t="shared" si="31"/>
        <v>-0.122646584185046</v>
      </c>
      <c r="AG267" s="2">
        <f t="shared" si="32"/>
        <v>0.00867681477362297</v>
      </c>
      <c r="AH267" t="s">
        <v>1394</v>
      </c>
      <c r="AI267" t="s">
        <v>1395</v>
      </c>
      <c r="AJ267" t="s">
        <v>625</v>
      </c>
    </row>
    <row r="268" spans="1:36">
      <c r="A268">
        <v>123185</v>
      </c>
      <c r="B268" t="s">
        <v>1396</v>
      </c>
      <c r="C268">
        <v>301046</v>
      </c>
      <c r="D268" t="s">
        <v>1397</v>
      </c>
      <c r="E268" t="s">
        <v>1398</v>
      </c>
      <c r="F268" t="s">
        <v>31</v>
      </c>
      <c r="G268" t="s">
        <v>1391</v>
      </c>
      <c r="H268" t="s">
        <v>33</v>
      </c>
      <c r="I268" t="s">
        <v>255</v>
      </c>
      <c r="J268" t="s">
        <v>255</v>
      </c>
      <c r="K268" t="s">
        <v>1052</v>
      </c>
      <c r="L268">
        <v>28.67</v>
      </c>
      <c r="M268">
        <v>3108.91</v>
      </c>
      <c r="N268" t="s">
        <v>1399</v>
      </c>
      <c r="O268">
        <v>34.05</v>
      </c>
      <c r="P268">
        <v>3089.258</v>
      </c>
      <c r="Q268" s="1">
        <f t="shared" si="25"/>
        <v>0.187652598535054</v>
      </c>
      <c r="R268" s="1">
        <f t="shared" si="26"/>
        <v>-0.00632118652518087</v>
      </c>
      <c r="S268" t="s">
        <v>875</v>
      </c>
      <c r="T268">
        <v>43.57</v>
      </c>
      <c r="U268">
        <v>3284.16</v>
      </c>
      <c r="V268" s="1">
        <f t="shared" si="27"/>
        <v>0.279588839941263</v>
      </c>
      <c r="W268" s="1">
        <f t="shared" si="28"/>
        <v>0.0630902307285439</v>
      </c>
      <c r="X268" t="s">
        <v>1391</v>
      </c>
      <c r="Y268">
        <v>34.31</v>
      </c>
      <c r="Z268">
        <v>3272.86</v>
      </c>
      <c r="AA268" s="2">
        <f t="shared" si="29"/>
        <v>-0.212531558411751</v>
      </c>
      <c r="AB268" s="2">
        <f t="shared" si="30"/>
        <v>-0.00344075806294448</v>
      </c>
      <c r="AC268" t="s">
        <v>818</v>
      </c>
      <c r="AD268">
        <v>30.97</v>
      </c>
      <c r="AE268">
        <v>3367.031</v>
      </c>
      <c r="AF268" s="2">
        <f t="shared" si="31"/>
        <v>-0.097347712037307</v>
      </c>
      <c r="AG268" s="2">
        <f t="shared" si="32"/>
        <v>0.0287733053048404</v>
      </c>
      <c r="AH268" t="s">
        <v>1394</v>
      </c>
      <c r="AI268" t="s">
        <v>108</v>
      </c>
      <c r="AJ268" t="s">
        <v>625</v>
      </c>
    </row>
    <row r="269" hidden="1" spans="1:36">
      <c r="A269">
        <v>127084</v>
      </c>
      <c r="B269" t="s">
        <v>1400</v>
      </c>
      <c r="C269">
        <v>528</v>
      </c>
      <c r="D269" t="s">
        <v>1401</v>
      </c>
      <c r="E269" t="s">
        <v>325</v>
      </c>
      <c r="F269" t="s">
        <v>444</v>
      </c>
      <c r="G269" t="s">
        <v>1402</v>
      </c>
      <c r="H269" t="s">
        <v>33</v>
      </c>
      <c r="I269" t="s">
        <v>255</v>
      </c>
      <c r="J269" t="s">
        <v>255</v>
      </c>
      <c r="K269" t="s">
        <v>255</v>
      </c>
      <c r="L269" t="s">
        <v>41</v>
      </c>
      <c r="M269" t="s">
        <v>41</v>
      </c>
      <c r="N269" t="s">
        <v>255</v>
      </c>
      <c r="O269" t="s">
        <v>41</v>
      </c>
      <c r="P269" t="s">
        <v>41</v>
      </c>
      <c r="Q269" s="2"/>
      <c r="R269" s="2"/>
      <c r="S269" t="s">
        <v>255</v>
      </c>
      <c r="T269" t="s">
        <v>41</v>
      </c>
      <c r="U269" t="s">
        <v>41</v>
      </c>
      <c r="V269" s="2"/>
      <c r="W269" s="2"/>
      <c r="X269" t="s">
        <v>1402</v>
      </c>
      <c r="Y269">
        <v>5.96</v>
      </c>
      <c r="Z269">
        <v>3251.397</v>
      </c>
      <c r="AA269" s="2"/>
      <c r="AB269" s="2"/>
      <c r="AC269" t="s">
        <v>818</v>
      </c>
      <c r="AD269">
        <v>6.41</v>
      </c>
      <c r="AE269">
        <v>3367.031</v>
      </c>
      <c r="AF269" s="2">
        <f t="shared" si="31"/>
        <v>0.075503355704698</v>
      </c>
      <c r="AG269" s="2">
        <f t="shared" si="32"/>
        <v>0.0355644050849527</v>
      </c>
      <c r="AH269" t="s">
        <v>1403</v>
      </c>
      <c r="AI269" t="s">
        <v>41</v>
      </c>
      <c r="AJ269" t="s">
        <v>41</v>
      </c>
    </row>
    <row r="270" hidden="1" spans="1:36">
      <c r="A270">
        <v>113668</v>
      </c>
      <c r="B270" t="s">
        <v>1404</v>
      </c>
      <c r="C270">
        <v>603051</v>
      </c>
      <c r="D270" t="s">
        <v>1405</v>
      </c>
      <c r="E270" t="s">
        <v>1406</v>
      </c>
      <c r="F270" t="s">
        <v>41</v>
      </c>
      <c r="G270" t="s">
        <v>1402</v>
      </c>
      <c r="H270" t="s">
        <v>621</v>
      </c>
      <c r="I270" t="s">
        <v>255</v>
      </c>
      <c r="J270" t="s">
        <v>255</v>
      </c>
      <c r="K270" t="s">
        <v>255</v>
      </c>
      <c r="L270" t="s">
        <v>41</v>
      </c>
      <c r="M270" t="s">
        <v>41</v>
      </c>
      <c r="N270" t="s">
        <v>255</v>
      </c>
      <c r="O270" t="s">
        <v>41</v>
      </c>
      <c r="P270" t="s">
        <v>41</v>
      </c>
      <c r="Q270" s="2"/>
      <c r="R270" s="2"/>
      <c r="S270" t="s">
        <v>255</v>
      </c>
      <c r="T270" t="s">
        <v>41</v>
      </c>
      <c r="U270" t="s">
        <v>41</v>
      </c>
      <c r="V270" s="2"/>
      <c r="W270" s="2"/>
      <c r="X270" t="s">
        <v>1402</v>
      </c>
      <c r="Y270">
        <v>35.96</v>
      </c>
      <c r="Z270">
        <v>3251.397</v>
      </c>
      <c r="AA270" s="2"/>
      <c r="AB270" s="2"/>
      <c r="AC270" t="s">
        <v>798</v>
      </c>
      <c r="AD270">
        <v>31.86</v>
      </c>
      <c r="AE270">
        <v>3285.884</v>
      </c>
      <c r="AF270" s="2">
        <f t="shared" si="31"/>
        <v>-0.114015572858732</v>
      </c>
      <c r="AG270" s="2">
        <f t="shared" si="32"/>
        <v>0.0106068253123196</v>
      </c>
      <c r="AH270" t="s">
        <v>1403</v>
      </c>
      <c r="AI270" t="s">
        <v>284</v>
      </c>
      <c r="AJ270" t="s">
        <v>625</v>
      </c>
    </row>
    <row r="271" hidden="1" spans="1:36">
      <c r="A271">
        <v>127083</v>
      </c>
      <c r="B271" t="s">
        <v>1407</v>
      </c>
      <c r="C271">
        <v>498</v>
      </c>
      <c r="D271" t="s">
        <v>1408</v>
      </c>
      <c r="E271" t="s">
        <v>1409</v>
      </c>
      <c r="F271" t="s">
        <v>444</v>
      </c>
      <c r="G271" t="s">
        <v>77</v>
      </c>
      <c r="H271" t="s">
        <v>33</v>
      </c>
      <c r="I271" t="s">
        <v>255</v>
      </c>
      <c r="J271" t="s">
        <v>255</v>
      </c>
      <c r="K271" t="s">
        <v>255</v>
      </c>
      <c r="L271" t="s">
        <v>41</v>
      </c>
      <c r="M271" t="s">
        <v>41</v>
      </c>
      <c r="N271" t="s">
        <v>255</v>
      </c>
      <c r="O271" t="s">
        <v>41</v>
      </c>
      <c r="P271" t="s">
        <v>41</v>
      </c>
      <c r="Q271" s="2"/>
      <c r="R271" s="2"/>
      <c r="S271" t="s">
        <v>255</v>
      </c>
      <c r="T271" t="s">
        <v>41</v>
      </c>
      <c r="U271" t="s">
        <v>41</v>
      </c>
      <c r="V271" s="2"/>
      <c r="W271" s="2"/>
      <c r="X271" t="s">
        <v>77</v>
      </c>
      <c r="Y271">
        <v>6.89</v>
      </c>
      <c r="Z271">
        <v>3265.654</v>
      </c>
      <c r="AA271" s="2"/>
      <c r="AB271" s="2"/>
      <c r="AC271" t="s">
        <v>979</v>
      </c>
      <c r="AD271">
        <v>6.83</v>
      </c>
      <c r="AE271">
        <v>3264.101</v>
      </c>
      <c r="AF271" s="2">
        <f t="shared" si="31"/>
        <v>-0.0087082728592162</v>
      </c>
      <c r="AG271" s="2">
        <f t="shared" si="32"/>
        <v>-0.000475555585496774</v>
      </c>
      <c r="AH271" t="s">
        <v>1410</v>
      </c>
      <c r="AI271" t="s">
        <v>41</v>
      </c>
      <c r="AJ271" t="s">
        <v>41</v>
      </c>
    </row>
    <row r="272" spans="1:36">
      <c r="A272">
        <v>123184</v>
      </c>
      <c r="B272" t="s">
        <v>1411</v>
      </c>
      <c r="C272">
        <v>300872</v>
      </c>
      <c r="D272" t="s">
        <v>1412</v>
      </c>
      <c r="E272" t="s">
        <v>1413</v>
      </c>
      <c r="F272" t="s">
        <v>41</v>
      </c>
      <c r="G272" t="s">
        <v>1253</v>
      </c>
      <c r="H272" t="s">
        <v>621</v>
      </c>
      <c r="I272" t="s">
        <v>255</v>
      </c>
      <c r="J272" t="s">
        <v>255</v>
      </c>
      <c r="K272" t="s">
        <v>1414</v>
      </c>
      <c r="L272">
        <v>12.17</v>
      </c>
      <c r="M272">
        <v>3186.266</v>
      </c>
      <c r="N272" t="s">
        <v>1329</v>
      </c>
      <c r="O272">
        <v>14.25</v>
      </c>
      <c r="P272">
        <v>3119.98</v>
      </c>
      <c r="Q272" s="1">
        <f t="shared" si="25"/>
        <v>0.170912078882498</v>
      </c>
      <c r="R272" s="1">
        <f t="shared" si="26"/>
        <v>-0.0208036617156258</v>
      </c>
      <c r="S272" t="s">
        <v>1209</v>
      </c>
      <c r="T272">
        <v>13.36</v>
      </c>
      <c r="U272">
        <v>3224.406</v>
      </c>
      <c r="V272" s="1">
        <f t="shared" si="27"/>
        <v>-0.0624561403508772</v>
      </c>
      <c r="W272" s="1">
        <f t="shared" si="28"/>
        <v>0.0334700863467073</v>
      </c>
      <c r="X272" t="s">
        <v>1253</v>
      </c>
      <c r="Y272">
        <v>14.97</v>
      </c>
      <c r="Z272">
        <v>3286.649</v>
      </c>
      <c r="AA272" s="2">
        <f t="shared" si="29"/>
        <v>0.120508982035928</v>
      </c>
      <c r="AB272" s="2">
        <f t="shared" si="30"/>
        <v>0.019303710512882</v>
      </c>
      <c r="AC272" t="s">
        <v>1327</v>
      </c>
      <c r="AD272">
        <v>15.25</v>
      </c>
      <c r="AE272">
        <v>3393.331</v>
      </c>
      <c r="AF272" s="2">
        <f t="shared" si="31"/>
        <v>0.0187040748162992</v>
      </c>
      <c r="AG272" s="2">
        <f t="shared" si="32"/>
        <v>0.032459200845603</v>
      </c>
      <c r="AH272" t="s">
        <v>1415</v>
      </c>
      <c r="AI272" t="s">
        <v>1255</v>
      </c>
      <c r="AJ272" t="s">
        <v>625</v>
      </c>
    </row>
    <row r="273" spans="1:36">
      <c r="A273">
        <v>123183</v>
      </c>
      <c r="B273" t="s">
        <v>1416</v>
      </c>
      <c r="C273">
        <v>300501</v>
      </c>
      <c r="D273" t="s">
        <v>1417</v>
      </c>
      <c r="E273" t="s">
        <v>1418</v>
      </c>
      <c r="F273" t="s">
        <v>56</v>
      </c>
      <c r="G273" t="s">
        <v>1253</v>
      </c>
      <c r="H273" t="s">
        <v>33</v>
      </c>
      <c r="I273" t="s">
        <v>255</v>
      </c>
      <c r="J273" t="s">
        <v>255</v>
      </c>
      <c r="K273" t="s">
        <v>1419</v>
      </c>
      <c r="L273">
        <v>13.79</v>
      </c>
      <c r="M273">
        <v>3284.292</v>
      </c>
      <c r="N273" t="s">
        <v>1074</v>
      </c>
      <c r="O273">
        <v>13.71</v>
      </c>
      <c r="P273">
        <v>3070.796</v>
      </c>
      <c r="Q273" s="1">
        <f t="shared" si="25"/>
        <v>-0.00580130529369096</v>
      </c>
      <c r="R273" s="1">
        <f t="shared" si="26"/>
        <v>-0.0650051822432354</v>
      </c>
      <c r="S273" t="s">
        <v>1086</v>
      </c>
      <c r="T273">
        <v>14.57</v>
      </c>
      <c r="U273">
        <v>3255.669</v>
      </c>
      <c r="V273" s="1">
        <f t="shared" si="27"/>
        <v>0.0627279358132749</v>
      </c>
      <c r="W273" s="1">
        <f t="shared" si="28"/>
        <v>0.0602036084454975</v>
      </c>
      <c r="X273" t="s">
        <v>1253</v>
      </c>
      <c r="Y273">
        <v>16.16</v>
      </c>
      <c r="Z273">
        <v>3286.649</v>
      </c>
      <c r="AA273" s="2">
        <f t="shared" si="29"/>
        <v>0.109128345916266</v>
      </c>
      <c r="AB273" s="2">
        <f t="shared" si="30"/>
        <v>0.00951570936726062</v>
      </c>
      <c r="AC273" t="s">
        <v>818</v>
      </c>
      <c r="AD273">
        <v>14.93</v>
      </c>
      <c r="AE273">
        <v>3367.031</v>
      </c>
      <c r="AF273" s="2">
        <f t="shared" si="31"/>
        <v>-0.0761138613861386</v>
      </c>
      <c r="AG273" s="2">
        <f t="shared" si="32"/>
        <v>0.0244571294348743</v>
      </c>
      <c r="AH273" t="s">
        <v>1415</v>
      </c>
      <c r="AI273" t="s">
        <v>41</v>
      </c>
      <c r="AJ273" t="s">
        <v>41</v>
      </c>
    </row>
    <row r="274" spans="1:36">
      <c r="A274">
        <v>123182</v>
      </c>
      <c r="B274" t="s">
        <v>1420</v>
      </c>
      <c r="C274">
        <v>300900</v>
      </c>
      <c r="D274" t="s">
        <v>1421</v>
      </c>
      <c r="E274" t="s">
        <v>1015</v>
      </c>
      <c r="F274" t="s">
        <v>31</v>
      </c>
      <c r="G274" t="s">
        <v>1121</v>
      </c>
      <c r="H274" t="s">
        <v>33</v>
      </c>
      <c r="I274" t="s">
        <v>255</v>
      </c>
      <c r="J274" t="s">
        <v>255</v>
      </c>
      <c r="K274" t="s">
        <v>1422</v>
      </c>
      <c r="L274">
        <v>21.82</v>
      </c>
      <c r="M274">
        <v>3277.794</v>
      </c>
      <c r="N274" t="s">
        <v>1329</v>
      </c>
      <c r="O274">
        <v>20.84</v>
      </c>
      <c r="P274">
        <v>3119.98</v>
      </c>
      <c r="Q274" s="1">
        <f t="shared" si="25"/>
        <v>-0.0449129239230064</v>
      </c>
      <c r="R274" s="1">
        <f t="shared" si="26"/>
        <v>-0.04814640578389</v>
      </c>
      <c r="S274" t="s">
        <v>1209</v>
      </c>
      <c r="T274">
        <v>20.21</v>
      </c>
      <c r="U274">
        <v>3224.406</v>
      </c>
      <c r="V274" s="1">
        <f t="shared" si="27"/>
        <v>-0.0302303262955854</v>
      </c>
      <c r="W274" s="1">
        <f t="shared" si="28"/>
        <v>0.0334700863467073</v>
      </c>
      <c r="X274" t="s">
        <v>1121</v>
      </c>
      <c r="Y274">
        <v>22.82</v>
      </c>
      <c r="Z274">
        <v>3265.748</v>
      </c>
      <c r="AA274" s="2">
        <f t="shared" si="29"/>
        <v>0.129143988124691</v>
      </c>
      <c r="AB274" s="2">
        <f t="shared" si="30"/>
        <v>0.0128215863635039</v>
      </c>
      <c r="AC274" t="s">
        <v>1266</v>
      </c>
      <c r="AD274">
        <v>22.09</v>
      </c>
      <c r="AE274">
        <v>3385.61</v>
      </c>
      <c r="AF274" s="2">
        <f t="shared" si="31"/>
        <v>-0.0319894829097283</v>
      </c>
      <c r="AG274" s="2">
        <f t="shared" si="32"/>
        <v>0.0367027706975554</v>
      </c>
      <c r="AH274" t="s">
        <v>1423</v>
      </c>
      <c r="AI274" t="s">
        <v>41</v>
      </c>
      <c r="AJ274" t="s">
        <v>41</v>
      </c>
    </row>
    <row r="275" spans="1:36">
      <c r="A275">
        <v>118033</v>
      </c>
      <c r="B275" t="s">
        <v>1424</v>
      </c>
      <c r="C275">
        <v>688268</v>
      </c>
      <c r="D275" t="s">
        <v>1425</v>
      </c>
      <c r="E275" t="s">
        <v>1426</v>
      </c>
      <c r="F275" t="s">
        <v>56</v>
      </c>
      <c r="G275" t="s">
        <v>1300</v>
      </c>
      <c r="H275" t="s">
        <v>33</v>
      </c>
      <c r="I275" t="s">
        <v>255</v>
      </c>
      <c r="J275" t="s">
        <v>255</v>
      </c>
      <c r="K275" t="s">
        <v>1328</v>
      </c>
      <c r="L275">
        <v>69.81</v>
      </c>
      <c r="M275">
        <v>3364.398</v>
      </c>
      <c r="N275" t="s">
        <v>1427</v>
      </c>
      <c r="O275">
        <v>84.67</v>
      </c>
      <c r="P275">
        <v>3089.31</v>
      </c>
      <c r="Q275" s="1">
        <f t="shared" si="25"/>
        <v>0.212863486606503</v>
      </c>
      <c r="R275" s="1">
        <f t="shared" si="26"/>
        <v>-0.0817644048058524</v>
      </c>
      <c r="S275" t="s">
        <v>1209</v>
      </c>
      <c r="T275">
        <v>79.35</v>
      </c>
      <c r="U275">
        <v>3224.406</v>
      </c>
      <c r="V275" s="1">
        <f t="shared" si="27"/>
        <v>-0.0628321719617339</v>
      </c>
      <c r="W275" s="1">
        <f t="shared" si="28"/>
        <v>0.0437301533352108</v>
      </c>
      <c r="X275" t="s">
        <v>1300</v>
      </c>
      <c r="Y275">
        <v>84.5</v>
      </c>
      <c r="Z275">
        <v>3255.651</v>
      </c>
      <c r="AA275" s="2">
        <f t="shared" si="29"/>
        <v>0.0649023314429742</v>
      </c>
      <c r="AB275" s="2">
        <f t="shared" si="30"/>
        <v>0.00969015688470989</v>
      </c>
      <c r="AC275" t="s">
        <v>1305</v>
      </c>
      <c r="AD275">
        <v>100.49</v>
      </c>
      <c r="AE275">
        <v>3338.153</v>
      </c>
      <c r="AF275" s="2">
        <f t="shared" si="31"/>
        <v>0.189230769230769</v>
      </c>
      <c r="AG275" s="2">
        <f t="shared" si="32"/>
        <v>0.0253411683254747</v>
      </c>
      <c r="AH275" t="s">
        <v>1428</v>
      </c>
      <c r="AI275" t="s">
        <v>41</v>
      </c>
      <c r="AJ275" t="s">
        <v>41</v>
      </c>
    </row>
    <row r="276" spans="1:36">
      <c r="A276">
        <v>123181</v>
      </c>
      <c r="B276" t="s">
        <v>1429</v>
      </c>
      <c r="C276">
        <v>301085</v>
      </c>
      <c r="D276" t="s">
        <v>1430</v>
      </c>
      <c r="E276" t="s">
        <v>1431</v>
      </c>
      <c r="F276" t="s">
        <v>41</v>
      </c>
      <c r="G276" t="s">
        <v>1300</v>
      </c>
      <c r="H276" t="s">
        <v>621</v>
      </c>
      <c r="I276" t="s">
        <v>255</v>
      </c>
      <c r="J276" t="s">
        <v>255</v>
      </c>
      <c r="K276" t="s">
        <v>1432</v>
      </c>
      <c r="L276">
        <v>30.82</v>
      </c>
      <c r="M276">
        <v>3275.755</v>
      </c>
      <c r="N276" t="s">
        <v>1433</v>
      </c>
      <c r="O276">
        <v>28.98</v>
      </c>
      <c r="P276">
        <v>3165.471</v>
      </c>
      <c r="Q276" s="1">
        <f t="shared" si="25"/>
        <v>-0.0597014925373134</v>
      </c>
      <c r="R276" s="1">
        <f t="shared" si="26"/>
        <v>-0.033666742476162</v>
      </c>
      <c r="S276" t="s">
        <v>1377</v>
      </c>
      <c r="T276">
        <v>38.31</v>
      </c>
      <c r="U276">
        <v>3249.03</v>
      </c>
      <c r="V276" s="1">
        <f t="shared" si="27"/>
        <v>0.321946169772257</v>
      </c>
      <c r="W276" s="1">
        <f t="shared" si="28"/>
        <v>0.0263970195904496</v>
      </c>
      <c r="X276" t="s">
        <v>1300</v>
      </c>
      <c r="Y276">
        <v>36.01</v>
      </c>
      <c r="Z276">
        <v>3255.651</v>
      </c>
      <c r="AA276" s="2">
        <f t="shared" si="29"/>
        <v>-0.0600365439832943</v>
      </c>
      <c r="AB276" s="2">
        <f t="shared" si="30"/>
        <v>0.00203783898578949</v>
      </c>
      <c r="AC276" t="s">
        <v>952</v>
      </c>
      <c r="AD276">
        <v>40.3</v>
      </c>
      <c r="AE276">
        <v>3313.571</v>
      </c>
      <c r="AF276" s="2">
        <f t="shared" si="31"/>
        <v>0.11913357400722</v>
      </c>
      <c r="AG276" s="2">
        <f t="shared" si="32"/>
        <v>0.0177906047054798</v>
      </c>
      <c r="AH276" t="s">
        <v>1428</v>
      </c>
      <c r="AI276" t="s">
        <v>927</v>
      </c>
      <c r="AJ276" t="s">
        <v>625</v>
      </c>
    </row>
    <row r="277" hidden="1" spans="1:36">
      <c r="A277">
        <v>113667</v>
      </c>
      <c r="B277" t="s">
        <v>1434</v>
      </c>
      <c r="C277">
        <v>603890</v>
      </c>
      <c r="D277" t="s">
        <v>1435</v>
      </c>
      <c r="E277" t="s">
        <v>1135</v>
      </c>
      <c r="F277" t="s">
        <v>56</v>
      </c>
      <c r="G277" t="s">
        <v>1330</v>
      </c>
      <c r="H277" t="s">
        <v>33</v>
      </c>
      <c r="I277" t="s">
        <v>255</v>
      </c>
      <c r="J277" t="s">
        <v>255</v>
      </c>
      <c r="K277" t="s">
        <v>255</v>
      </c>
      <c r="L277" t="s">
        <v>41</v>
      </c>
      <c r="M277" t="s">
        <v>41</v>
      </c>
      <c r="N277" t="s">
        <v>255</v>
      </c>
      <c r="O277" t="s">
        <v>41</v>
      </c>
      <c r="P277" t="s">
        <v>41</v>
      </c>
      <c r="Q277" s="2"/>
      <c r="R277" s="2"/>
      <c r="S277" t="s">
        <v>255</v>
      </c>
      <c r="T277" t="s">
        <v>41</v>
      </c>
      <c r="U277" t="s">
        <v>41</v>
      </c>
      <c r="V277" s="2"/>
      <c r="W277" s="2"/>
      <c r="X277" t="s">
        <v>1330</v>
      </c>
      <c r="Y277">
        <v>9.01</v>
      </c>
      <c r="Z277">
        <v>3250.546</v>
      </c>
      <c r="AA277" s="2"/>
      <c r="AB277" s="2"/>
      <c r="AC277" t="s">
        <v>952</v>
      </c>
      <c r="AD277">
        <v>9.57</v>
      </c>
      <c r="AE277">
        <v>3313.571</v>
      </c>
      <c r="AF277" s="2">
        <f t="shared" si="31"/>
        <v>0.0621531631520533</v>
      </c>
      <c r="AG277" s="2">
        <f t="shared" si="32"/>
        <v>0.019389050331852</v>
      </c>
      <c r="AH277" t="s">
        <v>1436</v>
      </c>
      <c r="AI277" t="s">
        <v>41</v>
      </c>
      <c r="AJ277" t="s">
        <v>41</v>
      </c>
    </row>
    <row r="278" hidden="1" spans="1:36">
      <c r="A278">
        <v>110093</v>
      </c>
      <c r="B278" t="s">
        <v>1437</v>
      </c>
      <c r="C278">
        <v>600810</v>
      </c>
      <c r="D278" t="s">
        <v>1438</v>
      </c>
      <c r="E278" t="s">
        <v>325</v>
      </c>
      <c r="F278" t="s">
        <v>444</v>
      </c>
      <c r="G278" t="s">
        <v>1054</v>
      </c>
      <c r="H278" t="s">
        <v>33</v>
      </c>
      <c r="I278" t="s">
        <v>255</v>
      </c>
      <c r="J278" t="s">
        <v>255</v>
      </c>
      <c r="K278" t="s">
        <v>255</v>
      </c>
      <c r="L278" t="s">
        <v>41</v>
      </c>
      <c r="M278" t="s">
        <v>41</v>
      </c>
      <c r="N278" t="s">
        <v>255</v>
      </c>
      <c r="O278" t="s">
        <v>41</v>
      </c>
      <c r="P278" t="s">
        <v>41</v>
      </c>
      <c r="Q278" s="2"/>
      <c r="R278" s="2"/>
      <c r="S278" t="s">
        <v>255</v>
      </c>
      <c r="T278" t="s">
        <v>41</v>
      </c>
      <c r="U278" t="s">
        <v>41</v>
      </c>
      <c r="V278" s="2"/>
      <c r="W278" s="2"/>
      <c r="X278" t="s">
        <v>1054</v>
      </c>
      <c r="Y278">
        <v>7.48</v>
      </c>
      <c r="Z278">
        <v>3226.891</v>
      </c>
      <c r="AA278" s="2"/>
      <c r="AB278" s="2"/>
      <c r="AC278" t="s">
        <v>818</v>
      </c>
      <c r="AD278">
        <v>7.53</v>
      </c>
      <c r="AE278">
        <v>3367.031</v>
      </c>
      <c r="AF278" s="2">
        <f t="shared" si="31"/>
        <v>0.0066844919786096</v>
      </c>
      <c r="AG278" s="2">
        <f t="shared" si="32"/>
        <v>0.0434287988035542</v>
      </c>
      <c r="AH278" t="s">
        <v>1439</v>
      </c>
      <c r="AI278" t="s">
        <v>41</v>
      </c>
      <c r="AJ278" t="s">
        <v>41</v>
      </c>
    </row>
    <row r="279" hidden="1" spans="1:36">
      <c r="A279">
        <v>113066</v>
      </c>
      <c r="B279" t="s">
        <v>1440</v>
      </c>
      <c r="C279">
        <v>601666</v>
      </c>
      <c r="D279" t="s">
        <v>1441</v>
      </c>
      <c r="E279" t="s">
        <v>1442</v>
      </c>
      <c r="F279" t="s">
        <v>444</v>
      </c>
      <c r="G279" t="s">
        <v>1054</v>
      </c>
      <c r="H279" t="s">
        <v>33</v>
      </c>
      <c r="I279" t="s">
        <v>255</v>
      </c>
      <c r="J279" t="s">
        <v>255</v>
      </c>
      <c r="K279" t="s">
        <v>255</v>
      </c>
      <c r="L279" t="s">
        <v>41</v>
      </c>
      <c r="M279" t="s">
        <v>41</v>
      </c>
      <c r="N279" t="s">
        <v>255</v>
      </c>
      <c r="O279" t="s">
        <v>41</v>
      </c>
      <c r="P279" t="s">
        <v>41</v>
      </c>
      <c r="Q279" s="2"/>
      <c r="R279" s="2"/>
      <c r="S279" t="s">
        <v>255</v>
      </c>
      <c r="T279" t="s">
        <v>41</v>
      </c>
      <c r="U279" t="s">
        <v>41</v>
      </c>
      <c r="V279" s="2"/>
      <c r="W279" s="2"/>
      <c r="X279" t="s">
        <v>1054</v>
      </c>
      <c r="Y279">
        <v>7.98</v>
      </c>
      <c r="Z279">
        <v>3226.891</v>
      </c>
      <c r="AA279" s="2"/>
      <c r="AB279" s="2"/>
      <c r="AC279" t="s">
        <v>1249</v>
      </c>
      <c r="AD279">
        <v>7.41</v>
      </c>
      <c r="AE279">
        <v>3315.358</v>
      </c>
      <c r="AF279" s="2">
        <f t="shared" si="31"/>
        <v>-0.0714285714285715</v>
      </c>
      <c r="AG279" s="2">
        <f t="shared" si="32"/>
        <v>0.0274155526170546</v>
      </c>
      <c r="AH279" t="s">
        <v>1439</v>
      </c>
      <c r="AI279" t="s">
        <v>41</v>
      </c>
      <c r="AJ279" t="s">
        <v>41</v>
      </c>
    </row>
    <row r="280" spans="1:36">
      <c r="A280">
        <v>123180</v>
      </c>
      <c r="B280" t="s">
        <v>1443</v>
      </c>
      <c r="C280">
        <v>300837</v>
      </c>
      <c r="D280" t="s">
        <v>1444</v>
      </c>
      <c r="E280" t="s">
        <v>1308</v>
      </c>
      <c r="F280" t="s">
        <v>56</v>
      </c>
      <c r="G280" t="s">
        <v>1445</v>
      </c>
      <c r="H280" t="s">
        <v>33</v>
      </c>
      <c r="I280" t="s">
        <v>255</v>
      </c>
      <c r="J280" t="s">
        <v>255</v>
      </c>
      <c r="K280" t="s">
        <v>1446</v>
      </c>
      <c r="L280">
        <v>42.9</v>
      </c>
      <c r="M280">
        <v>3277.544</v>
      </c>
      <c r="N280" t="s">
        <v>1370</v>
      </c>
      <c r="O280">
        <v>40.5</v>
      </c>
      <c r="P280">
        <v>3167.858</v>
      </c>
      <c r="Q280" s="1">
        <f t="shared" si="25"/>
        <v>-0.0559440559440559</v>
      </c>
      <c r="R280" s="1">
        <f t="shared" si="26"/>
        <v>-0.0334659122806588</v>
      </c>
      <c r="S280" t="s">
        <v>875</v>
      </c>
      <c r="T280">
        <v>45.11</v>
      </c>
      <c r="U280">
        <v>3284.16</v>
      </c>
      <c r="V280" s="1">
        <f t="shared" si="27"/>
        <v>0.113827160493827</v>
      </c>
      <c r="W280" s="1">
        <f t="shared" si="28"/>
        <v>0.0367131355003916</v>
      </c>
      <c r="X280" t="s">
        <v>1445</v>
      </c>
      <c r="Y280">
        <v>46.9</v>
      </c>
      <c r="Z280">
        <v>3276.094</v>
      </c>
      <c r="AA280" s="2">
        <f t="shared" si="29"/>
        <v>0.0396807803147861</v>
      </c>
      <c r="AB280" s="2">
        <f t="shared" si="30"/>
        <v>-0.0024560313748416</v>
      </c>
      <c r="AC280" t="s">
        <v>1017</v>
      </c>
      <c r="AD280">
        <v>44.85</v>
      </c>
      <c r="AE280">
        <v>3245.376</v>
      </c>
      <c r="AF280" s="2">
        <f t="shared" si="31"/>
        <v>-0.0437100213219616</v>
      </c>
      <c r="AG280" s="2">
        <f t="shared" si="32"/>
        <v>-0.00937640983439421</v>
      </c>
      <c r="AH280" t="s">
        <v>1447</v>
      </c>
      <c r="AI280" t="s">
        <v>41</v>
      </c>
      <c r="AJ280" t="s">
        <v>41</v>
      </c>
    </row>
    <row r="281" hidden="1" spans="1:36">
      <c r="A281">
        <v>127082</v>
      </c>
      <c r="B281" t="s">
        <v>1448</v>
      </c>
      <c r="C281">
        <v>2540</v>
      </c>
      <c r="D281" t="s">
        <v>1449</v>
      </c>
      <c r="E281" t="s">
        <v>1450</v>
      </c>
      <c r="F281" t="s">
        <v>397</v>
      </c>
      <c r="G281" t="s">
        <v>1445</v>
      </c>
      <c r="H281" t="s">
        <v>33</v>
      </c>
      <c r="I281" t="s">
        <v>255</v>
      </c>
      <c r="J281" t="s">
        <v>255</v>
      </c>
      <c r="K281" t="s">
        <v>255</v>
      </c>
      <c r="L281" t="s">
        <v>41</v>
      </c>
      <c r="M281" t="s">
        <v>41</v>
      </c>
      <c r="N281" t="s">
        <v>255</v>
      </c>
      <c r="O281" t="s">
        <v>41</v>
      </c>
      <c r="P281" t="s">
        <v>41</v>
      </c>
      <c r="Q281" s="2"/>
      <c r="R281" s="2"/>
      <c r="S281" t="s">
        <v>255</v>
      </c>
      <c r="T281" t="s">
        <v>41</v>
      </c>
      <c r="U281" t="s">
        <v>41</v>
      </c>
      <c r="V281" s="2"/>
      <c r="W281" s="2"/>
      <c r="X281" t="s">
        <v>1445</v>
      </c>
      <c r="Y281">
        <v>5.19</v>
      </c>
      <c r="Z281">
        <v>3276.094</v>
      </c>
      <c r="AA281" s="2"/>
      <c r="AB281" s="2"/>
      <c r="AC281" t="s">
        <v>798</v>
      </c>
      <c r="AD281">
        <v>4.44</v>
      </c>
      <c r="AE281">
        <v>3285.884</v>
      </c>
      <c r="AF281" s="2">
        <f t="shared" si="31"/>
        <v>-0.144508670520231</v>
      </c>
      <c r="AG281" s="2">
        <f t="shared" si="32"/>
        <v>0.00298831474310565</v>
      </c>
      <c r="AH281" t="s">
        <v>1447</v>
      </c>
      <c r="AI281" t="s">
        <v>41</v>
      </c>
      <c r="AJ281" t="s">
        <v>41</v>
      </c>
    </row>
    <row r="282" spans="1:36">
      <c r="A282">
        <v>118032</v>
      </c>
      <c r="B282" t="s">
        <v>1451</v>
      </c>
      <c r="C282">
        <v>688357</v>
      </c>
      <c r="D282" t="s">
        <v>1452</v>
      </c>
      <c r="E282" t="s">
        <v>1015</v>
      </c>
      <c r="F282" t="s">
        <v>56</v>
      </c>
      <c r="G282" t="s">
        <v>1453</v>
      </c>
      <c r="H282" t="s">
        <v>33</v>
      </c>
      <c r="I282" t="s">
        <v>255</v>
      </c>
      <c r="J282" t="s">
        <v>255</v>
      </c>
      <c r="K282" t="s">
        <v>1173</v>
      </c>
      <c r="L282">
        <v>55.22</v>
      </c>
      <c r="M282">
        <v>3269.974</v>
      </c>
      <c r="N282" t="s">
        <v>1454</v>
      </c>
      <c r="O282">
        <v>72.65</v>
      </c>
      <c r="P282">
        <v>3134.078</v>
      </c>
      <c r="Q282" s="1">
        <f t="shared" si="25"/>
        <v>0.315646504889533</v>
      </c>
      <c r="R282" s="1">
        <f t="shared" si="26"/>
        <v>-0.0415587402223994</v>
      </c>
      <c r="S282" t="s">
        <v>1455</v>
      </c>
      <c r="T282">
        <v>62.56</v>
      </c>
      <c r="U282">
        <v>3248.094</v>
      </c>
      <c r="V282" s="1">
        <f t="shared" si="27"/>
        <v>-0.138885065381968</v>
      </c>
      <c r="W282" s="1">
        <f t="shared" si="28"/>
        <v>0.0363794391843471</v>
      </c>
      <c r="X282" t="s">
        <v>1453</v>
      </c>
      <c r="Y282">
        <v>68.61</v>
      </c>
      <c r="Z282">
        <v>3283.248</v>
      </c>
      <c r="AA282" s="2">
        <f t="shared" si="29"/>
        <v>0.0967071611253196</v>
      </c>
      <c r="AB282" s="2">
        <f t="shared" si="30"/>
        <v>0.0108229626359336</v>
      </c>
      <c r="AC282" t="s">
        <v>1080</v>
      </c>
      <c r="AD282">
        <v>56.45</v>
      </c>
      <c r="AE282">
        <v>3327.646</v>
      </c>
      <c r="AF282" s="2">
        <f t="shared" si="31"/>
        <v>-0.177233639411165</v>
      </c>
      <c r="AG282" s="2">
        <f t="shared" si="32"/>
        <v>0.0135225849524618</v>
      </c>
      <c r="AH282" t="s">
        <v>1456</v>
      </c>
      <c r="AI282" t="s">
        <v>41</v>
      </c>
      <c r="AJ282" t="s">
        <v>41</v>
      </c>
    </row>
    <row r="283" hidden="1" spans="1:36">
      <c r="A283">
        <v>111013</v>
      </c>
      <c r="B283" t="s">
        <v>1457</v>
      </c>
      <c r="C283">
        <v>605162</v>
      </c>
      <c r="D283" t="s">
        <v>1458</v>
      </c>
      <c r="E283" t="s">
        <v>1459</v>
      </c>
      <c r="F283" t="s">
        <v>56</v>
      </c>
      <c r="G283" t="s">
        <v>1453</v>
      </c>
      <c r="H283" t="s">
        <v>33</v>
      </c>
      <c r="I283" t="s">
        <v>255</v>
      </c>
      <c r="J283" t="s">
        <v>255</v>
      </c>
      <c r="K283" t="s">
        <v>255</v>
      </c>
      <c r="L283" t="s">
        <v>41</v>
      </c>
      <c r="M283" t="s">
        <v>41</v>
      </c>
      <c r="N283" t="s">
        <v>255</v>
      </c>
      <c r="O283" t="s">
        <v>41</v>
      </c>
      <c r="P283" t="s">
        <v>41</v>
      </c>
      <c r="Q283" s="2"/>
      <c r="R283" s="2"/>
      <c r="S283" t="s">
        <v>255</v>
      </c>
      <c r="T283" t="s">
        <v>41</v>
      </c>
      <c r="U283" t="s">
        <v>41</v>
      </c>
      <c r="V283" s="2"/>
      <c r="W283" s="2"/>
      <c r="X283" t="s">
        <v>1453</v>
      </c>
      <c r="Y283">
        <v>8.97</v>
      </c>
      <c r="Z283">
        <v>3283.248</v>
      </c>
      <c r="AA283" s="2"/>
      <c r="AB283" s="2"/>
      <c r="AC283" t="s">
        <v>1066</v>
      </c>
      <c r="AD283">
        <v>8.08</v>
      </c>
      <c r="AE283">
        <v>3334.503</v>
      </c>
      <c r="AF283" s="2">
        <f t="shared" si="31"/>
        <v>-0.0992196209587514</v>
      </c>
      <c r="AG283" s="2">
        <f t="shared" si="32"/>
        <v>0.0156110656276955</v>
      </c>
      <c r="AH283" t="s">
        <v>1456</v>
      </c>
      <c r="AI283" t="s">
        <v>41</v>
      </c>
      <c r="AJ283" t="s">
        <v>41</v>
      </c>
    </row>
    <row r="284" spans="1:36">
      <c r="A284">
        <v>123179</v>
      </c>
      <c r="B284" t="s">
        <v>1460</v>
      </c>
      <c r="C284">
        <v>300973</v>
      </c>
      <c r="D284" t="s">
        <v>1461</v>
      </c>
      <c r="E284" t="s">
        <v>1462</v>
      </c>
      <c r="F284" t="s">
        <v>56</v>
      </c>
      <c r="G284" t="s">
        <v>931</v>
      </c>
      <c r="H284" t="s">
        <v>33</v>
      </c>
      <c r="I284" t="s">
        <v>255</v>
      </c>
      <c r="J284" t="s">
        <v>255</v>
      </c>
      <c r="K284" t="s">
        <v>1414</v>
      </c>
      <c r="L284">
        <v>77.28</v>
      </c>
      <c r="M284">
        <v>3186.266</v>
      </c>
      <c r="N284" t="s">
        <v>1243</v>
      </c>
      <c r="O284">
        <v>86.72</v>
      </c>
      <c r="P284">
        <v>3036.132</v>
      </c>
      <c r="Q284" s="1">
        <f t="shared" si="25"/>
        <v>0.122153209109731</v>
      </c>
      <c r="R284" s="1">
        <f t="shared" si="26"/>
        <v>-0.0471191043057924</v>
      </c>
      <c r="S284" t="s">
        <v>1209</v>
      </c>
      <c r="T284">
        <v>91.84</v>
      </c>
      <c r="U284">
        <v>3224.406</v>
      </c>
      <c r="V284" s="1">
        <f t="shared" si="27"/>
        <v>0.0590405904059041</v>
      </c>
      <c r="W284" s="1">
        <f t="shared" si="28"/>
        <v>0.0620111378556663</v>
      </c>
      <c r="X284" t="s">
        <v>931</v>
      </c>
      <c r="Y284">
        <v>97.96</v>
      </c>
      <c r="Z284">
        <v>3285.099</v>
      </c>
      <c r="AA284" s="2">
        <f t="shared" si="29"/>
        <v>0.0666376306620208</v>
      </c>
      <c r="AB284" s="2">
        <f t="shared" si="30"/>
        <v>0.0188230018180093</v>
      </c>
      <c r="AC284" t="s">
        <v>1402</v>
      </c>
      <c r="AD284">
        <v>98</v>
      </c>
      <c r="AE284">
        <v>3251.397</v>
      </c>
      <c r="AF284" s="2">
        <f t="shared" si="31"/>
        <v>0.000408329930583976</v>
      </c>
      <c r="AG284" s="2">
        <f t="shared" si="32"/>
        <v>-0.0102590515536975</v>
      </c>
      <c r="AH284" t="s">
        <v>1463</v>
      </c>
      <c r="AI284" t="s">
        <v>41</v>
      </c>
      <c r="AJ284" t="s">
        <v>41</v>
      </c>
    </row>
    <row r="285" spans="1:36">
      <c r="A285">
        <v>123178</v>
      </c>
      <c r="B285" t="s">
        <v>1464</v>
      </c>
      <c r="C285">
        <v>300401</v>
      </c>
      <c r="D285" t="s">
        <v>1465</v>
      </c>
      <c r="E285" t="s">
        <v>232</v>
      </c>
      <c r="F285" t="s">
        <v>56</v>
      </c>
      <c r="G285" t="s">
        <v>1004</v>
      </c>
      <c r="H285" t="s">
        <v>33</v>
      </c>
      <c r="I285" t="s">
        <v>255</v>
      </c>
      <c r="J285" t="s">
        <v>255</v>
      </c>
      <c r="K285" t="s">
        <v>1466</v>
      </c>
      <c r="L285">
        <v>17.56</v>
      </c>
      <c r="M285">
        <v>3281.665</v>
      </c>
      <c r="N285" t="s">
        <v>1329</v>
      </c>
      <c r="O285">
        <v>16.19</v>
      </c>
      <c r="P285">
        <v>3119.98</v>
      </c>
      <c r="Q285" s="1">
        <f t="shared" si="25"/>
        <v>-0.078018223234624</v>
      </c>
      <c r="R285" s="1">
        <f t="shared" si="26"/>
        <v>-0.04926919719106</v>
      </c>
      <c r="S285" t="s">
        <v>875</v>
      </c>
      <c r="T285">
        <v>15.17</v>
      </c>
      <c r="U285">
        <v>3284.16</v>
      </c>
      <c r="V285" s="1">
        <f t="shared" si="27"/>
        <v>-0.0630018529956764</v>
      </c>
      <c r="W285" s="1">
        <f t="shared" si="28"/>
        <v>0.052622132193155</v>
      </c>
      <c r="X285" t="s">
        <v>1004</v>
      </c>
      <c r="Y285">
        <v>14.3</v>
      </c>
      <c r="Z285">
        <v>3322.026</v>
      </c>
      <c r="AA285" s="2">
        <f t="shared" si="29"/>
        <v>-0.057350032959789</v>
      </c>
      <c r="AB285" s="2">
        <f t="shared" si="30"/>
        <v>0.011529888921368</v>
      </c>
      <c r="AC285" t="s">
        <v>1253</v>
      </c>
      <c r="AD285">
        <v>13.99</v>
      </c>
      <c r="AE285">
        <v>3286.649</v>
      </c>
      <c r="AF285" s="2">
        <f t="shared" si="31"/>
        <v>-0.0216783216783217</v>
      </c>
      <c r="AG285" s="2">
        <f t="shared" si="32"/>
        <v>-0.0106492242986659</v>
      </c>
      <c r="AH285" t="s">
        <v>1467</v>
      </c>
      <c r="AI285" t="s">
        <v>41</v>
      </c>
      <c r="AJ285" t="s">
        <v>41</v>
      </c>
    </row>
    <row r="286" hidden="1" spans="1:36">
      <c r="A286">
        <v>127081</v>
      </c>
      <c r="B286" t="s">
        <v>1468</v>
      </c>
      <c r="C286">
        <v>1212</v>
      </c>
      <c r="D286" t="s">
        <v>1469</v>
      </c>
      <c r="E286" t="s">
        <v>1470</v>
      </c>
      <c r="F286" t="s">
        <v>31</v>
      </c>
      <c r="G286" t="s">
        <v>728</v>
      </c>
      <c r="H286" t="s">
        <v>33</v>
      </c>
      <c r="I286" t="s">
        <v>255</v>
      </c>
      <c r="J286" t="s">
        <v>255</v>
      </c>
      <c r="K286" t="s">
        <v>255</v>
      </c>
      <c r="L286" t="s">
        <v>41</v>
      </c>
      <c r="M286" t="s">
        <v>41</v>
      </c>
      <c r="N286" t="s">
        <v>255</v>
      </c>
      <c r="O286" t="s">
        <v>41</v>
      </c>
      <c r="P286" t="s">
        <v>41</v>
      </c>
      <c r="Q286" s="2"/>
      <c r="R286" s="2"/>
      <c r="S286" t="s">
        <v>255</v>
      </c>
      <c r="T286" t="s">
        <v>41</v>
      </c>
      <c r="U286" t="s">
        <v>41</v>
      </c>
      <c r="V286" s="2"/>
      <c r="W286" s="2"/>
      <c r="X286" t="s">
        <v>728</v>
      </c>
      <c r="Y286">
        <v>20.68</v>
      </c>
      <c r="Z286">
        <v>3328.393</v>
      </c>
      <c r="AA286" s="2"/>
      <c r="AB286" s="2"/>
      <c r="AC286" t="s">
        <v>702</v>
      </c>
      <c r="AD286">
        <v>19.62</v>
      </c>
      <c r="AE286">
        <v>3264.872</v>
      </c>
      <c r="AF286" s="2">
        <f t="shared" si="31"/>
        <v>-0.0512572533849129</v>
      </c>
      <c r="AG286" s="2">
        <f t="shared" si="32"/>
        <v>-0.0190845852638196</v>
      </c>
      <c r="AH286" t="s">
        <v>1471</v>
      </c>
      <c r="AI286" t="s">
        <v>847</v>
      </c>
      <c r="AJ286" t="s">
        <v>625</v>
      </c>
    </row>
    <row r="287" spans="1:36">
      <c r="A287">
        <v>123177</v>
      </c>
      <c r="B287" t="s">
        <v>1472</v>
      </c>
      <c r="C287">
        <v>300826</v>
      </c>
      <c r="D287" t="s">
        <v>1473</v>
      </c>
      <c r="E287" t="s">
        <v>1474</v>
      </c>
      <c r="F287" t="s">
        <v>31</v>
      </c>
      <c r="G287" t="s">
        <v>757</v>
      </c>
      <c r="H287" t="s">
        <v>33</v>
      </c>
      <c r="I287" t="s">
        <v>255</v>
      </c>
      <c r="J287" t="s">
        <v>255</v>
      </c>
      <c r="K287" t="s">
        <v>1419</v>
      </c>
      <c r="L287">
        <v>12.95</v>
      </c>
      <c r="M287">
        <v>3284.292</v>
      </c>
      <c r="N287" t="s">
        <v>1427</v>
      </c>
      <c r="O287">
        <v>12.18</v>
      </c>
      <c r="P287">
        <v>3089.31</v>
      </c>
      <c r="Q287" s="1">
        <f t="shared" si="25"/>
        <v>-0.0594594594594594</v>
      </c>
      <c r="R287" s="1">
        <f t="shared" si="26"/>
        <v>-0.0593680464465401</v>
      </c>
      <c r="S287" t="s">
        <v>875</v>
      </c>
      <c r="T287">
        <v>12.86</v>
      </c>
      <c r="U287">
        <v>3284.16</v>
      </c>
      <c r="V287" s="1">
        <f t="shared" si="27"/>
        <v>0.0558292282430213</v>
      </c>
      <c r="W287" s="1">
        <f t="shared" si="28"/>
        <v>0.0630723365411694</v>
      </c>
      <c r="X287" t="s">
        <v>757</v>
      </c>
      <c r="Y287">
        <v>13.61</v>
      </c>
      <c r="Z287">
        <v>3310.654</v>
      </c>
      <c r="AA287" s="2">
        <f t="shared" si="29"/>
        <v>0.0583203732503888</v>
      </c>
      <c r="AB287" s="2">
        <f t="shared" si="30"/>
        <v>0.00806720744421713</v>
      </c>
      <c r="AC287" t="s">
        <v>77</v>
      </c>
      <c r="AD287">
        <v>14.38</v>
      </c>
      <c r="AE287">
        <v>3265.654</v>
      </c>
      <c r="AF287" s="2">
        <f t="shared" si="31"/>
        <v>0.056576047024247</v>
      </c>
      <c r="AG287" s="2">
        <f t="shared" si="32"/>
        <v>-0.0135924805189549</v>
      </c>
      <c r="AH287" t="s">
        <v>1475</v>
      </c>
      <c r="AI287" t="s">
        <v>141</v>
      </c>
      <c r="AJ287" t="s">
        <v>625</v>
      </c>
    </row>
    <row r="288" spans="1:36">
      <c r="A288">
        <v>123176</v>
      </c>
      <c r="B288" t="s">
        <v>1476</v>
      </c>
      <c r="C288">
        <v>300567</v>
      </c>
      <c r="D288" t="s">
        <v>1477</v>
      </c>
      <c r="E288" t="s">
        <v>1478</v>
      </c>
      <c r="F288" t="s">
        <v>56</v>
      </c>
      <c r="G288" t="s">
        <v>757</v>
      </c>
      <c r="H288" t="s">
        <v>33</v>
      </c>
      <c r="I288" t="s">
        <v>255</v>
      </c>
      <c r="J288" t="s">
        <v>255</v>
      </c>
      <c r="K288" t="s">
        <v>1073</v>
      </c>
      <c r="L288">
        <v>41.75</v>
      </c>
      <c r="M288">
        <v>3379.185</v>
      </c>
      <c r="N288" t="s">
        <v>1189</v>
      </c>
      <c r="O288">
        <v>51.3</v>
      </c>
      <c r="P288">
        <v>2915.926</v>
      </c>
      <c r="Q288" s="1">
        <f t="shared" si="25"/>
        <v>0.22874251497006</v>
      </c>
      <c r="R288" s="1">
        <f t="shared" si="26"/>
        <v>-0.137091931930332</v>
      </c>
      <c r="S288" t="s">
        <v>1455</v>
      </c>
      <c r="T288">
        <v>60.8</v>
      </c>
      <c r="U288">
        <v>3248.094</v>
      </c>
      <c r="V288" s="1">
        <f t="shared" si="27"/>
        <v>0.185185185185185</v>
      </c>
      <c r="W288" s="1">
        <f t="shared" si="28"/>
        <v>0.113915099354373</v>
      </c>
      <c r="X288" t="s">
        <v>757</v>
      </c>
      <c r="Y288">
        <v>62.38</v>
      </c>
      <c r="Z288">
        <v>3310.654</v>
      </c>
      <c r="AA288" s="2">
        <f t="shared" si="29"/>
        <v>0.0259868421052632</v>
      </c>
      <c r="AB288" s="2">
        <f t="shared" si="30"/>
        <v>0.0192605263271321</v>
      </c>
      <c r="AC288" t="s">
        <v>1121</v>
      </c>
      <c r="AD288">
        <v>64.68</v>
      </c>
      <c r="AE288">
        <v>3265.748</v>
      </c>
      <c r="AF288" s="2">
        <f t="shared" si="31"/>
        <v>0.0368707919204874</v>
      </c>
      <c r="AG288" s="2">
        <f t="shared" si="32"/>
        <v>-0.0135640873374264</v>
      </c>
      <c r="AH288" t="s">
        <v>1475</v>
      </c>
      <c r="AI288" t="s">
        <v>41</v>
      </c>
      <c r="AJ288" t="s">
        <v>41</v>
      </c>
    </row>
    <row r="289" hidden="1" spans="1:36">
      <c r="A289">
        <v>113666</v>
      </c>
      <c r="B289" t="s">
        <v>1479</v>
      </c>
      <c r="C289">
        <v>603529</v>
      </c>
      <c r="D289" t="s">
        <v>1480</v>
      </c>
      <c r="E289" t="s">
        <v>194</v>
      </c>
      <c r="F289" t="s">
        <v>397</v>
      </c>
      <c r="G289" t="s">
        <v>1481</v>
      </c>
      <c r="H289" t="s">
        <v>33</v>
      </c>
      <c r="I289" t="s">
        <v>255</v>
      </c>
      <c r="J289" t="s">
        <v>255</v>
      </c>
      <c r="K289" t="s">
        <v>255</v>
      </c>
      <c r="L289" t="s">
        <v>41</v>
      </c>
      <c r="M289" t="s">
        <v>41</v>
      </c>
      <c r="N289" t="s">
        <v>255</v>
      </c>
      <c r="O289" t="s">
        <v>41</v>
      </c>
      <c r="P289" t="s">
        <v>41</v>
      </c>
      <c r="Q289" s="2"/>
      <c r="R289" s="2"/>
      <c r="S289" t="s">
        <v>255</v>
      </c>
      <c r="T289" t="s">
        <v>41</v>
      </c>
      <c r="U289" t="s">
        <v>41</v>
      </c>
      <c r="V289" s="2"/>
      <c r="W289" s="2"/>
      <c r="X289" t="s">
        <v>1481</v>
      </c>
      <c r="Y289">
        <v>36.26</v>
      </c>
      <c r="Z289">
        <v>3287.477</v>
      </c>
      <c r="AA289" s="2"/>
      <c r="AB289" s="2"/>
      <c r="AC289" t="s">
        <v>886</v>
      </c>
      <c r="AD289">
        <v>36.7</v>
      </c>
      <c r="AE289">
        <v>3234.91</v>
      </c>
      <c r="AF289" s="2">
        <f t="shared" si="31"/>
        <v>0.0121345835631551</v>
      </c>
      <c r="AG289" s="2">
        <f t="shared" si="32"/>
        <v>-0.0159900738469045</v>
      </c>
      <c r="AH289" t="s">
        <v>1482</v>
      </c>
      <c r="AI289" t="s">
        <v>41</v>
      </c>
      <c r="AJ289" t="s">
        <v>41</v>
      </c>
    </row>
    <row r="290" spans="1:36">
      <c r="A290">
        <v>123175</v>
      </c>
      <c r="B290" t="s">
        <v>1483</v>
      </c>
      <c r="C290">
        <v>300614</v>
      </c>
      <c r="D290" t="s">
        <v>1484</v>
      </c>
      <c r="E290" t="s">
        <v>1485</v>
      </c>
      <c r="F290" t="s">
        <v>708</v>
      </c>
      <c r="G290" t="s">
        <v>1486</v>
      </c>
      <c r="H290" t="s">
        <v>33</v>
      </c>
      <c r="I290" t="s">
        <v>255</v>
      </c>
      <c r="J290" t="s">
        <v>255</v>
      </c>
      <c r="K290" t="s">
        <v>1487</v>
      </c>
      <c r="L290">
        <v>30.4</v>
      </c>
      <c r="M290">
        <v>3236.695</v>
      </c>
      <c r="N290" t="s">
        <v>1376</v>
      </c>
      <c r="O290">
        <v>26.58</v>
      </c>
      <c r="P290">
        <v>3246.294</v>
      </c>
      <c r="Q290" s="1">
        <f t="shared" si="25"/>
        <v>-0.125657894736842</v>
      </c>
      <c r="R290" s="1">
        <f t="shared" si="26"/>
        <v>0.00296567949714128</v>
      </c>
      <c r="S290" t="s">
        <v>1243</v>
      </c>
      <c r="T290">
        <v>25.73</v>
      </c>
      <c r="U290">
        <v>3036.132</v>
      </c>
      <c r="V290" s="1">
        <f t="shared" si="27"/>
        <v>-0.0319789315274642</v>
      </c>
      <c r="W290" s="1">
        <f t="shared" si="28"/>
        <v>-0.0647390532095983</v>
      </c>
      <c r="X290" t="s">
        <v>1486</v>
      </c>
      <c r="Y290">
        <v>29.46</v>
      </c>
      <c r="Z290">
        <v>3291.148</v>
      </c>
      <c r="AA290" s="2">
        <f t="shared" si="29"/>
        <v>0.144966964632724</v>
      </c>
      <c r="AB290" s="2">
        <f t="shared" si="30"/>
        <v>0.0839937130533192</v>
      </c>
      <c r="AC290" t="s">
        <v>1330</v>
      </c>
      <c r="AD290">
        <v>26.64</v>
      </c>
      <c r="AE290">
        <v>3250.546</v>
      </c>
      <c r="AF290" s="2">
        <f t="shared" si="31"/>
        <v>-0.0957230142566192</v>
      </c>
      <c r="AG290" s="2">
        <f t="shared" si="32"/>
        <v>-0.0123367287037837</v>
      </c>
      <c r="AH290" t="s">
        <v>1488</v>
      </c>
      <c r="AI290" t="s">
        <v>41</v>
      </c>
      <c r="AJ290" t="s">
        <v>41</v>
      </c>
    </row>
    <row r="291" spans="1:36">
      <c r="A291">
        <v>123174</v>
      </c>
      <c r="B291" t="s">
        <v>1489</v>
      </c>
      <c r="C291">
        <v>300258</v>
      </c>
      <c r="D291" t="s">
        <v>1490</v>
      </c>
      <c r="E291" t="s">
        <v>181</v>
      </c>
      <c r="F291" t="s">
        <v>41</v>
      </c>
      <c r="G291" t="s">
        <v>1491</v>
      </c>
      <c r="H291" t="s">
        <v>621</v>
      </c>
      <c r="I291" t="s">
        <v>255</v>
      </c>
      <c r="J291" t="s">
        <v>255</v>
      </c>
      <c r="K291" t="s">
        <v>1492</v>
      </c>
      <c r="L291">
        <v>11.4</v>
      </c>
      <c r="M291">
        <v>3228.061</v>
      </c>
      <c r="N291" t="s">
        <v>1329</v>
      </c>
      <c r="O291">
        <v>12.35</v>
      </c>
      <c r="P291">
        <v>3119.98</v>
      </c>
      <c r="Q291" s="1">
        <f t="shared" si="25"/>
        <v>0.0833333333333333</v>
      </c>
      <c r="R291" s="1">
        <f t="shared" si="26"/>
        <v>-0.0334817092985542</v>
      </c>
      <c r="S291" t="s">
        <v>1209</v>
      </c>
      <c r="T291">
        <v>11.78</v>
      </c>
      <c r="U291">
        <v>3224.406</v>
      </c>
      <c r="V291" s="1">
        <f t="shared" si="27"/>
        <v>-0.0461538461538462</v>
      </c>
      <c r="W291" s="1">
        <f t="shared" si="28"/>
        <v>0.0334700863467073</v>
      </c>
      <c r="X291" t="s">
        <v>1491</v>
      </c>
      <c r="Y291">
        <v>12.28</v>
      </c>
      <c r="Z291">
        <v>3280.492</v>
      </c>
      <c r="AA291" s="2">
        <f t="shared" si="29"/>
        <v>0.0424448217317487</v>
      </c>
      <c r="AB291" s="2">
        <f t="shared" si="30"/>
        <v>0.0173942115229907</v>
      </c>
      <c r="AC291" t="s">
        <v>931</v>
      </c>
      <c r="AD291">
        <v>11.02</v>
      </c>
      <c r="AE291">
        <v>3285.099</v>
      </c>
      <c r="AF291" s="2">
        <f t="shared" si="31"/>
        <v>-0.102605863192182</v>
      </c>
      <c r="AG291" s="2">
        <f t="shared" si="32"/>
        <v>0.00140436251635425</v>
      </c>
      <c r="AH291" t="s">
        <v>1493</v>
      </c>
      <c r="AI291" t="s">
        <v>215</v>
      </c>
      <c r="AJ291" t="s">
        <v>625</v>
      </c>
    </row>
    <row r="292" spans="1:36">
      <c r="A292">
        <v>118031</v>
      </c>
      <c r="B292" t="s">
        <v>1494</v>
      </c>
      <c r="C292">
        <v>688599</v>
      </c>
      <c r="D292" t="s">
        <v>1495</v>
      </c>
      <c r="E292" t="s">
        <v>1496</v>
      </c>
      <c r="F292" t="s">
        <v>397</v>
      </c>
      <c r="G292" t="s">
        <v>875</v>
      </c>
      <c r="H292" t="s">
        <v>33</v>
      </c>
      <c r="I292" t="s">
        <v>255</v>
      </c>
      <c r="J292" t="s">
        <v>255</v>
      </c>
      <c r="K292" t="s">
        <v>1497</v>
      </c>
      <c r="L292">
        <v>81.88</v>
      </c>
      <c r="M292">
        <v>3253.238</v>
      </c>
      <c r="N292" t="s">
        <v>1318</v>
      </c>
      <c r="O292">
        <v>66.26</v>
      </c>
      <c r="P292">
        <v>3083.401</v>
      </c>
      <c r="Q292" s="1">
        <f t="shared" si="25"/>
        <v>-0.19076697606253</v>
      </c>
      <c r="R292" s="1">
        <f t="shared" si="26"/>
        <v>-0.0522055256947079</v>
      </c>
      <c r="S292" t="s">
        <v>1209</v>
      </c>
      <c r="T292">
        <v>69.34</v>
      </c>
      <c r="U292">
        <v>3224.406</v>
      </c>
      <c r="V292" s="1">
        <f t="shared" si="27"/>
        <v>0.0464835496528826</v>
      </c>
      <c r="W292" s="1">
        <f t="shared" si="28"/>
        <v>0.0457303477556115</v>
      </c>
      <c r="X292" t="s">
        <v>875</v>
      </c>
      <c r="Y292">
        <v>63.15</v>
      </c>
      <c r="Z292">
        <v>3284.16</v>
      </c>
      <c r="AA292" s="2">
        <f t="shared" si="29"/>
        <v>-0.0892702624747621</v>
      </c>
      <c r="AB292" s="2">
        <f t="shared" si="30"/>
        <v>0.0185317853893089</v>
      </c>
      <c r="AC292" t="s">
        <v>1498</v>
      </c>
      <c r="AD292">
        <v>55.85</v>
      </c>
      <c r="AE292">
        <v>3263.315</v>
      </c>
      <c r="AF292" s="2">
        <f t="shared" si="31"/>
        <v>-0.115597783056215</v>
      </c>
      <c r="AG292" s="2">
        <f t="shared" si="32"/>
        <v>-0.00634713290460873</v>
      </c>
      <c r="AH292" t="s">
        <v>1499</v>
      </c>
      <c r="AI292" t="s">
        <v>41</v>
      </c>
      <c r="AJ292" t="s">
        <v>41</v>
      </c>
    </row>
    <row r="293" hidden="1" spans="1:36">
      <c r="A293">
        <v>110092</v>
      </c>
      <c r="B293" t="s">
        <v>1500</v>
      </c>
      <c r="C293">
        <v>600370</v>
      </c>
      <c r="D293" t="s">
        <v>1501</v>
      </c>
      <c r="E293" t="s">
        <v>148</v>
      </c>
      <c r="F293" t="s">
        <v>31</v>
      </c>
      <c r="G293" t="s">
        <v>1502</v>
      </c>
      <c r="H293" t="s">
        <v>33</v>
      </c>
      <c r="I293" t="s">
        <v>255</v>
      </c>
      <c r="J293" t="s">
        <v>255</v>
      </c>
      <c r="K293" t="s">
        <v>255</v>
      </c>
      <c r="L293" t="s">
        <v>41</v>
      </c>
      <c r="M293" t="s">
        <v>41</v>
      </c>
      <c r="N293" t="s">
        <v>255</v>
      </c>
      <c r="O293" t="s">
        <v>41</v>
      </c>
      <c r="P293" t="s">
        <v>41</v>
      </c>
      <c r="Q293" s="2"/>
      <c r="R293" s="2"/>
      <c r="S293" t="s">
        <v>255</v>
      </c>
      <c r="T293" t="s">
        <v>41</v>
      </c>
      <c r="U293" t="s">
        <v>41</v>
      </c>
      <c r="V293" s="2"/>
      <c r="W293" s="2"/>
      <c r="X293" t="s">
        <v>1502</v>
      </c>
      <c r="Y293">
        <v>2.82</v>
      </c>
      <c r="Z293">
        <v>3157.637</v>
      </c>
      <c r="AA293" s="2"/>
      <c r="AB293" s="2"/>
      <c r="AC293" t="s">
        <v>1455</v>
      </c>
      <c r="AD293">
        <v>2.97</v>
      </c>
      <c r="AE293">
        <v>3248.094</v>
      </c>
      <c r="AF293" s="2">
        <f t="shared" si="31"/>
        <v>0.0531914893617023</v>
      </c>
      <c r="AG293" s="2">
        <f t="shared" si="32"/>
        <v>0.0286470547437846</v>
      </c>
      <c r="AH293" t="s">
        <v>1503</v>
      </c>
      <c r="AI293" t="s">
        <v>41</v>
      </c>
      <c r="AJ293" t="s">
        <v>41</v>
      </c>
    </row>
    <row r="294" hidden="1" spans="1:36">
      <c r="A294">
        <v>111012</v>
      </c>
      <c r="B294" t="s">
        <v>1504</v>
      </c>
      <c r="C294">
        <v>605488</v>
      </c>
      <c r="D294" t="s">
        <v>1505</v>
      </c>
      <c r="E294" t="s">
        <v>1506</v>
      </c>
      <c r="F294" t="s">
        <v>31</v>
      </c>
      <c r="G294" t="s">
        <v>1154</v>
      </c>
      <c r="H294" t="s">
        <v>33</v>
      </c>
      <c r="I294" t="s">
        <v>255</v>
      </c>
      <c r="J294" t="s">
        <v>255</v>
      </c>
      <c r="K294" t="s">
        <v>255</v>
      </c>
      <c r="L294" t="s">
        <v>41</v>
      </c>
      <c r="M294" t="s">
        <v>41</v>
      </c>
      <c r="N294" t="s">
        <v>255</v>
      </c>
      <c r="O294" t="s">
        <v>41</v>
      </c>
      <c r="P294" t="s">
        <v>41</v>
      </c>
      <c r="Q294" s="2"/>
      <c r="R294" s="2"/>
      <c r="S294" t="s">
        <v>255</v>
      </c>
      <c r="T294" t="s">
        <v>41</v>
      </c>
      <c r="U294" t="s">
        <v>41</v>
      </c>
      <c r="V294" s="2"/>
      <c r="W294" s="2"/>
      <c r="X294" t="s">
        <v>1154</v>
      </c>
      <c r="Y294">
        <v>9.14</v>
      </c>
      <c r="Z294">
        <v>3123.516</v>
      </c>
      <c r="AA294" s="2"/>
      <c r="AB294" s="2"/>
      <c r="AC294" t="s">
        <v>1455</v>
      </c>
      <c r="AD294">
        <v>10.04</v>
      </c>
      <c r="AE294">
        <v>3248.094</v>
      </c>
      <c r="AF294" s="2">
        <f t="shared" si="31"/>
        <v>0.098468271334792</v>
      </c>
      <c r="AG294" s="2">
        <f t="shared" si="32"/>
        <v>0.0398839000664635</v>
      </c>
      <c r="AH294" t="s">
        <v>1507</v>
      </c>
      <c r="AI294" t="s">
        <v>41</v>
      </c>
      <c r="AJ294" t="s">
        <v>41</v>
      </c>
    </row>
    <row r="295" hidden="1" spans="1:36">
      <c r="A295">
        <v>111011</v>
      </c>
      <c r="B295" t="s">
        <v>1508</v>
      </c>
      <c r="C295">
        <v>605088</v>
      </c>
      <c r="D295" t="s">
        <v>1509</v>
      </c>
      <c r="E295" t="s">
        <v>1510</v>
      </c>
      <c r="F295" t="s">
        <v>41</v>
      </c>
      <c r="G295" t="s">
        <v>1511</v>
      </c>
      <c r="H295" t="s">
        <v>621</v>
      </c>
      <c r="I295" t="s">
        <v>255</v>
      </c>
      <c r="J295" t="s">
        <v>255</v>
      </c>
      <c r="K295" t="s">
        <v>255</v>
      </c>
      <c r="L295" t="s">
        <v>41</v>
      </c>
      <c r="M295" t="s">
        <v>41</v>
      </c>
      <c r="N295" t="s">
        <v>255</v>
      </c>
      <c r="O295" t="s">
        <v>41</v>
      </c>
      <c r="P295" t="s">
        <v>41</v>
      </c>
      <c r="Q295" s="2"/>
      <c r="R295" s="2"/>
      <c r="S295" t="s">
        <v>255</v>
      </c>
      <c r="T295" t="s">
        <v>41</v>
      </c>
      <c r="U295" t="s">
        <v>41</v>
      </c>
      <c r="V295" s="2"/>
      <c r="W295" s="2"/>
      <c r="X295" t="s">
        <v>1511</v>
      </c>
      <c r="Y295">
        <v>15.09</v>
      </c>
      <c r="Z295">
        <v>3116.512</v>
      </c>
      <c r="AA295" s="2"/>
      <c r="AB295" s="2"/>
      <c r="AC295" t="s">
        <v>1512</v>
      </c>
      <c r="AD295">
        <v>17.93</v>
      </c>
      <c r="AE295">
        <v>3238.698</v>
      </c>
      <c r="AF295" s="2">
        <f t="shared" si="31"/>
        <v>0.188204108681246</v>
      </c>
      <c r="AG295" s="2">
        <f t="shared" si="32"/>
        <v>0.0392060097955662</v>
      </c>
      <c r="AH295" t="s">
        <v>1513</v>
      </c>
      <c r="AI295" t="s">
        <v>74</v>
      </c>
      <c r="AJ295" t="s">
        <v>625</v>
      </c>
    </row>
    <row r="296" hidden="1" spans="1:36">
      <c r="A296">
        <v>127080</v>
      </c>
      <c r="B296" t="s">
        <v>1514</v>
      </c>
      <c r="C296">
        <v>3004</v>
      </c>
      <c r="D296" t="s">
        <v>1515</v>
      </c>
      <c r="E296" t="s">
        <v>1516</v>
      </c>
      <c r="F296" t="s">
        <v>708</v>
      </c>
      <c r="G296" t="s">
        <v>1399</v>
      </c>
      <c r="H296" t="s">
        <v>33</v>
      </c>
      <c r="I296" t="s">
        <v>255</v>
      </c>
      <c r="J296" t="s">
        <v>255</v>
      </c>
      <c r="K296" t="s">
        <v>255</v>
      </c>
      <c r="L296" t="s">
        <v>41</v>
      </c>
      <c r="M296" t="s">
        <v>41</v>
      </c>
      <c r="N296" t="s">
        <v>255</v>
      </c>
      <c r="O296" t="s">
        <v>41</v>
      </c>
      <c r="P296" t="s">
        <v>41</v>
      </c>
      <c r="Q296" s="2"/>
      <c r="R296" s="2"/>
      <c r="S296" t="s">
        <v>255</v>
      </c>
      <c r="T296" t="s">
        <v>41</v>
      </c>
      <c r="U296" t="s">
        <v>41</v>
      </c>
      <c r="V296" s="2"/>
      <c r="W296" s="2"/>
      <c r="X296" t="s">
        <v>1399</v>
      </c>
      <c r="Y296">
        <v>25.81</v>
      </c>
      <c r="Z296">
        <v>3089.258</v>
      </c>
      <c r="AA296" s="2"/>
      <c r="AB296" s="2"/>
      <c r="AC296" t="s">
        <v>1167</v>
      </c>
      <c r="AD296">
        <v>31.6</v>
      </c>
      <c r="AE296">
        <v>3260.673</v>
      </c>
      <c r="AF296" s="2">
        <f t="shared" si="31"/>
        <v>0.22433165439752</v>
      </c>
      <c r="AG296" s="2">
        <f t="shared" si="32"/>
        <v>0.0554874341994097</v>
      </c>
      <c r="AH296" t="s">
        <v>1517</v>
      </c>
      <c r="AI296" t="s">
        <v>41</v>
      </c>
      <c r="AJ296" t="s">
        <v>41</v>
      </c>
    </row>
    <row r="297" hidden="1" spans="1:36">
      <c r="A297">
        <v>118030</v>
      </c>
      <c r="B297" t="s">
        <v>1518</v>
      </c>
      <c r="C297">
        <v>688002</v>
      </c>
      <c r="D297" t="s">
        <v>1519</v>
      </c>
      <c r="E297" t="s">
        <v>1520</v>
      </c>
      <c r="F297" t="s">
        <v>397</v>
      </c>
      <c r="G297" t="s">
        <v>1399</v>
      </c>
      <c r="H297" t="s">
        <v>33</v>
      </c>
      <c r="I297" t="s">
        <v>255</v>
      </c>
      <c r="J297" t="s">
        <v>255</v>
      </c>
      <c r="K297" t="s">
        <v>255</v>
      </c>
      <c r="L297" t="s">
        <v>41</v>
      </c>
      <c r="M297" t="s">
        <v>41</v>
      </c>
      <c r="N297" t="s">
        <v>1521</v>
      </c>
      <c r="O297">
        <v>38.25</v>
      </c>
      <c r="P297">
        <v>3041.205</v>
      </c>
      <c r="Q297" s="2"/>
      <c r="R297" s="2"/>
      <c r="S297" t="s">
        <v>1522</v>
      </c>
      <c r="T297">
        <v>44.71</v>
      </c>
      <c r="U297">
        <v>3048.168</v>
      </c>
      <c r="V297" s="2">
        <f t="shared" si="27"/>
        <v>0.168888888888889</v>
      </c>
      <c r="W297" s="2">
        <f t="shared" si="28"/>
        <v>0.00228955298968672</v>
      </c>
      <c r="X297" t="s">
        <v>1399</v>
      </c>
      <c r="Y297">
        <v>36.75</v>
      </c>
      <c r="Z297">
        <v>3089.258</v>
      </c>
      <c r="AA297" s="2">
        <f t="shared" si="29"/>
        <v>-0.178036233504809</v>
      </c>
      <c r="AB297" s="2">
        <f t="shared" si="30"/>
        <v>0.0134802281239091</v>
      </c>
      <c r="AC297" t="s">
        <v>1167</v>
      </c>
      <c r="AD297">
        <v>47.61</v>
      </c>
      <c r="AE297">
        <v>3260.673</v>
      </c>
      <c r="AF297" s="2">
        <f t="shared" si="31"/>
        <v>0.295510204081633</v>
      </c>
      <c r="AG297" s="2">
        <f t="shared" si="32"/>
        <v>0.0554874341994097</v>
      </c>
      <c r="AH297" t="s">
        <v>1517</v>
      </c>
      <c r="AI297" t="s">
        <v>41</v>
      </c>
      <c r="AJ297" t="s">
        <v>41</v>
      </c>
    </row>
    <row r="298" spans="1:36">
      <c r="A298">
        <v>123173</v>
      </c>
      <c r="B298" t="s">
        <v>1523</v>
      </c>
      <c r="C298">
        <v>300605</v>
      </c>
      <c r="D298" t="s">
        <v>1524</v>
      </c>
      <c r="E298" t="s">
        <v>1525</v>
      </c>
      <c r="F298" t="s">
        <v>1208</v>
      </c>
      <c r="G298" t="s">
        <v>1399</v>
      </c>
      <c r="H298" t="s">
        <v>33</v>
      </c>
      <c r="I298" t="s">
        <v>255</v>
      </c>
      <c r="J298" t="s">
        <v>255</v>
      </c>
      <c r="K298" t="s">
        <v>1526</v>
      </c>
      <c r="L298">
        <v>13.45</v>
      </c>
      <c r="M298">
        <v>3597</v>
      </c>
      <c r="N298" t="s">
        <v>1317</v>
      </c>
      <c r="O298">
        <v>12.48</v>
      </c>
      <c r="P298">
        <v>3186.478</v>
      </c>
      <c r="Q298" s="1">
        <f t="shared" si="25"/>
        <v>-0.0721189591078066</v>
      </c>
      <c r="R298" s="1">
        <f t="shared" si="26"/>
        <v>-0.114128996385877</v>
      </c>
      <c r="S298" t="s">
        <v>1527</v>
      </c>
      <c r="T298">
        <v>12.22</v>
      </c>
      <c r="U298">
        <v>3084.942</v>
      </c>
      <c r="V298" s="1">
        <f t="shared" si="27"/>
        <v>-0.0208333333333333</v>
      </c>
      <c r="W298" s="1">
        <f t="shared" si="28"/>
        <v>-0.0318646480534308</v>
      </c>
      <c r="X298" t="s">
        <v>1399</v>
      </c>
      <c r="Y298">
        <v>13.67</v>
      </c>
      <c r="Z298">
        <v>3089.258</v>
      </c>
      <c r="AA298" s="2">
        <f t="shared" si="29"/>
        <v>0.118657937806874</v>
      </c>
      <c r="AB298" s="2">
        <f t="shared" si="30"/>
        <v>0.00139905385579366</v>
      </c>
      <c r="AC298" t="s">
        <v>1528</v>
      </c>
      <c r="AD298">
        <v>15.03</v>
      </c>
      <c r="AE298">
        <v>3232.106</v>
      </c>
      <c r="AF298" s="2">
        <f t="shared" si="31"/>
        <v>0.099487929773226</v>
      </c>
      <c r="AG298" s="2">
        <f t="shared" si="32"/>
        <v>0.0462402298545477</v>
      </c>
      <c r="AH298" t="s">
        <v>1517</v>
      </c>
      <c r="AI298" t="s">
        <v>41</v>
      </c>
      <c r="AJ298" t="s">
        <v>41</v>
      </c>
    </row>
    <row r="299" hidden="1" spans="1:36">
      <c r="A299">
        <v>127079</v>
      </c>
      <c r="B299" t="s">
        <v>1529</v>
      </c>
      <c r="C299">
        <v>3043</v>
      </c>
      <c r="D299" t="s">
        <v>1530</v>
      </c>
      <c r="E299" t="s">
        <v>1531</v>
      </c>
      <c r="F299" t="s">
        <v>31</v>
      </c>
      <c r="G299" t="s">
        <v>1370</v>
      </c>
      <c r="H299" t="s">
        <v>33</v>
      </c>
      <c r="I299" t="s">
        <v>255</v>
      </c>
      <c r="J299" t="s">
        <v>255</v>
      </c>
      <c r="K299" t="s">
        <v>255</v>
      </c>
      <c r="L299" t="s">
        <v>41</v>
      </c>
      <c r="M299" t="s">
        <v>41</v>
      </c>
      <c r="N299" t="s">
        <v>255</v>
      </c>
      <c r="O299" t="s">
        <v>41</v>
      </c>
      <c r="P299" t="s">
        <v>41</v>
      </c>
      <c r="Q299" s="2"/>
      <c r="R299" s="2"/>
      <c r="S299" t="s">
        <v>255</v>
      </c>
      <c r="T299" t="s">
        <v>41</v>
      </c>
      <c r="U299" t="s">
        <v>41</v>
      </c>
      <c r="V299" s="2"/>
      <c r="W299" s="2"/>
      <c r="X299" t="s">
        <v>1370</v>
      </c>
      <c r="Y299">
        <v>48.69</v>
      </c>
      <c r="Z299">
        <v>3167.858</v>
      </c>
      <c r="AA299" s="2"/>
      <c r="AB299" s="2"/>
      <c r="AC299" t="s">
        <v>1532</v>
      </c>
      <c r="AD299">
        <v>45.59</v>
      </c>
      <c r="AE299">
        <v>3227.592</v>
      </c>
      <c r="AF299" s="2">
        <f t="shared" si="31"/>
        <v>-0.0636681043335386</v>
      </c>
      <c r="AG299" s="2">
        <f t="shared" si="32"/>
        <v>0.0188562744921016</v>
      </c>
      <c r="AH299" t="s">
        <v>1533</v>
      </c>
      <c r="AI299" t="s">
        <v>41</v>
      </c>
      <c r="AJ299" t="s">
        <v>41</v>
      </c>
    </row>
    <row r="300" hidden="1" spans="1:36">
      <c r="A300">
        <v>113665</v>
      </c>
      <c r="B300" t="s">
        <v>1534</v>
      </c>
      <c r="C300">
        <v>603176</v>
      </c>
      <c r="D300" t="s">
        <v>1535</v>
      </c>
      <c r="E300" t="s">
        <v>1051</v>
      </c>
      <c r="F300" t="s">
        <v>56</v>
      </c>
      <c r="G300" t="s">
        <v>1299</v>
      </c>
      <c r="H300" t="s">
        <v>33</v>
      </c>
      <c r="I300" t="s">
        <v>255</v>
      </c>
      <c r="J300" t="s">
        <v>255</v>
      </c>
      <c r="K300" t="s">
        <v>255</v>
      </c>
      <c r="L300" t="s">
        <v>41</v>
      </c>
      <c r="M300" t="s">
        <v>41</v>
      </c>
      <c r="N300" t="s">
        <v>255</v>
      </c>
      <c r="O300" t="s">
        <v>41</v>
      </c>
      <c r="P300" t="s">
        <v>41</v>
      </c>
      <c r="Q300" s="2"/>
      <c r="R300" s="2"/>
      <c r="S300" t="s">
        <v>255</v>
      </c>
      <c r="T300" t="s">
        <v>41</v>
      </c>
      <c r="U300" t="s">
        <v>41</v>
      </c>
      <c r="V300" s="2"/>
      <c r="W300" s="2"/>
      <c r="X300" t="s">
        <v>1299</v>
      </c>
      <c r="Y300">
        <v>7.83</v>
      </c>
      <c r="Z300">
        <v>3168.648</v>
      </c>
      <c r="AA300" s="2"/>
      <c r="AB300" s="2"/>
      <c r="AC300" t="s">
        <v>1536</v>
      </c>
      <c r="AD300">
        <v>7.04</v>
      </c>
      <c r="AE300">
        <v>3161.838</v>
      </c>
      <c r="AF300" s="2">
        <f t="shared" si="31"/>
        <v>-0.100893997445722</v>
      </c>
      <c r="AG300" s="2">
        <f t="shared" si="32"/>
        <v>-0.00214918160679253</v>
      </c>
      <c r="AH300" t="s">
        <v>1537</v>
      </c>
      <c r="AI300" t="s">
        <v>41</v>
      </c>
      <c r="AJ300" t="s">
        <v>41</v>
      </c>
    </row>
    <row r="301" spans="1:36">
      <c r="A301">
        <v>118029</v>
      </c>
      <c r="B301" t="s">
        <v>1538</v>
      </c>
      <c r="C301">
        <v>688350</v>
      </c>
      <c r="D301" t="s">
        <v>1539</v>
      </c>
      <c r="E301" t="s">
        <v>223</v>
      </c>
      <c r="F301" t="s">
        <v>708</v>
      </c>
      <c r="G301" t="s">
        <v>1299</v>
      </c>
      <c r="H301" t="s">
        <v>33</v>
      </c>
      <c r="I301" t="s">
        <v>255</v>
      </c>
      <c r="J301" t="s">
        <v>255</v>
      </c>
      <c r="K301" t="s">
        <v>1540</v>
      </c>
      <c r="L301">
        <v>14.68</v>
      </c>
      <c r="M301">
        <v>2886.426</v>
      </c>
      <c r="N301" t="s">
        <v>1541</v>
      </c>
      <c r="O301">
        <v>18.12</v>
      </c>
      <c r="P301">
        <v>3117.177</v>
      </c>
      <c r="Q301" s="1">
        <f t="shared" si="25"/>
        <v>0.23433242506812</v>
      </c>
      <c r="R301" s="1">
        <f t="shared" si="26"/>
        <v>0.0799435010632527</v>
      </c>
      <c r="S301" t="s">
        <v>1542</v>
      </c>
      <c r="T301">
        <v>18.88</v>
      </c>
      <c r="U301">
        <v>3077.817</v>
      </c>
      <c r="V301" s="1">
        <f t="shared" si="27"/>
        <v>0.041942604856512</v>
      </c>
      <c r="W301" s="1">
        <f t="shared" si="28"/>
        <v>-0.0126268094497041</v>
      </c>
      <c r="X301" t="s">
        <v>1299</v>
      </c>
      <c r="Y301">
        <v>19.4</v>
      </c>
      <c r="Z301">
        <v>3168.648</v>
      </c>
      <c r="AA301" s="2">
        <f t="shared" si="29"/>
        <v>0.0275423728813559</v>
      </c>
      <c r="AB301" s="2">
        <f t="shared" si="30"/>
        <v>0.0295115011711223</v>
      </c>
      <c r="AC301" t="s">
        <v>1543</v>
      </c>
      <c r="AD301">
        <v>18.16</v>
      </c>
      <c r="AE301">
        <v>3176.085</v>
      </c>
      <c r="AF301" s="2">
        <f t="shared" si="31"/>
        <v>-0.0639175257731958</v>
      </c>
      <c r="AG301" s="2">
        <f t="shared" si="32"/>
        <v>0.00234705779878355</v>
      </c>
      <c r="AH301" t="s">
        <v>1537</v>
      </c>
      <c r="AI301" t="s">
        <v>41</v>
      </c>
      <c r="AJ301" t="s">
        <v>41</v>
      </c>
    </row>
    <row r="302" spans="1:36">
      <c r="A302">
        <v>123172</v>
      </c>
      <c r="B302" t="s">
        <v>1544</v>
      </c>
      <c r="C302">
        <v>301017</v>
      </c>
      <c r="D302" t="s">
        <v>1545</v>
      </c>
      <c r="E302" t="s">
        <v>115</v>
      </c>
      <c r="F302" t="s">
        <v>56</v>
      </c>
      <c r="G302" t="s">
        <v>1299</v>
      </c>
      <c r="H302" t="s">
        <v>33</v>
      </c>
      <c r="I302" t="s">
        <v>255</v>
      </c>
      <c r="J302" t="s">
        <v>255</v>
      </c>
      <c r="K302" t="s">
        <v>1546</v>
      </c>
      <c r="L302">
        <v>17.47</v>
      </c>
      <c r="M302">
        <v>3405.427</v>
      </c>
      <c r="N302" t="s">
        <v>1100</v>
      </c>
      <c r="O302">
        <v>16.81</v>
      </c>
      <c r="P302">
        <v>3258.078</v>
      </c>
      <c r="Q302" s="1">
        <f t="shared" si="25"/>
        <v>-0.0377790497996566</v>
      </c>
      <c r="R302" s="1">
        <f t="shared" si="26"/>
        <v>-0.0432688764140298</v>
      </c>
      <c r="S302" t="s">
        <v>1547</v>
      </c>
      <c r="T302">
        <v>19.13</v>
      </c>
      <c r="U302">
        <v>3097.243</v>
      </c>
      <c r="V302" s="1">
        <f t="shared" si="27"/>
        <v>0.138013087447948</v>
      </c>
      <c r="W302" s="1">
        <f t="shared" si="28"/>
        <v>-0.0493649937171547</v>
      </c>
      <c r="X302" t="s">
        <v>1299</v>
      </c>
      <c r="Y302">
        <v>20.04</v>
      </c>
      <c r="Z302">
        <v>3168.648</v>
      </c>
      <c r="AA302" s="2">
        <f t="shared" si="29"/>
        <v>0.0475692629377941</v>
      </c>
      <c r="AB302" s="2">
        <f t="shared" si="30"/>
        <v>0.0230543744872457</v>
      </c>
      <c r="AC302" t="s">
        <v>1502</v>
      </c>
      <c r="AD302">
        <v>17.62</v>
      </c>
      <c r="AE302">
        <v>3157.637</v>
      </c>
      <c r="AF302" s="2">
        <f t="shared" si="31"/>
        <v>-0.120758483033932</v>
      </c>
      <c r="AG302" s="2">
        <f t="shared" si="32"/>
        <v>-0.00347498365233373</v>
      </c>
      <c r="AH302" t="s">
        <v>1537</v>
      </c>
      <c r="AI302" t="s">
        <v>41</v>
      </c>
      <c r="AJ302" t="s">
        <v>41</v>
      </c>
    </row>
    <row r="303" hidden="1" spans="1:36">
      <c r="A303">
        <v>127078</v>
      </c>
      <c r="B303" t="s">
        <v>1548</v>
      </c>
      <c r="C303">
        <v>2998</v>
      </c>
      <c r="D303" t="s">
        <v>1549</v>
      </c>
      <c r="E303" t="s">
        <v>1114</v>
      </c>
      <c r="F303" t="s">
        <v>31</v>
      </c>
      <c r="G303" t="s">
        <v>1550</v>
      </c>
      <c r="H303" t="s">
        <v>33</v>
      </c>
      <c r="I303" t="s">
        <v>255</v>
      </c>
      <c r="J303" t="s">
        <v>255</v>
      </c>
      <c r="K303" t="s">
        <v>255</v>
      </c>
      <c r="L303" t="s">
        <v>41</v>
      </c>
      <c r="M303" t="s">
        <v>41</v>
      </c>
      <c r="N303" t="s">
        <v>255</v>
      </c>
      <c r="O303" t="s">
        <v>41</v>
      </c>
      <c r="P303" t="s">
        <v>41</v>
      </c>
      <c r="Q303" s="2"/>
      <c r="R303" s="2"/>
      <c r="S303" t="s">
        <v>255</v>
      </c>
      <c r="T303" t="s">
        <v>41</v>
      </c>
      <c r="U303" t="s">
        <v>41</v>
      </c>
      <c r="V303" s="2"/>
      <c r="W303" s="2"/>
      <c r="X303" t="s">
        <v>1550</v>
      </c>
      <c r="Y303">
        <v>6.15</v>
      </c>
      <c r="Z303">
        <v>3176.525</v>
      </c>
      <c r="AA303" s="2"/>
      <c r="AB303" s="2"/>
      <c r="AC303" t="s">
        <v>1543</v>
      </c>
      <c r="AD303">
        <v>5.99</v>
      </c>
      <c r="AE303">
        <v>3176.085</v>
      </c>
      <c r="AF303" s="2">
        <f t="shared" si="31"/>
        <v>-0.0260162601626016</v>
      </c>
      <c r="AG303" s="2">
        <f t="shared" si="32"/>
        <v>-0.000138516145788261</v>
      </c>
      <c r="AH303" t="s">
        <v>1551</v>
      </c>
      <c r="AI303" t="s">
        <v>41</v>
      </c>
      <c r="AJ303" t="s">
        <v>41</v>
      </c>
    </row>
    <row r="304" hidden="1" spans="1:36">
      <c r="A304">
        <v>110091</v>
      </c>
      <c r="B304" t="s">
        <v>1552</v>
      </c>
      <c r="C304">
        <v>600761</v>
      </c>
      <c r="D304" t="s">
        <v>1553</v>
      </c>
      <c r="E304" t="s">
        <v>1554</v>
      </c>
      <c r="F304" t="s">
        <v>41</v>
      </c>
      <c r="G304" t="s">
        <v>1555</v>
      </c>
      <c r="H304" t="s">
        <v>621</v>
      </c>
      <c r="I304" t="s">
        <v>255</v>
      </c>
      <c r="J304" t="s">
        <v>255</v>
      </c>
      <c r="K304" t="s">
        <v>255</v>
      </c>
      <c r="L304" t="s">
        <v>41</v>
      </c>
      <c r="M304" t="s">
        <v>41</v>
      </c>
      <c r="N304" t="s">
        <v>255</v>
      </c>
      <c r="O304" t="s">
        <v>41</v>
      </c>
      <c r="P304" t="s">
        <v>41</v>
      </c>
      <c r="Q304" s="2"/>
      <c r="R304" s="2"/>
      <c r="S304" t="s">
        <v>255</v>
      </c>
      <c r="T304" t="s">
        <v>41</v>
      </c>
      <c r="U304" t="s">
        <v>41</v>
      </c>
      <c r="V304" s="2"/>
      <c r="W304" s="2"/>
      <c r="X304" t="s">
        <v>1555</v>
      </c>
      <c r="Y304">
        <v>11.8</v>
      </c>
      <c r="Z304">
        <v>3176.326</v>
      </c>
      <c r="AA304" s="2"/>
      <c r="AB304" s="2"/>
      <c r="AC304" t="s">
        <v>1502</v>
      </c>
      <c r="AD304">
        <v>12.2</v>
      </c>
      <c r="AE304">
        <v>3157.637</v>
      </c>
      <c r="AF304" s="2">
        <f t="shared" si="31"/>
        <v>0.0338983050847456</v>
      </c>
      <c r="AG304" s="2">
        <f t="shared" si="32"/>
        <v>-0.00588384189784041</v>
      </c>
      <c r="AH304" t="s">
        <v>1556</v>
      </c>
      <c r="AI304" t="s">
        <v>1557</v>
      </c>
      <c r="AJ304" t="s">
        <v>625</v>
      </c>
    </row>
    <row r="305" spans="1:36">
      <c r="A305">
        <v>118028</v>
      </c>
      <c r="B305" t="s">
        <v>1558</v>
      </c>
      <c r="C305">
        <v>688219</v>
      </c>
      <c r="D305" t="s">
        <v>1559</v>
      </c>
      <c r="E305" t="s">
        <v>529</v>
      </c>
      <c r="F305" t="s">
        <v>41</v>
      </c>
      <c r="G305" t="s">
        <v>1560</v>
      </c>
      <c r="H305" t="s">
        <v>621</v>
      </c>
      <c r="I305" t="s">
        <v>255</v>
      </c>
      <c r="J305" t="s">
        <v>255</v>
      </c>
      <c r="K305" t="s">
        <v>1561</v>
      </c>
      <c r="L305">
        <v>17.15</v>
      </c>
      <c r="M305">
        <v>3458.228</v>
      </c>
      <c r="N305" t="s">
        <v>1562</v>
      </c>
      <c r="O305">
        <v>12.5</v>
      </c>
      <c r="P305">
        <v>3573.836</v>
      </c>
      <c r="Q305" s="1">
        <f t="shared" si="25"/>
        <v>-0.271137026239067</v>
      </c>
      <c r="R305" s="1">
        <f t="shared" si="26"/>
        <v>0.0334298374774595</v>
      </c>
      <c r="S305" t="s">
        <v>1563</v>
      </c>
      <c r="T305">
        <v>10.25</v>
      </c>
      <c r="U305">
        <v>3447.649</v>
      </c>
      <c r="V305" s="1">
        <f t="shared" si="27"/>
        <v>-0.18</v>
      </c>
      <c r="W305" s="1">
        <f t="shared" si="28"/>
        <v>-0.0353085592064101</v>
      </c>
      <c r="X305" t="s">
        <v>1560</v>
      </c>
      <c r="Y305">
        <v>8.8</v>
      </c>
      <c r="Z305">
        <v>3212.533</v>
      </c>
      <c r="AA305" s="2">
        <f t="shared" si="29"/>
        <v>-0.141463414634146</v>
      </c>
      <c r="AB305" s="2">
        <f t="shared" si="30"/>
        <v>-0.0681960373576312</v>
      </c>
      <c r="AC305" t="s">
        <v>1154</v>
      </c>
      <c r="AD305">
        <v>8.39</v>
      </c>
      <c r="AE305">
        <v>3123.516</v>
      </c>
      <c r="AF305" s="2">
        <f t="shared" si="31"/>
        <v>-0.0465909090909091</v>
      </c>
      <c r="AG305" s="2">
        <f t="shared" si="32"/>
        <v>-0.0277092873442856</v>
      </c>
      <c r="AH305" t="s">
        <v>1564</v>
      </c>
      <c r="AI305" t="s">
        <v>219</v>
      </c>
      <c r="AJ305" t="s">
        <v>625</v>
      </c>
    </row>
    <row r="306" hidden="1" spans="1:36">
      <c r="A306">
        <v>113664</v>
      </c>
      <c r="B306" t="s">
        <v>1565</v>
      </c>
      <c r="C306">
        <v>603757</v>
      </c>
      <c r="D306" t="s">
        <v>1566</v>
      </c>
      <c r="E306" t="s">
        <v>223</v>
      </c>
      <c r="F306" t="s">
        <v>41</v>
      </c>
      <c r="G306" t="s">
        <v>1567</v>
      </c>
      <c r="H306" t="s">
        <v>621</v>
      </c>
      <c r="I306" t="s">
        <v>255</v>
      </c>
      <c r="J306" t="s">
        <v>255</v>
      </c>
      <c r="K306" t="s">
        <v>255</v>
      </c>
      <c r="L306" t="s">
        <v>41</v>
      </c>
      <c r="M306" t="s">
        <v>41</v>
      </c>
      <c r="N306" t="s">
        <v>255</v>
      </c>
      <c r="O306" t="s">
        <v>41</v>
      </c>
      <c r="P306" t="s">
        <v>41</v>
      </c>
      <c r="Q306" s="2"/>
      <c r="R306" s="2"/>
      <c r="S306" t="s">
        <v>255</v>
      </c>
      <c r="T306" t="s">
        <v>41</v>
      </c>
      <c r="U306" t="s">
        <v>41</v>
      </c>
      <c r="V306" s="2"/>
      <c r="W306" s="2"/>
      <c r="X306" t="s">
        <v>1567</v>
      </c>
      <c r="Y306">
        <v>19.67</v>
      </c>
      <c r="Z306">
        <v>3211.814</v>
      </c>
      <c r="AA306" s="2"/>
      <c r="AB306" s="2"/>
      <c r="AC306" t="s">
        <v>1154</v>
      </c>
      <c r="AD306">
        <v>17.49</v>
      </c>
      <c r="AE306">
        <v>3123.516</v>
      </c>
      <c r="AF306" s="2">
        <f t="shared" si="31"/>
        <v>-0.110828673106253</v>
      </c>
      <c r="AG306" s="2">
        <f t="shared" si="32"/>
        <v>-0.0274916293409269</v>
      </c>
      <c r="AH306" t="s">
        <v>1568</v>
      </c>
      <c r="AI306" t="s">
        <v>392</v>
      </c>
      <c r="AJ306" t="s">
        <v>625</v>
      </c>
    </row>
    <row r="307" hidden="1" spans="1:36">
      <c r="A307">
        <v>127077</v>
      </c>
      <c r="B307" t="s">
        <v>1569</v>
      </c>
      <c r="C307">
        <v>2645</v>
      </c>
      <c r="D307" t="s">
        <v>1570</v>
      </c>
      <c r="E307" t="s">
        <v>1571</v>
      </c>
      <c r="F307" t="s">
        <v>41</v>
      </c>
      <c r="G307" t="s">
        <v>1572</v>
      </c>
      <c r="H307" t="s">
        <v>621</v>
      </c>
      <c r="I307" t="s">
        <v>255</v>
      </c>
      <c r="J307" t="s">
        <v>255</v>
      </c>
      <c r="K307" t="s">
        <v>255</v>
      </c>
      <c r="L307" t="s">
        <v>41</v>
      </c>
      <c r="M307" t="s">
        <v>41</v>
      </c>
      <c r="N307" t="s">
        <v>255</v>
      </c>
      <c r="O307" t="s">
        <v>41</v>
      </c>
      <c r="P307" t="s">
        <v>41</v>
      </c>
      <c r="Q307" s="2"/>
      <c r="R307" s="2"/>
      <c r="S307" t="s">
        <v>255</v>
      </c>
      <c r="T307" t="s">
        <v>41</v>
      </c>
      <c r="U307" t="s">
        <v>41</v>
      </c>
      <c r="V307" s="2"/>
      <c r="W307" s="2"/>
      <c r="X307" t="s">
        <v>1572</v>
      </c>
      <c r="Y307">
        <v>15.76</v>
      </c>
      <c r="Z307">
        <v>3156.144</v>
      </c>
      <c r="AA307" s="2"/>
      <c r="AB307" s="2"/>
      <c r="AC307" t="s">
        <v>1573</v>
      </c>
      <c r="AD307">
        <v>17.69</v>
      </c>
      <c r="AE307">
        <v>3169.507</v>
      </c>
      <c r="AF307" s="2">
        <f t="shared" si="31"/>
        <v>0.12246192893401</v>
      </c>
      <c r="AG307" s="2">
        <f t="shared" si="32"/>
        <v>0.00423396397629522</v>
      </c>
      <c r="AH307" t="s">
        <v>1574</v>
      </c>
      <c r="AI307" t="s">
        <v>392</v>
      </c>
      <c r="AJ307" t="s">
        <v>625</v>
      </c>
    </row>
    <row r="308" hidden="1" spans="1:36">
      <c r="A308">
        <v>113065</v>
      </c>
      <c r="B308" t="s">
        <v>1575</v>
      </c>
      <c r="C308">
        <v>601665</v>
      </c>
      <c r="D308" t="s">
        <v>1576</v>
      </c>
      <c r="E308" t="s">
        <v>200</v>
      </c>
      <c r="F308" t="s">
        <v>41</v>
      </c>
      <c r="G308" t="s">
        <v>1577</v>
      </c>
      <c r="H308" t="s">
        <v>621</v>
      </c>
      <c r="I308" t="s">
        <v>255</v>
      </c>
      <c r="J308" t="s">
        <v>255</v>
      </c>
      <c r="K308" t="s">
        <v>255</v>
      </c>
      <c r="L308" t="s">
        <v>41</v>
      </c>
      <c r="M308" t="s">
        <v>41</v>
      </c>
      <c r="N308" t="s">
        <v>255</v>
      </c>
      <c r="O308" t="s">
        <v>41</v>
      </c>
      <c r="P308" t="s">
        <v>41</v>
      </c>
      <c r="Q308" s="2"/>
      <c r="R308" s="2"/>
      <c r="S308" t="s">
        <v>255</v>
      </c>
      <c r="T308" t="s">
        <v>41</v>
      </c>
      <c r="U308" t="s">
        <v>41</v>
      </c>
      <c r="V308" s="2"/>
      <c r="W308" s="2"/>
      <c r="X308" t="s">
        <v>1577</v>
      </c>
      <c r="Y308">
        <v>3.65</v>
      </c>
      <c r="Z308">
        <v>3149.748</v>
      </c>
      <c r="AA308" s="2"/>
      <c r="AB308" s="2"/>
      <c r="AC308" t="s">
        <v>1578</v>
      </c>
      <c r="AD308">
        <v>3.5</v>
      </c>
      <c r="AE308">
        <v>3107.115</v>
      </c>
      <c r="AF308" s="2">
        <f t="shared" si="31"/>
        <v>-0.0410958904109589</v>
      </c>
      <c r="AG308" s="2">
        <f t="shared" si="32"/>
        <v>-0.0135353685437693</v>
      </c>
      <c r="AH308" t="s">
        <v>1579</v>
      </c>
      <c r="AI308" t="s">
        <v>1580</v>
      </c>
      <c r="AJ308" t="s">
        <v>625</v>
      </c>
    </row>
    <row r="309" spans="1:36">
      <c r="A309">
        <v>118027</v>
      </c>
      <c r="B309" t="s">
        <v>1581</v>
      </c>
      <c r="C309">
        <v>688066</v>
      </c>
      <c r="D309" t="s">
        <v>1582</v>
      </c>
      <c r="E309" t="s">
        <v>1583</v>
      </c>
      <c r="F309" t="s">
        <v>1584</v>
      </c>
      <c r="G309" t="s">
        <v>1585</v>
      </c>
      <c r="H309" t="s">
        <v>33</v>
      </c>
      <c r="I309" t="s">
        <v>255</v>
      </c>
      <c r="J309" t="s">
        <v>255</v>
      </c>
      <c r="K309" t="s">
        <v>1586</v>
      </c>
      <c r="L309">
        <v>54.11</v>
      </c>
      <c r="M309">
        <v>3349.747</v>
      </c>
      <c r="N309" t="s">
        <v>1587</v>
      </c>
      <c r="O309">
        <v>54.66</v>
      </c>
      <c r="P309">
        <v>3199.919</v>
      </c>
      <c r="Q309" s="1">
        <f t="shared" si="25"/>
        <v>0.0101644797634448</v>
      </c>
      <c r="R309" s="1">
        <f t="shared" si="26"/>
        <v>-0.0447281540964138</v>
      </c>
      <c r="S309" t="s">
        <v>1542</v>
      </c>
      <c r="T309">
        <v>64.19</v>
      </c>
      <c r="U309">
        <v>3077.817</v>
      </c>
      <c r="V309" s="1">
        <f t="shared" si="27"/>
        <v>0.174350530552506</v>
      </c>
      <c r="W309" s="1">
        <f t="shared" si="28"/>
        <v>-0.038157840870347</v>
      </c>
      <c r="X309" t="s">
        <v>1585</v>
      </c>
      <c r="Y309">
        <v>56.78</v>
      </c>
      <c r="Z309">
        <v>3078.549</v>
      </c>
      <c r="AA309" s="2">
        <f t="shared" si="29"/>
        <v>-0.115438541828945</v>
      </c>
      <c r="AB309" s="2">
        <f t="shared" si="30"/>
        <v>0.000237830904176555</v>
      </c>
      <c r="AC309" t="s">
        <v>1309</v>
      </c>
      <c r="AD309">
        <v>54.9</v>
      </c>
      <c r="AE309">
        <v>3054.431</v>
      </c>
      <c r="AF309" s="2">
        <f t="shared" si="31"/>
        <v>-0.0331102500880592</v>
      </c>
      <c r="AG309" s="2">
        <f t="shared" si="32"/>
        <v>-0.0078342102074711</v>
      </c>
      <c r="AH309" t="s">
        <v>1588</v>
      </c>
      <c r="AI309" t="s">
        <v>41</v>
      </c>
      <c r="AJ309" t="s">
        <v>41</v>
      </c>
    </row>
    <row r="310" hidden="1" spans="1:36">
      <c r="A310">
        <v>113663</v>
      </c>
      <c r="B310" t="s">
        <v>1589</v>
      </c>
      <c r="C310">
        <v>603867</v>
      </c>
      <c r="D310" t="s">
        <v>1590</v>
      </c>
      <c r="E310" t="s">
        <v>178</v>
      </c>
      <c r="F310" t="s">
        <v>56</v>
      </c>
      <c r="G310" t="s">
        <v>1585</v>
      </c>
      <c r="H310" t="s">
        <v>33</v>
      </c>
      <c r="I310" t="s">
        <v>255</v>
      </c>
      <c r="J310" t="s">
        <v>255</v>
      </c>
      <c r="K310" t="s">
        <v>255</v>
      </c>
      <c r="L310" t="s">
        <v>41</v>
      </c>
      <c r="M310" t="s">
        <v>41</v>
      </c>
      <c r="N310" t="s">
        <v>255</v>
      </c>
      <c r="O310" t="s">
        <v>41</v>
      </c>
      <c r="P310" t="s">
        <v>41</v>
      </c>
      <c r="Q310" s="2"/>
      <c r="R310" s="2"/>
      <c r="S310" t="s">
        <v>255</v>
      </c>
      <c r="T310" t="s">
        <v>41</v>
      </c>
      <c r="U310" t="s">
        <v>41</v>
      </c>
      <c r="V310" s="2"/>
      <c r="W310" s="2"/>
      <c r="X310" t="s">
        <v>1585</v>
      </c>
      <c r="Y310">
        <v>29.26</v>
      </c>
      <c r="Z310">
        <v>3078.549</v>
      </c>
      <c r="AA310" s="2"/>
      <c r="AB310" s="2"/>
      <c r="AC310" t="s">
        <v>1370</v>
      </c>
      <c r="AD310">
        <v>31.96</v>
      </c>
      <c r="AE310">
        <v>3167.858</v>
      </c>
      <c r="AF310" s="2">
        <f t="shared" si="31"/>
        <v>0.0922761449077238</v>
      </c>
      <c r="AG310" s="2">
        <f t="shared" si="32"/>
        <v>0.0290100953403698</v>
      </c>
      <c r="AH310" t="s">
        <v>1588</v>
      </c>
      <c r="AI310" t="s">
        <v>32</v>
      </c>
      <c r="AJ310" t="s">
        <v>625</v>
      </c>
    </row>
    <row r="311" spans="1:36">
      <c r="A311">
        <v>123171</v>
      </c>
      <c r="B311" t="s">
        <v>1591</v>
      </c>
      <c r="C311">
        <v>300966</v>
      </c>
      <c r="D311" t="s">
        <v>1592</v>
      </c>
      <c r="E311" t="s">
        <v>212</v>
      </c>
      <c r="F311" t="s">
        <v>708</v>
      </c>
      <c r="G311" t="s">
        <v>1585</v>
      </c>
      <c r="H311" t="s">
        <v>33</v>
      </c>
      <c r="I311" t="s">
        <v>255</v>
      </c>
      <c r="J311" t="s">
        <v>255</v>
      </c>
      <c r="K311" t="s">
        <v>1487</v>
      </c>
      <c r="L311">
        <v>36.11</v>
      </c>
      <c r="M311">
        <v>3236.695</v>
      </c>
      <c r="N311" t="s">
        <v>1593</v>
      </c>
      <c r="O311">
        <v>24.49</v>
      </c>
      <c r="P311">
        <v>3126.398</v>
      </c>
      <c r="Q311" s="1">
        <f t="shared" si="25"/>
        <v>-0.321794516754362</v>
      </c>
      <c r="R311" s="1">
        <f t="shared" si="26"/>
        <v>-0.034077044639671</v>
      </c>
      <c r="S311" t="s">
        <v>1243</v>
      </c>
      <c r="T311">
        <v>26.96</v>
      </c>
      <c r="U311">
        <v>3036.132</v>
      </c>
      <c r="V311" s="1">
        <f t="shared" si="27"/>
        <v>0.100857492854226</v>
      </c>
      <c r="W311" s="1">
        <f t="shared" si="28"/>
        <v>-0.028872203730939</v>
      </c>
      <c r="X311" t="s">
        <v>1585</v>
      </c>
      <c r="Y311">
        <v>27.01</v>
      </c>
      <c r="Z311">
        <v>3078.549</v>
      </c>
      <c r="AA311" s="2">
        <f t="shared" si="29"/>
        <v>0.00185459940652822</v>
      </c>
      <c r="AB311" s="2">
        <f t="shared" si="30"/>
        <v>0.0139707364501938</v>
      </c>
      <c r="AC311" t="s">
        <v>1370</v>
      </c>
      <c r="AD311">
        <v>36.18</v>
      </c>
      <c r="AE311">
        <v>3167.858</v>
      </c>
      <c r="AF311" s="2">
        <f t="shared" si="31"/>
        <v>0.339503887449093</v>
      </c>
      <c r="AG311" s="2">
        <f t="shared" si="32"/>
        <v>0.0290100953403698</v>
      </c>
      <c r="AH311" t="s">
        <v>1588</v>
      </c>
      <c r="AI311" t="s">
        <v>41</v>
      </c>
      <c r="AJ311" t="s">
        <v>41</v>
      </c>
    </row>
    <row r="312" hidden="1" spans="1:36">
      <c r="A312">
        <v>113662</v>
      </c>
      <c r="B312" t="s">
        <v>1594</v>
      </c>
      <c r="C312">
        <v>603809</v>
      </c>
      <c r="D312" t="s">
        <v>265</v>
      </c>
      <c r="E312" t="s">
        <v>522</v>
      </c>
      <c r="F312" t="s">
        <v>41</v>
      </c>
      <c r="G312" t="s">
        <v>1353</v>
      </c>
      <c r="H312" t="s">
        <v>621</v>
      </c>
      <c r="I312" t="s">
        <v>255</v>
      </c>
      <c r="J312" t="s">
        <v>255</v>
      </c>
      <c r="K312" t="s">
        <v>255</v>
      </c>
      <c r="L312" t="s">
        <v>41</v>
      </c>
      <c r="M312" t="s">
        <v>41</v>
      </c>
      <c r="N312" t="s">
        <v>255</v>
      </c>
      <c r="O312" t="s">
        <v>41</v>
      </c>
      <c r="P312" t="s">
        <v>41</v>
      </c>
      <c r="Q312" s="2"/>
      <c r="R312" s="2"/>
      <c r="S312" t="s">
        <v>255</v>
      </c>
      <c r="T312" t="s">
        <v>41</v>
      </c>
      <c r="U312" t="s">
        <v>41</v>
      </c>
      <c r="V312" s="2"/>
      <c r="W312" s="2"/>
      <c r="X312" t="s">
        <v>1353</v>
      </c>
      <c r="Y312">
        <v>5.65</v>
      </c>
      <c r="Z312">
        <v>3101.693</v>
      </c>
      <c r="AA312" s="2"/>
      <c r="AB312" s="2"/>
      <c r="AC312" t="s">
        <v>1053</v>
      </c>
      <c r="AD312">
        <v>5.05</v>
      </c>
      <c r="AE312">
        <v>3045.866</v>
      </c>
      <c r="AF312" s="2">
        <f t="shared" si="31"/>
        <v>-0.106194690265487</v>
      </c>
      <c r="AG312" s="2">
        <f t="shared" si="32"/>
        <v>-0.0179988799665216</v>
      </c>
      <c r="AH312" t="s">
        <v>1595</v>
      </c>
      <c r="AI312" t="s">
        <v>337</v>
      </c>
      <c r="AJ312" t="s">
        <v>625</v>
      </c>
    </row>
    <row r="313" spans="1:36">
      <c r="A313">
        <v>123170</v>
      </c>
      <c r="B313" t="s">
        <v>1596</v>
      </c>
      <c r="C313">
        <v>300346</v>
      </c>
      <c r="D313" t="s">
        <v>1597</v>
      </c>
      <c r="E313" t="s">
        <v>1183</v>
      </c>
      <c r="F313" t="s">
        <v>41</v>
      </c>
      <c r="G313" t="s">
        <v>1427</v>
      </c>
      <c r="H313" t="s">
        <v>621</v>
      </c>
      <c r="I313" t="s">
        <v>255</v>
      </c>
      <c r="J313" t="s">
        <v>255</v>
      </c>
      <c r="K313" t="s">
        <v>1598</v>
      </c>
      <c r="L313">
        <v>19.38</v>
      </c>
      <c r="M313">
        <v>2958.282</v>
      </c>
      <c r="N313" t="s">
        <v>1599</v>
      </c>
      <c r="O313">
        <v>26.11</v>
      </c>
      <c r="P313">
        <v>3304.724</v>
      </c>
      <c r="Q313" s="1">
        <f t="shared" si="25"/>
        <v>0.347265221878225</v>
      </c>
      <c r="R313" s="1">
        <f t="shared" si="26"/>
        <v>0.117109187021386</v>
      </c>
      <c r="S313" t="s">
        <v>1243</v>
      </c>
      <c r="T313">
        <v>26.92</v>
      </c>
      <c r="U313">
        <v>3036.132</v>
      </c>
      <c r="V313" s="1">
        <f t="shared" si="27"/>
        <v>0.0310225967062429</v>
      </c>
      <c r="W313" s="1">
        <f t="shared" si="28"/>
        <v>-0.0812751685163421</v>
      </c>
      <c r="X313" t="s">
        <v>1427</v>
      </c>
      <c r="Y313">
        <v>26.67</v>
      </c>
      <c r="Z313">
        <v>3089.31</v>
      </c>
      <c r="AA313" s="2">
        <f t="shared" si="29"/>
        <v>-0.00928677563150074</v>
      </c>
      <c r="AB313" s="2">
        <f t="shared" si="30"/>
        <v>0.017515048752821</v>
      </c>
      <c r="AC313" t="s">
        <v>1299</v>
      </c>
      <c r="AD313">
        <v>26.45</v>
      </c>
      <c r="AE313">
        <v>3168.648</v>
      </c>
      <c r="AF313" s="2">
        <f t="shared" si="31"/>
        <v>-0.00824896887889023</v>
      </c>
      <c r="AG313" s="2">
        <f t="shared" si="32"/>
        <v>0.0256814628509279</v>
      </c>
      <c r="AH313" t="s">
        <v>1600</v>
      </c>
      <c r="AI313" t="s">
        <v>580</v>
      </c>
      <c r="AJ313" t="s">
        <v>625</v>
      </c>
    </row>
    <row r="314" spans="1:36">
      <c r="A314">
        <v>123168</v>
      </c>
      <c r="B314" t="s">
        <v>1601</v>
      </c>
      <c r="C314">
        <v>300891</v>
      </c>
      <c r="D314" t="s">
        <v>1602</v>
      </c>
      <c r="E314" t="s">
        <v>1603</v>
      </c>
      <c r="F314" t="s">
        <v>56</v>
      </c>
      <c r="G314" t="s">
        <v>1339</v>
      </c>
      <c r="H314" t="s">
        <v>33</v>
      </c>
      <c r="I314" t="s">
        <v>255</v>
      </c>
      <c r="J314" t="s">
        <v>255</v>
      </c>
      <c r="K314" t="s">
        <v>1604</v>
      </c>
      <c r="L314">
        <v>11.04</v>
      </c>
      <c r="M314">
        <v>3086.919</v>
      </c>
      <c r="N314" t="s">
        <v>1599</v>
      </c>
      <c r="O314">
        <v>13.33</v>
      </c>
      <c r="P314">
        <v>3304.724</v>
      </c>
      <c r="Q314" s="1">
        <f t="shared" si="25"/>
        <v>0.207427536231884</v>
      </c>
      <c r="R314" s="1">
        <f t="shared" si="26"/>
        <v>0.070557406916087</v>
      </c>
      <c r="S314" t="s">
        <v>1446</v>
      </c>
      <c r="T314">
        <v>12.76</v>
      </c>
      <c r="U314">
        <v>3277.544</v>
      </c>
      <c r="V314" s="1">
        <f t="shared" si="27"/>
        <v>-0.0427606901725432</v>
      </c>
      <c r="W314" s="1">
        <f t="shared" si="28"/>
        <v>-0.00822459001114777</v>
      </c>
      <c r="X314" t="s">
        <v>1339</v>
      </c>
      <c r="Y314">
        <v>10.33</v>
      </c>
      <c r="Z314">
        <v>3096.907</v>
      </c>
      <c r="AA314" s="2">
        <f t="shared" si="29"/>
        <v>-0.190438871473354</v>
      </c>
      <c r="AB314" s="2">
        <f t="shared" si="30"/>
        <v>-0.055113524028968</v>
      </c>
      <c r="AC314" t="s">
        <v>1550</v>
      </c>
      <c r="AD314">
        <v>10.07</v>
      </c>
      <c r="AE314">
        <v>3176.525</v>
      </c>
      <c r="AF314" s="2">
        <f t="shared" si="31"/>
        <v>-0.0251694094869312</v>
      </c>
      <c r="AG314" s="2">
        <f t="shared" si="32"/>
        <v>0.0257088766307803</v>
      </c>
      <c r="AH314" t="s">
        <v>1605</v>
      </c>
      <c r="AI314" t="s">
        <v>41</v>
      </c>
      <c r="AJ314" t="s">
        <v>41</v>
      </c>
    </row>
    <row r="315" spans="1:36">
      <c r="A315">
        <v>123169</v>
      </c>
      <c r="B315" t="s">
        <v>1606</v>
      </c>
      <c r="C315">
        <v>300224</v>
      </c>
      <c r="D315" t="s">
        <v>1607</v>
      </c>
      <c r="E315" t="s">
        <v>1608</v>
      </c>
      <c r="F315" t="s">
        <v>41</v>
      </c>
      <c r="G315" t="s">
        <v>1339</v>
      </c>
      <c r="H315" t="s">
        <v>621</v>
      </c>
      <c r="I315" t="s">
        <v>255</v>
      </c>
      <c r="J315" t="s">
        <v>255</v>
      </c>
      <c r="K315" t="s">
        <v>1609</v>
      </c>
      <c r="L315">
        <v>15.5</v>
      </c>
      <c r="M315">
        <v>3272.001</v>
      </c>
      <c r="N315" t="s">
        <v>1541</v>
      </c>
      <c r="O315">
        <v>12.43</v>
      </c>
      <c r="P315">
        <v>3117.177</v>
      </c>
      <c r="Q315" s="1">
        <f t="shared" si="25"/>
        <v>-0.198064516129032</v>
      </c>
      <c r="R315" s="1">
        <f t="shared" si="26"/>
        <v>-0.0473178339493173</v>
      </c>
      <c r="S315" t="s">
        <v>1243</v>
      </c>
      <c r="T315">
        <v>12.73</v>
      </c>
      <c r="U315">
        <v>3036.132</v>
      </c>
      <c r="V315" s="1">
        <f t="shared" si="27"/>
        <v>0.0241351568785198</v>
      </c>
      <c r="W315" s="1">
        <f t="shared" si="28"/>
        <v>-0.0259994860734569</v>
      </c>
      <c r="X315" t="s">
        <v>1339</v>
      </c>
      <c r="Y315">
        <v>12.26</v>
      </c>
      <c r="Z315">
        <v>3096.907</v>
      </c>
      <c r="AA315" s="2">
        <f t="shared" si="29"/>
        <v>-0.0369206598586018</v>
      </c>
      <c r="AB315" s="2">
        <f t="shared" si="30"/>
        <v>0.0200172456270018</v>
      </c>
      <c r="AC315" t="s">
        <v>874</v>
      </c>
      <c r="AD315">
        <v>12.14</v>
      </c>
      <c r="AE315">
        <v>3179.042</v>
      </c>
      <c r="AF315" s="2">
        <f t="shared" si="31"/>
        <v>-0.00978792822185964</v>
      </c>
      <c r="AG315" s="2">
        <f t="shared" si="32"/>
        <v>0.0265216230258125</v>
      </c>
      <c r="AH315" t="s">
        <v>1605</v>
      </c>
      <c r="AI315" t="s">
        <v>173</v>
      </c>
      <c r="AJ315" t="s">
        <v>625</v>
      </c>
    </row>
    <row r="316" hidden="1" spans="1:36">
      <c r="A316">
        <v>113661</v>
      </c>
      <c r="B316" t="s">
        <v>1610</v>
      </c>
      <c r="C316">
        <v>603806</v>
      </c>
      <c r="D316" t="s">
        <v>1611</v>
      </c>
      <c r="E316" t="s">
        <v>1612</v>
      </c>
      <c r="F316" t="s">
        <v>397</v>
      </c>
      <c r="G316" t="s">
        <v>1613</v>
      </c>
      <c r="H316" t="s">
        <v>33</v>
      </c>
      <c r="I316" t="s">
        <v>255</v>
      </c>
      <c r="J316" t="s">
        <v>255</v>
      </c>
      <c r="K316" t="s">
        <v>255</v>
      </c>
      <c r="L316" t="s">
        <v>41</v>
      </c>
      <c r="M316" t="s">
        <v>41</v>
      </c>
      <c r="N316" t="s">
        <v>255</v>
      </c>
      <c r="O316" t="s">
        <v>41</v>
      </c>
      <c r="P316" t="s">
        <v>41</v>
      </c>
      <c r="Q316" s="2"/>
      <c r="R316" s="2"/>
      <c r="S316" t="s">
        <v>255</v>
      </c>
      <c r="T316" t="s">
        <v>41</v>
      </c>
      <c r="U316" t="s">
        <v>41</v>
      </c>
      <c r="V316" s="2"/>
      <c r="W316" s="2"/>
      <c r="X316" t="s">
        <v>1613</v>
      </c>
      <c r="Y316">
        <v>30.87</v>
      </c>
      <c r="Z316">
        <v>3088.943</v>
      </c>
      <c r="AA316" s="2"/>
      <c r="AB316" s="2"/>
      <c r="AC316" t="s">
        <v>1309</v>
      </c>
      <c r="AD316">
        <v>29.55</v>
      </c>
      <c r="AE316">
        <v>3054.431</v>
      </c>
      <c r="AF316" s="2">
        <f t="shared" si="31"/>
        <v>-0.0427599611273081</v>
      </c>
      <c r="AG316" s="2">
        <f t="shared" si="32"/>
        <v>-0.0111727539161455</v>
      </c>
      <c r="AH316" t="s">
        <v>1614</v>
      </c>
      <c r="AI316" t="s">
        <v>41</v>
      </c>
      <c r="AJ316" t="s">
        <v>41</v>
      </c>
    </row>
    <row r="317" spans="1:36">
      <c r="A317">
        <v>123167</v>
      </c>
      <c r="B317" t="s">
        <v>1615</v>
      </c>
      <c r="C317">
        <v>300975</v>
      </c>
      <c r="D317" t="s">
        <v>294</v>
      </c>
      <c r="E317" t="s">
        <v>1616</v>
      </c>
      <c r="F317" t="s">
        <v>41</v>
      </c>
      <c r="G317" t="s">
        <v>76</v>
      </c>
      <c r="H317" t="s">
        <v>621</v>
      </c>
      <c r="I317" t="s">
        <v>255</v>
      </c>
      <c r="J317" t="s">
        <v>255</v>
      </c>
      <c r="K317" t="s">
        <v>1617</v>
      </c>
      <c r="L317">
        <v>10.63</v>
      </c>
      <c r="M317">
        <v>3361.44</v>
      </c>
      <c r="N317" t="s">
        <v>1618</v>
      </c>
      <c r="O317">
        <v>8.1</v>
      </c>
      <c r="P317">
        <v>3163.674</v>
      </c>
      <c r="Q317" s="1">
        <f t="shared" si="25"/>
        <v>-0.238005644402634</v>
      </c>
      <c r="R317" s="1">
        <f t="shared" si="26"/>
        <v>-0.0588337141225189</v>
      </c>
      <c r="S317" t="s">
        <v>1115</v>
      </c>
      <c r="T317">
        <v>8.1</v>
      </c>
      <c r="U317">
        <v>3246.248</v>
      </c>
      <c r="V317" s="1">
        <f t="shared" si="27"/>
        <v>0</v>
      </c>
      <c r="W317" s="1">
        <f t="shared" si="28"/>
        <v>0.0261006665035652</v>
      </c>
      <c r="X317" t="s">
        <v>76</v>
      </c>
      <c r="Y317">
        <v>7.18</v>
      </c>
      <c r="Z317">
        <v>3115.435</v>
      </c>
      <c r="AA317" s="2">
        <f t="shared" si="29"/>
        <v>-0.11358024691358</v>
      </c>
      <c r="AB317" s="2">
        <f t="shared" si="30"/>
        <v>-0.0402966748073469</v>
      </c>
      <c r="AC317" t="s">
        <v>1619</v>
      </c>
      <c r="AD317">
        <v>6.78</v>
      </c>
      <c r="AE317">
        <v>3206.95</v>
      </c>
      <c r="AF317" s="2">
        <f t="shared" si="31"/>
        <v>-0.0557103064066852</v>
      </c>
      <c r="AG317" s="2">
        <f t="shared" si="32"/>
        <v>0.029374710112713</v>
      </c>
      <c r="AH317" t="s">
        <v>1620</v>
      </c>
      <c r="AI317" t="s">
        <v>1621</v>
      </c>
      <c r="AJ317" t="s">
        <v>625</v>
      </c>
    </row>
    <row r="318" hidden="1" spans="1:36">
      <c r="A318">
        <v>113660</v>
      </c>
      <c r="B318" t="s">
        <v>1622</v>
      </c>
      <c r="C318">
        <v>603896</v>
      </c>
      <c r="D318" t="s">
        <v>1623</v>
      </c>
      <c r="E318" t="s">
        <v>628</v>
      </c>
      <c r="F318" t="s">
        <v>56</v>
      </c>
      <c r="G318" t="s">
        <v>76</v>
      </c>
      <c r="H318" t="s">
        <v>33</v>
      </c>
      <c r="I318" t="s">
        <v>255</v>
      </c>
      <c r="J318" t="s">
        <v>255</v>
      </c>
      <c r="K318" t="s">
        <v>255</v>
      </c>
      <c r="L318" t="s">
        <v>41</v>
      </c>
      <c r="M318" t="s">
        <v>41</v>
      </c>
      <c r="N318" t="s">
        <v>255</v>
      </c>
      <c r="O318" t="s">
        <v>41</v>
      </c>
      <c r="P318" t="s">
        <v>41</v>
      </c>
      <c r="Q318" s="2"/>
      <c r="R318" s="2"/>
      <c r="S318" t="s">
        <v>255</v>
      </c>
      <c r="T318" t="s">
        <v>41</v>
      </c>
      <c r="U318" t="s">
        <v>41</v>
      </c>
      <c r="V318" s="2"/>
      <c r="W318" s="2"/>
      <c r="X318" t="s">
        <v>76</v>
      </c>
      <c r="Y318">
        <v>38.2</v>
      </c>
      <c r="Z318">
        <v>3115.435</v>
      </c>
      <c r="AA318" s="2"/>
      <c r="AB318" s="2"/>
      <c r="AC318" t="s">
        <v>874</v>
      </c>
      <c r="AD318">
        <v>39.26</v>
      </c>
      <c r="AE318">
        <v>3179.042</v>
      </c>
      <c r="AF318" s="2">
        <f t="shared" si="31"/>
        <v>0.0277486910994763</v>
      </c>
      <c r="AG318" s="2">
        <f t="shared" si="32"/>
        <v>0.0204167315318727</v>
      </c>
      <c r="AH318" t="s">
        <v>1620</v>
      </c>
      <c r="AI318" t="s">
        <v>41</v>
      </c>
      <c r="AJ318" t="s">
        <v>41</v>
      </c>
    </row>
    <row r="319" hidden="1" spans="1:36">
      <c r="A319">
        <v>113064</v>
      </c>
      <c r="B319" t="s">
        <v>1624</v>
      </c>
      <c r="C319">
        <v>601208</v>
      </c>
      <c r="D319" t="s">
        <v>1625</v>
      </c>
      <c r="E319" t="s">
        <v>1608</v>
      </c>
      <c r="F319" t="s">
        <v>41</v>
      </c>
      <c r="G319" t="s">
        <v>1329</v>
      </c>
      <c r="H319" t="s">
        <v>621</v>
      </c>
      <c r="I319" t="s">
        <v>255</v>
      </c>
      <c r="J319" t="s">
        <v>255</v>
      </c>
      <c r="K319" t="s">
        <v>255</v>
      </c>
      <c r="L319" t="s">
        <v>41</v>
      </c>
      <c r="M319" t="s">
        <v>41</v>
      </c>
      <c r="N319" t="s">
        <v>255</v>
      </c>
      <c r="O319" t="s">
        <v>41</v>
      </c>
      <c r="P319" t="s">
        <v>41</v>
      </c>
      <c r="Q319" s="2"/>
      <c r="R319" s="2"/>
      <c r="S319" t="s">
        <v>255</v>
      </c>
      <c r="T319" t="s">
        <v>41</v>
      </c>
      <c r="U319" t="s">
        <v>41</v>
      </c>
      <c r="V319" s="2"/>
      <c r="W319" s="2"/>
      <c r="X319" t="s">
        <v>1329</v>
      </c>
      <c r="Y319">
        <v>12.51</v>
      </c>
      <c r="Z319">
        <v>3119.98</v>
      </c>
      <c r="AA319" s="2"/>
      <c r="AB319" s="2"/>
      <c r="AC319" t="s">
        <v>874</v>
      </c>
      <c r="AD319">
        <v>11.84</v>
      </c>
      <c r="AE319">
        <v>3179.042</v>
      </c>
      <c r="AF319" s="2">
        <f t="shared" si="31"/>
        <v>-0.0535571542765787</v>
      </c>
      <c r="AG319" s="2">
        <f t="shared" si="32"/>
        <v>0.0189302495528817</v>
      </c>
      <c r="AH319" t="s">
        <v>1626</v>
      </c>
      <c r="AI319" t="s">
        <v>971</v>
      </c>
      <c r="AJ319" t="s">
        <v>625</v>
      </c>
    </row>
    <row r="320" hidden="1" spans="1:36">
      <c r="A320">
        <v>111010</v>
      </c>
      <c r="B320" t="s">
        <v>1627</v>
      </c>
      <c r="C320">
        <v>605358</v>
      </c>
      <c r="D320" t="s">
        <v>1628</v>
      </c>
      <c r="E320" t="s">
        <v>1629</v>
      </c>
      <c r="F320" t="s">
        <v>397</v>
      </c>
      <c r="G320" t="s">
        <v>1318</v>
      </c>
      <c r="H320" t="s">
        <v>33</v>
      </c>
      <c r="I320" t="s">
        <v>255</v>
      </c>
      <c r="J320" t="s">
        <v>255</v>
      </c>
      <c r="K320" t="s">
        <v>255</v>
      </c>
      <c r="L320" t="s">
        <v>41</v>
      </c>
      <c r="M320" t="s">
        <v>41</v>
      </c>
      <c r="N320" t="s">
        <v>255</v>
      </c>
      <c r="O320" t="s">
        <v>41</v>
      </c>
      <c r="P320" t="s">
        <v>41</v>
      </c>
      <c r="Q320" s="2"/>
      <c r="R320" s="2"/>
      <c r="S320" t="s">
        <v>255</v>
      </c>
      <c r="T320" t="s">
        <v>41</v>
      </c>
      <c r="U320" t="s">
        <v>41</v>
      </c>
      <c r="V320" s="2"/>
      <c r="W320" s="2"/>
      <c r="X320" t="s">
        <v>1318</v>
      </c>
      <c r="Y320">
        <v>44.41</v>
      </c>
      <c r="Z320">
        <v>3083.401</v>
      </c>
      <c r="AA320" s="2"/>
      <c r="AB320" s="2"/>
      <c r="AC320" t="s">
        <v>1630</v>
      </c>
      <c r="AD320">
        <v>47.41</v>
      </c>
      <c r="AE320">
        <v>3199.619</v>
      </c>
      <c r="AF320" s="2">
        <f t="shared" si="31"/>
        <v>0.0675523530736321</v>
      </c>
      <c r="AG320" s="2">
        <f t="shared" si="32"/>
        <v>0.0376914971487654</v>
      </c>
      <c r="AH320" t="s">
        <v>1631</v>
      </c>
      <c r="AI320" t="s">
        <v>41</v>
      </c>
      <c r="AJ320" t="s">
        <v>41</v>
      </c>
    </row>
    <row r="321" hidden="1" spans="1:36">
      <c r="A321">
        <v>111009</v>
      </c>
      <c r="B321" t="s">
        <v>1632</v>
      </c>
      <c r="C321">
        <v>605138</v>
      </c>
      <c r="D321" t="s">
        <v>1633</v>
      </c>
      <c r="E321" t="s">
        <v>1634</v>
      </c>
      <c r="F321" t="s">
        <v>397</v>
      </c>
      <c r="G321" t="s">
        <v>1542</v>
      </c>
      <c r="H321" t="s">
        <v>33</v>
      </c>
      <c r="I321" t="s">
        <v>255</v>
      </c>
      <c r="J321" t="s">
        <v>255</v>
      </c>
      <c r="K321" t="s">
        <v>255</v>
      </c>
      <c r="L321" t="s">
        <v>41</v>
      </c>
      <c r="M321" t="s">
        <v>41</v>
      </c>
      <c r="N321" t="s">
        <v>255</v>
      </c>
      <c r="O321" t="s">
        <v>41</v>
      </c>
      <c r="P321" t="s">
        <v>41</v>
      </c>
      <c r="Q321" s="2"/>
      <c r="R321" s="2"/>
      <c r="S321" t="s">
        <v>255</v>
      </c>
      <c r="T321" t="s">
        <v>41</v>
      </c>
      <c r="U321" t="s">
        <v>41</v>
      </c>
      <c r="V321" s="2"/>
      <c r="W321" s="2"/>
      <c r="X321" t="s">
        <v>1542</v>
      </c>
      <c r="Y321">
        <v>10.73</v>
      </c>
      <c r="Z321">
        <v>3077.817</v>
      </c>
      <c r="AA321" s="2"/>
      <c r="AB321" s="2"/>
      <c r="AC321" t="s">
        <v>1433</v>
      </c>
      <c r="AD321">
        <v>11.28</v>
      </c>
      <c r="AE321">
        <v>3165.471</v>
      </c>
      <c r="AF321" s="2">
        <f t="shared" si="31"/>
        <v>0.0512581547064305</v>
      </c>
      <c r="AG321" s="2">
        <f t="shared" si="32"/>
        <v>0.0284792760583232</v>
      </c>
      <c r="AH321" t="s">
        <v>1635</v>
      </c>
      <c r="AI321" t="s">
        <v>41</v>
      </c>
      <c r="AJ321" t="s">
        <v>41</v>
      </c>
    </row>
    <row r="322" spans="1:36">
      <c r="A322">
        <v>123166</v>
      </c>
      <c r="B322" t="s">
        <v>1636</v>
      </c>
      <c r="C322">
        <v>300876</v>
      </c>
      <c r="D322" t="s">
        <v>1637</v>
      </c>
      <c r="E322" t="s">
        <v>218</v>
      </c>
      <c r="F322" t="s">
        <v>41</v>
      </c>
      <c r="G322" t="s">
        <v>1638</v>
      </c>
      <c r="H322" t="s">
        <v>621</v>
      </c>
      <c r="I322" t="s">
        <v>255</v>
      </c>
      <c r="J322" t="s">
        <v>255</v>
      </c>
      <c r="K322" t="s">
        <v>1540</v>
      </c>
      <c r="L322">
        <v>18.02</v>
      </c>
      <c r="M322">
        <v>2886.426</v>
      </c>
      <c r="N322" t="s">
        <v>1419</v>
      </c>
      <c r="O322">
        <v>22.74</v>
      </c>
      <c r="P322">
        <v>3284.292</v>
      </c>
      <c r="Q322" s="1">
        <f t="shared" si="25"/>
        <v>0.261931187569367</v>
      </c>
      <c r="R322" s="1">
        <f t="shared" si="26"/>
        <v>0.137840360362608</v>
      </c>
      <c r="S322" t="s">
        <v>1115</v>
      </c>
      <c r="T322">
        <v>25.6</v>
      </c>
      <c r="U322">
        <v>3246.248</v>
      </c>
      <c r="V322" s="1">
        <f t="shared" si="27"/>
        <v>0.125769569041337</v>
      </c>
      <c r="W322" s="1">
        <f t="shared" si="28"/>
        <v>-0.0115836228934577</v>
      </c>
      <c r="X322" t="s">
        <v>1638</v>
      </c>
      <c r="Y322">
        <v>25.4</v>
      </c>
      <c r="Z322">
        <v>3003.37</v>
      </c>
      <c r="AA322" s="2">
        <f t="shared" si="29"/>
        <v>-0.00781250000000011</v>
      </c>
      <c r="AB322" s="2">
        <f t="shared" si="30"/>
        <v>-0.0748180668882969</v>
      </c>
      <c r="AC322" t="s">
        <v>1353</v>
      </c>
      <c r="AD322">
        <v>30.15</v>
      </c>
      <c r="AE322">
        <v>3101.693</v>
      </c>
      <c r="AF322" s="2">
        <f t="shared" si="31"/>
        <v>0.187007874015748</v>
      </c>
      <c r="AG322" s="2">
        <f t="shared" si="32"/>
        <v>0.0327375581430195</v>
      </c>
      <c r="AH322" t="s">
        <v>1639</v>
      </c>
      <c r="AI322" t="s">
        <v>278</v>
      </c>
      <c r="AJ322" t="s">
        <v>625</v>
      </c>
    </row>
    <row r="323" hidden="1" spans="1:36">
      <c r="A323">
        <v>111008</v>
      </c>
      <c r="B323" t="s">
        <v>1640</v>
      </c>
      <c r="C323">
        <v>605128</v>
      </c>
      <c r="D323" t="s">
        <v>1641</v>
      </c>
      <c r="E323" t="s">
        <v>1642</v>
      </c>
      <c r="F323" t="s">
        <v>41</v>
      </c>
      <c r="G323" t="s">
        <v>1638</v>
      </c>
      <c r="H323" t="s">
        <v>621</v>
      </c>
      <c r="I323" t="s">
        <v>255</v>
      </c>
      <c r="J323" t="s">
        <v>255</v>
      </c>
      <c r="K323" t="s">
        <v>255</v>
      </c>
      <c r="L323" t="s">
        <v>41</v>
      </c>
      <c r="M323" t="s">
        <v>41</v>
      </c>
      <c r="N323" t="s">
        <v>255</v>
      </c>
      <c r="O323" t="s">
        <v>41</v>
      </c>
      <c r="P323" t="s">
        <v>41</v>
      </c>
      <c r="Q323" s="2"/>
      <c r="R323" s="2"/>
      <c r="S323" t="s">
        <v>255</v>
      </c>
      <c r="T323" t="s">
        <v>41</v>
      </c>
      <c r="U323" t="s">
        <v>41</v>
      </c>
      <c r="V323" s="2"/>
      <c r="W323" s="2"/>
      <c r="X323" t="s">
        <v>1638</v>
      </c>
      <c r="Y323">
        <v>24.01</v>
      </c>
      <c r="Z323">
        <v>3003.37</v>
      </c>
      <c r="AA323" s="2"/>
      <c r="AB323" s="2"/>
      <c r="AC323" t="s">
        <v>1585</v>
      </c>
      <c r="AD323">
        <v>23.81</v>
      </c>
      <c r="AE323">
        <v>3078.549</v>
      </c>
      <c r="AF323" s="2">
        <f t="shared" ref="AF323:AF386" si="33">(AD323-Y323)/Y323</f>
        <v>-0.00832986255726792</v>
      </c>
      <c r="AG323" s="2">
        <f t="shared" ref="AG323:AG386" si="34">(AE323-Z323)/Z323</f>
        <v>0.0250315478945318</v>
      </c>
      <c r="AH323" t="s">
        <v>1639</v>
      </c>
      <c r="AI323" t="s">
        <v>544</v>
      </c>
      <c r="AJ323" t="s">
        <v>625</v>
      </c>
    </row>
    <row r="324" hidden="1" spans="1:36">
      <c r="A324">
        <v>113063</v>
      </c>
      <c r="B324" t="s">
        <v>1643</v>
      </c>
      <c r="C324">
        <v>601058</v>
      </c>
      <c r="D324" t="s">
        <v>1644</v>
      </c>
      <c r="E324" t="s">
        <v>1645</v>
      </c>
      <c r="F324" t="s">
        <v>41</v>
      </c>
      <c r="G324" t="s">
        <v>1638</v>
      </c>
      <c r="H324" t="s">
        <v>621</v>
      </c>
      <c r="I324" t="s">
        <v>255</v>
      </c>
      <c r="J324" t="s">
        <v>255</v>
      </c>
      <c r="K324" t="s">
        <v>255</v>
      </c>
      <c r="L324" t="s">
        <v>41</v>
      </c>
      <c r="M324" t="s">
        <v>41</v>
      </c>
      <c r="N324" t="s">
        <v>255</v>
      </c>
      <c r="O324" t="s">
        <v>41</v>
      </c>
      <c r="P324" t="s">
        <v>41</v>
      </c>
      <c r="Q324" s="2"/>
      <c r="R324" s="2"/>
      <c r="S324" t="s">
        <v>255</v>
      </c>
      <c r="T324" t="s">
        <v>41</v>
      </c>
      <c r="U324" t="s">
        <v>41</v>
      </c>
      <c r="V324" s="2"/>
      <c r="W324" s="2"/>
      <c r="X324" t="s">
        <v>1638</v>
      </c>
      <c r="Y324">
        <v>8.4</v>
      </c>
      <c r="Z324">
        <v>3003.37</v>
      </c>
      <c r="AA324" s="2"/>
      <c r="AB324" s="2"/>
      <c r="AC324" t="s">
        <v>1427</v>
      </c>
      <c r="AD324">
        <v>8.16</v>
      </c>
      <c r="AE324">
        <v>3089.31</v>
      </c>
      <c r="AF324" s="2">
        <f t="shared" si="33"/>
        <v>-0.0285714285714286</v>
      </c>
      <c r="AG324" s="2">
        <f t="shared" si="34"/>
        <v>0.0286145230191419</v>
      </c>
      <c r="AH324" t="s">
        <v>1639</v>
      </c>
      <c r="AI324" t="s">
        <v>1646</v>
      </c>
      <c r="AJ324" t="s">
        <v>625</v>
      </c>
    </row>
    <row r="325" spans="1:36">
      <c r="A325">
        <v>123165</v>
      </c>
      <c r="B325" t="s">
        <v>1647</v>
      </c>
      <c r="C325">
        <v>300041</v>
      </c>
      <c r="D325" t="s">
        <v>1648</v>
      </c>
      <c r="E325" t="s">
        <v>390</v>
      </c>
      <c r="F325" t="s">
        <v>56</v>
      </c>
      <c r="G325" t="s">
        <v>1348</v>
      </c>
      <c r="H325" t="s">
        <v>33</v>
      </c>
      <c r="I325" t="s">
        <v>255</v>
      </c>
      <c r="J325" t="s">
        <v>255</v>
      </c>
      <c r="K325" t="s">
        <v>1649</v>
      </c>
      <c r="L325">
        <v>10.96</v>
      </c>
      <c r="M325">
        <v>3305.407</v>
      </c>
      <c r="N325" t="s">
        <v>1466</v>
      </c>
      <c r="O325">
        <v>18.12</v>
      </c>
      <c r="P325">
        <v>3281.665</v>
      </c>
      <c r="Q325" s="1">
        <f t="shared" ref="Q323:Q386" si="35">(O325-L325)/L325</f>
        <v>0.653284671532847</v>
      </c>
      <c r="R325" s="1">
        <f t="shared" ref="R323:R386" si="36">(P325-M325)/M325</f>
        <v>-0.00718277658394267</v>
      </c>
      <c r="S325" t="s">
        <v>1376</v>
      </c>
      <c r="T325">
        <v>15.88</v>
      </c>
      <c r="U325">
        <v>3246.294</v>
      </c>
      <c r="V325" s="1">
        <f t="shared" ref="V323:V386" si="37">(T325-O325)/O325</f>
        <v>-0.123620309050773</v>
      </c>
      <c r="W325" s="1">
        <f t="shared" ref="W323:W386" si="38">(U325-P325)/P325</f>
        <v>-0.0107783701261403</v>
      </c>
      <c r="X325" t="s">
        <v>1348</v>
      </c>
      <c r="Y325">
        <v>11.57</v>
      </c>
      <c r="Z325">
        <v>2982.903</v>
      </c>
      <c r="AA325" s="2">
        <f t="shared" ref="AA323:AA386" si="39">(Y325-T325)/T325</f>
        <v>-0.271410579345088</v>
      </c>
      <c r="AB325" s="2">
        <f t="shared" ref="AB323:AB386" si="40">(Z325-U325)/U325</f>
        <v>-0.0811359045114214</v>
      </c>
      <c r="AC325" t="s">
        <v>1454</v>
      </c>
      <c r="AD325">
        <v>13.38</v>
      </c>
      <c r="AE325">
        <v>3134.078</v>
      </c>
      <c r="AF325" s="2">
        <f t="shared" si="33"/>
        <v>0.156439066551426</v>
      </c>
      <c r="AG325" s="2">
        <f t="shared" si="34"/>
        <v>0.0506804948065694</v>
      </c>
      <c r="AH325" t="s">
        <v>1650</v>
      </c>
      <c r="AI325" t="s">
        <v>41</v>
      </c>
      <c r="AJ325" t="s">
        <v>41</v>
      </c>
    </row>
    <row r="326" hidden="1" spans="1:36">
      <c r="A326">
        <v>127076</v>
      </c>
      <c r="B326" t="s">
        <v>1651</v>
      </c>
      <c r="C326">
        <v>2891</v>
      </c>
      <c r="D326" t="s">
        <v>1652</v>
      </c>
      <c r="E326" t="s">
        <v>1653</v>
      </c>
      <c r="F326" t="s">
        <v>56</v>
      </c>
      <c r="G326" t="s">
        <v>1312</v>
      </c>
      <c r="H326" t="s">
        <v>33</v>
      </c>
      <c r="I326" t="s">
        <v>255</v>
      </c>
      <c r="J326" t="s">
        <v>255</v>
      </c>
      <c r="K326" t="s">
        <v>255</v>
      </c>
      <c r="L326" t="s">
        <v>41</v>
      </c>
      <c r="M326" t="s">
        <v>41</v>
      </c>
      <c r="N326" t="s">
        <v>255</v>
      </c>
      <c r="O326" t="s">
        <v>41</v>
      </c>
      <c r="P326" t="s">
        <v>41</v>
      </c>
      <c r="Q326" s="2"/>
      <c r="R326" s="2"/>
      <c r="S326" t="s">
        <v>255</v>
      </c>
      <c r="T326" t="s">
        <v>41</v>
      </c>
      <c r="U326" t="s">
        <v>41</v>
      </c>
      <c r="V326" s="2"/>
      <c r="W326" s="2"/>
      <c r="X326" t="s">
        <v>1312</v>
      </c>
      <c r="Y326">
        <v>19.94</v>
      </c>
      <c r="Z326">
        <v>2976.283</v>
      </c>
      <c r="AA326" s="2"/>
      <c r="AB326" s="2"/>
      <c r="AC326" t="s">
        <v>1654</v>
      </c>
      <c r="AD326">
        <v>21.17</v>
      </c>
      <c r="AE326">
        <v>3085.044</v>
      </c>
      <c r="AF326" s="2">
        <f t="shared" si="33"/>
        <v>0.0616850551654965</v>
      </c>
      <c r="AG326" s="2">
        <f t="shared" si="34"/>
        <v>0.0365425599648958</v>
      </c>
      <c r="AH326" t="s">
        <v>1655</v>
      </c>
      <c r="AI326" t="s">
        <v>41</v>
      </c>
      <c r="AJ326" t="s">
        <v>41</v>
      </c>
    </row>
    <row r="327" spans="1:36">
      <c r="A327">
        <v>118026</v>
      </c>
      <c r="B327" t="s">
        <v>1656</v>
      </c>
      <c r="C327">
        <v>688499</v>
      </c>
      <c r="D327" t="s">
        <v>1657</v>
      </c>
      <c r="E327" t="s">
        <v>1462</v>
      </c>
      <c r="F327" t="s">
        <v>41</v>
      </c>
      <c r="G327" t="s">
        <v>1658</v>
      </c>
      <c r="H327" t="s">
        <v>621</v>
      </c>
      <c r="I327" t="s">
        <v>255</v>
      </c>
      <c r="J327" t="s">
        <v>255</v>
      </c>
      <c r="K327" t="s">
        <v>1659</v>
      </c>
      <c r="L327">
        <v>133.45</v>
      </c>
      <c r="M327">
        <v>3251.072</v>
      </c>
      <c r="N327" t="s">
        <v>1609</v>
      </c>
      <c r="O327">
        <v>149</v>
      </c>
      <c r="P327">
        <v>3272.001</v>
      </c>
      <c r="Q327" s="1">
        <f t="shared" si="35"/>
        <v>0.116523042337954</v>
      </c>
      <c r="R327" s="1">
        <f t="shared" si="36"/>
        <v>0.00643756890035043</v>
      </c>
      <c r="S327" t="s">
        <v>1660</v>
      </c>
      <c r="T327">
        <v>185.57</v>
      </c>
      <c r="U327">
        <v>3235.586</v>
      </c>
      <c r="V327" s="1">
        <f t="shared" si="37"/>
        <v>0.245436241610738</v>
      </c>
      <c r="W327" s="1">
        <f t="shared" si="38"/>
        <v>-0.0111292753272387</v>
      </c>
      <c r="X327" t="s">
        <v>1658</v>
      </c>
      <c r="Y327">
        <v>142</v>
      </c>
      <c r="Z327">
        <v>2977.555</v>
      </c>
      <c r="AA327" s="2">
        <f t="shared" si="39"/>
        <v>-0.234790106159401</v>
      </c>
      <c r="AB327" s="2">
        <f t="shared" si="40"/>
        <v>-0.079747841658358</v>
      </c>
      <c r="AC327" t="s">
        <v>1547</v>
      </c>
      <c r="AD327">
        <v>126</v>
      </c>
      <c r="AE327">
        <v>3097.243</v>
      </c>
      <c r="AF327" s="2">
        <f t="shared" si="33"/>
        <v>-0.112676056338028</v>
      </c>
      <c r="AG327" s="2">
        <f t="shared" si="34"/>
        <v>0.040196738599287</v>
      </c>
      <c r="AH327" t="s">
        <v>1661</v>
      </c>
      <c r="AI327" t="s">
        <v>568</v>
      </c>
      <c r="AJ327" t="s">
        <v>625</v>
      </c>
    </row>
    <row r="328" spans="1:36">
      <c r="A328">
        <v>118024</v>
      </c>
      <c r="B328" t="s">
        <v>1662</v>
      </c>
      <c r="C328">
        <v>688772</v>
      </c>
      <c r="D328" t="s">
        <v>1663</v>
      </c>
      <c r="E328" t="s">
        <v>1664</v>
      </c>
      <c r="F328" t="s">
        <v>397</v>
      </c>
      <c r="G328" t="s">
        <v>1658</v>
      </c>
      <c r="H328" t="s">
        <v>33</v>
      </c>
      <c r="I328" t="s">
        <v>255</v>
      </c>
      <c r="J328" t="s">
        <v>255</v>
      </c>
      <c r="K328" t="s">
        <v>1665</v>
      </c>
      <c r="L328">
        <v>26.04</v>
      </c>
      <c r="M328">
        <v>3093.697</v>
      </c>
      <c r="N328" t="s">
        <v>1466</v>
      </c>
      <c r="O328">
        <v>32.22</v>
      </c>
      <c r="P328">
        <v>3281.665</v>
      </c>
      <c r="Q328" s="1">
        <f t="shared" si="35"/>
        <v>0.237327188940092</v>
      </c>
      <c r="R328" s="1">
        <f t="shared" si="36"/>
        <v>0.0607583742040671</v>
      </c>
      <c r="S328" t="s">
        <v>1587</v>
      </c>
      <c r="T328">
        <v>24.81</v>
      </c>
      <c r="U328">
        <v>3199.919</v>
      </c>
      <c r="V328" s="1">
        <f t="shared" si="37"/>
        <v>-0.229981378026071</v>
      </c>
      <c r="W328" s="1">
        <f t="shared" si="38"/>
        <v>-0.0249099161553663</v>
      </c>
      <c r="X328" t="s">
        <v>1658</v>
      </c>
      <c r="Y328">
        <v>21.75</v>
      </c>
      <c r="Z328">
        <v>2977.555</v>
      </c>
      <c r="AA328" s="2">
        <f t="shared" si="39"/>
        <v>-0.123337363966143</v>
      </c>
      <c r="AB328" s="2">
        <f t="shared" si="40"/>
        <v>-0.0694905089785085</v>
      </c>
      <c r="AC328" t="s">
        <v>76</v>
      </c>
      <c r="AD328">
        <v>20.48</v>
      </c>
      <c r="AE328">
        <v>3115.435</v>
      </c>
      <c r="AF328" s="2">
        <f t="shared" si="33"/>
        <v>-0.0583908045977011</v>
      </c>
      <c r="AG328" s="2">
        <f t="shared" si="34"/>
        <v>0.0463064494190704</v>
      </c>
      <c r="AH328" t="s">
        <v>1661</v>
      </c>
      <c r="AI328" t="s">
        <v>41</v>
      </c>
      <c r="AJ328" t="s">
        <v>41</v>
      </c>
    </row>
    <row r="329" spans="1:36">
      <c r="A329">
        <v>118025</v>
      </c>
      <c r="B329" t="s">
        <v>1666</v>
      </c>
      <c r="C329">
        <v>688301</v>
      </c>
      <c r="D329" t="s">
        <v>1667</v>
      </c>
      <c r="E329" t="s">
        <v>1668</v>
      </c>
      <c r="F329" t="s">
        <v>397</v>
      </c>
      <c r="G329" t="s">
        <v>1658</v>
      </c>
      <c r="H329" t="s">
        <v>33</v>
      </c>
      <c r="I329" t="s">
        <v>255</v>
      </c>
      <c r="J329" t="s">
        <v>255</v>
      </c>
      <c r="K329" t="s">
        <v>1669</v>
      </c>
      <c r="L329">
        <v>112.68</v>
      </c>
      <c r="M329">
        <v>2975.485</v>
      </c>
      <c r="N329" t="s">
        <v>873</v>
      </c>
      <c r="O329">
        <v>180.89</v>
      </c>
      <c r="P329">
        <v>3227.027</v>
      </c>
      <c r="Q329" s="1">
        <f t="shared" si="35"/>
        <v>0.605342563010294</v>
      </c>
      <c r="R329" s="1">
        <f t="shared" si="36"/>
        <v>0.0845381509232948</v>
      </c>
      <c r="S329" t="s">
        <v>1587</v>
      </c>
      <c r="T329">
        <v>182.13</v>
      </c>
      <c r="U329">
        <v>3199.919</v>
      </c>
      <c r="V329" s="1">
        <f t="shared" si="37"/>
        <v>0.00685499474818956</v>
      </c>
      <c r="W329" s="1">
        <f t="shared" si="38"/>
        <v>-0.00840030157789203</v>
      </c>
      <c r="X329" t="s">
        <v>1658</v>
      </c>
      <c r="Y329">
        <v>186.88</v>
      </c>
      <c r="Z329">
        <v>2977.555</v>
      </c>
      <c r="AA329" s="2">
        <f t="shared" si="39"/>
        <v>0.026080272332949</v>
      </c>
      <c r="AB329" s="2">
        <f t="shared" si="40"/>
        <v>-0.0694905089785085</v>
      </c>
      <c r="AC329" t="s">
        <v>1547</v>
      </c>
      <c r="AD329">
        <v>171.25</v>
      </c>
      <c r="AE329">
        <v>3097.243</v>
      </c>
      <c r="AF329" s="2">
        <f t="shared" si="33"/>
        <v>-0.0836365582191781</v>
      </c>
      <c r="AG329" s="2">
        <f t="shared" si="34"/>
        <v>0.040196738599287</v>
      </c>
      <c r="AH329" t="s">
        <v>1661</v>
      </c>
      <c r="AI329" t="s">
        <v>41</v>
      </c>
      <c r="AJ329" t="s">
        <v>41</v>
      </c>
    </row>
    <row r="330" spans="1:36">
      <c r="A330">
        <v>123164</v>
      </c>
      <c r="B330" t="s">
        <v>1670</v>
      </c>
      <c r="C330">
        <v>300925</v>
      </c>
      <c r="D330" t="s">
        <v>1671</v>
      </c>
      <c r="E330" t="s">
        <v>1672</v>
      </c>
      <c r="F330" t="s">
        <v>41</v>
      </c>
      <c r="G330" t="s">
        <v>1673</v>
      </c>
      <c r="H330" t="s">
        <v>621</v>
      </c>
      <c r="I330" t="s">
        <v>255</v>
      </c>
      <c r="J330" t="s">
        <v>255</v>
      </c>
      <c r="K330" t="s">
        <v>1674</v>
      </c>
      <c r="L330">
        <v>13.98</v>
      </c>
      <c r="M330">
        <v>3282.717</v>
      </c>
      <c r="N330" t="s">
        <v>1618</v>
      </c>
      <c r="O330">
        <v>11.12</v>
      </c>
      <c r="P330">
        <v>3163.674</v>
      </c>
      <c r="Q330" s="1">
        <f t="shared" si="35"/>
        <v>-0.204577968526466</v>
      </c>
      <c r="R330" s="1">
        <f t="shared" si="36"/>
        <v>-0.0362635585096127</v>
      </c>
      <c r="S330" t="s">
        <v>1115</v>
      </c>
      <c r="T330">
        <v>11.01</v>
      </c>
      <c r="U330">
        <v>3246.248</v>
      </c>
      <c r="V330" s="1">
        <f t="shared" si="37"/>
        <v>-0.0098920863309352</v>
      </c>
      <c r="W330" s="1">
        <f t="shared" si="38"/>
        <v>0.0261006665035652</v>
      </c>
      <c r="X330" t="s">
        <v>1673</v>
      </c>
      <c r="Y330">
        <v>11.12</v>
      </c>
      <c r="Z330">
        <v>3038.929</v>
      </c>
      <c r="AA330" s="2">
        <f t="shared" si="39"/>
        <v>0.00999091734786552</v>
      </c>
      <c r="AB330" s="2">
        <f t="shared" si="40"/>
        <v>-0.0638641902898361</v>
      </c>
      <c r="AC330" t="s">
        <v>1318</v>
      </c>
      <c r="AD330">
        <v>11.97</v>
      </c>
      <c r="AE330">
        <v>3083.401</v>
      </c>
      <c r="AF330" s="2">
        <f t="shared" si="33"/>
        <v>0.0764388489208634</v>
      </c>
      <c r="AG330" s="2">
        <f t="shared" si="34"/>
        <v>0.0146341030014192</v>
      </c>
      <c r="AH330" t="s">
        <v>1675</v>
      </c>
      <c r="AI330" t="s">
        <v>779</v>
      </c>
      <c r="AJ330" t="s">
        <v>625</v>
      </c>
    </row>
    <row r="331" hidden="1" spans="1:36">
      <c r="A331">
        <v>127075</v>
      </c>
      <c r="B331" t="s">
        <v>1676</v>
      </c>
      <c r="C331">
        <v>2455</v>
      </c>
      <c r="D331" t="s">
        <v>1677</v>
      </c>
      <c r="E331" t="s">
        <v>1678</v>
      </c>
      <c r="F331" t="s">
        <v>31</v>
      </c>
      <c r="G331" t="s">
        <v>1679</v>
      </c>
      <c r="H331" t="s">
        <v>33</v>
      </c>
      <c r="I331" t="s">
        <v>255</v>
      </c>
      <c r="J331" t="s">
        <v>255</v>
      </c>
      <c r="K331" t="s">
        <v>255</v>
      </c>
      <c r="L331" t="s">
        <v>41</v>
      </c>
      <c r="M331" t="s">
        <v>41</v>
      </c>
      <c r="N331" t="s">
        <v>255</v>
      </c>
      <c r="O331" t="s">
        <v>41</v>
      </c>
      <c r="P331" t="s">
        <v>41</v>
      </c>
      <c r="Q331" s="2"/>
      <c r="R331" s="2"/>
      <c r="S331" t="s">
        <v>255</v>
      </c>
      <c r="T331" t="s">
        <v>41</v>
      </c>
      <c r="U331" t="s">
        <v>41</v>
      </c>
      <c r="V331" s="2"/>
      <c r="W331" s="2"/>
      <c r="X331" t="s">
        <v>1679</v>
      </c>
      <c r="Y331">
        <v>11.34</v>
      </c>
      <c r="Z331">
        <v>3044.378</v>
      </c>
      <c r="AA331" s="2"/>
      <c r="AB331" s="2"/>
      <c r="AC331" t="s">
        <v>1329</v>
      </c>
      <c r="AD331">
        <v>10.63</v>
      </c>
      <c r="AE331">
        <v>3119.98</v>
      </c>
      <c r="AF331" s="2">
        <f t="shared" si="33"/>
        <v>-0.0626102292768959</v>
      </c>
      <c r="AG331" s="2">
        <f t="shared" si="34"/>
        <v>0.0248333157052113</v>
      </c>
      <c r="AH331" t="s">
        <v>1680</v>
      </c>
      <c r="AI331" t="s">
        <v>41</v>
      </c>
      <c r="AJ331" t="s">
        <v>41</v>
      </c>
    </row>
    <row r="332" spans="1:36">
      <c r="A332">
        <v>123162</v>
      </c>
      <c r="B332" t="s">
        <v>1681</v>
      </c>
      <c r="C332">
        <v>300486</v>
      </c>
      <c r="D332" t="s">
        <v>1682</v>
      </c>
      <c r="E332" t="s">
        <v>1135</v>
      </c>
      <c r="F332" t="s">
        <v>41</v>
      </c>
      <c r="G332" t="s">
        <v>1683</v>
      </c>
      <c r="H332" t="s">
        <v>621</v>
      </c>
      <c r="I332" t="s">
        <v>255</v>
      </c>
      <c r="J332" t="s">
        <v>255</v>
      </c>
      <c r="K332" t="s">
        <v>1684</v>
      </c>
      <c r="L332">
        <v>10.45</v>
      </c>
      <c r="M332">
        <v>3477.219</v>
      </c>
      <c r="N332" t="s">
        <v>1328</v>
      </c>
      <c r="O332">
        <v>9.59</v>
      </c>
      <c r="P332">
        <v>3364.398</v>
      </c>
      <c r="Q332" s="1">
        <f t="shared" si="35"/>
        <v>-0.0822966507177033</v>
      </c>
      <c r="R332" s="1">
        <f t="shared" si="36"/>
        <v>-0.0324457562207039</v>
      </c>
      <c r="S332" t="s">
        <v>1446</v>
      </c>
      <c r="T332">
        <v>10.03</v>
      </c>
      <c r="U332">
        <v>3277.544</v>
      </c>
      <c r="V332" s="1">
        <f t="shared" si="37"/>
        <v>0.0458811261730969</v>
      </c>
      <c r="W332" s="1">
        <f t="shared" si="38"/>
        <v>-0.0258156139671942</v>
      </c>
      <c r="X332" t="s">
        <v>1683</v>
      </c>
      <c r="Y332">
        <v>7.78</v>
      </c>
      <c r="Z332">
        <v>3071.987</v>
      </c>
      <c r="AA332" s="2">
        <f t="shared" si="39"/>
        <v>-0.22432701894317</v>
      </c>
      <c r="AB332" s="2">
        <f t="shared" si="40"/>
        <v>-0.0627167781729245</v>
      </c>
      <c r="AC332" t="s">
        <v>1074</v>
      </c>
      <c r="AD332">
        <v>8.91</v>
      </c>
      <c r="AE332">
        <v>3070.796</v>
      </c>
      <c r="AF332" s="2">
        <f t="shared" si="33"/>
        <v>0.145244215938303</v>
      </c>
      <c r="AG332" s="2">
        <f t="shared" si="34"/>
        <v>-0.000387696953144743</v>
      </c>
      <c r="AH332" t="s">
        <v>1685</v>
      </c>
      <c r="AI332" t="s">
        <v>1686</v>
      </c>
      <c r="AJ332" t="s">
        <v>625</v>
      </c>
    </row>
    <row r="333" spans="1:36">
      <c r="A333">
        <v>123163</v>
      </c>
      <c r="B333" t="s">
        <v>1687</v>
      </c>
      <c r="C333">
        <v>300984</v>
      </c>
      <c r="D333" t="s">
        <v>1688</v>
      </c>
      <c r="E333" t="s">
        <v>1258</v>
      </c>
      <c r="F333" t="s">
        <v>41</v>
      </c>
      <c r="G333" t="s">
        <v>1683</v>
      </c>
      <c r="H333" t="s">
        <v>621</v>
      </c>
      <c r="I333" t="s">
        <v>255</v>
      </c>
      <c r="J333" t="s">
        <v>255</v>
      </c>
      <c r="K333" t="s">
        <v>1689</v>
      </c>
      <c r="L333">
        <v>18.08</v>
      </c>
      <c r="M333">
        <v>3285.385</v>
      </c>
      <c r="N333" t="s">
        <v>1618</v>
      </c>
      <c r="O333">
        <v>19.4</v>
      </c>
      <c r="P333">
        <v>3163.674</v>
      </c>
      <c r="Q333" s="1">
        <f t="shared" si="35"/>
        <v>0.0730088495575221</v>
      </c>
      <c r="R333" s="1">
        <f t="shared" si="36"/>
        <v>-0.0370461909334827</v>
      </c>
      <c r="S333" t="s">
        <v>1115</v>
      </c>
      <c r="T333">
        <v>20.11</v>
      </c>
      <c r="U333">
        <v>3246.248</v>
      </c>
      <c r="V333" s="1">
        <f t="shared" si="37"/>
        <v>0.0365979381443299</v>
      </c>
      <c r="W333" s="1">
        <f t="shared" si="38"/>
        <v>0.0261006665035652</v>
      </c>
      <c r="X333" t="s">
        <v>1683</v>
      </c>
      <c r="Y333">
        <v>17.48</v>
      </c>
      <c r="Z333">
        <v>3071.987</v>
      </c>
      <c r="AA333" s="2">
        <f t="shared" si="39"/>
        <v>-0.13078070611636</v>
      </c>
      <c r="AB333" s="2">
        <f t="shared" si="40"/>
        <v>-0.0536807415822821</v>
      </c>
      <c r="AC333" t="s">
        <v>1542</v>
      </c>
      <c r="AD333">
        <v>16.45</v>
      </c>
      <c r="AE333">
        <v>3077.817</v>
      </c>
      <c r="AF333" s="2">
        <f t="shared" si="33"/>
        <v>-0.0589244851258582</v>
      </c>
      <c r="AG333" s="2">
        <f t="shared" si="34"/>
        <v>0.00189779448936468</v>
      </c>
      <c r="AH333" t="s">
        <v>1685</v>
      </c>
      <c r="AI333" t="s">
        <v>561</v>
      </c>
      <c r="AJ333" t="s">
        <v>625</v>
      </c>
    </row>
    <row r="334" hidden="1" spans="1:36">
      <c r="A334">
        <v>113659</v>
      </c>
      <c r="B334" t="s">
        <v>1690</v>
      </c>
      <c r="C334">
        <v>603355</v>
      </c>
      <c r="D334" t="s">
        <v>1691</v>
      </c>
      <c r="E334" t="s">
        <v>232</v>
      </c>
      <c r="F334" t="s">
        <v>397</v>
      </c>
      <c r="G334" t="s">
        <v>1683</v>
      </c>
      <c r="H334" t="s">
        <v>33</v>
      </c>
      <c r="I334" t="s">
        <v>255</v>
      </c>
      <c r="J334" t="s">
        <v>255</v>
      </c>
      <c r="K334" t="s">
        <v>255</v>
      </c>
      <c r="L334" t="s">
        <v>41</v>
      </c>
      <c r="M334" t="s">
        <v>41</v>
      </c>
      <c r="N334" t="s">
        <v>255</v>
      </c>
      <c r="O334" t="s">
        <v>41</v>
      </c>
      <c r="P334" t="s">
        <v>41</v>
      </c>
      <c r="Q334" s="2"/>
      <c r="R334" s="2"/>
      <c r="S334" t="s">
        <v>255</v>
      </c>
      <c r="T334" t="s">
        <v>41</v>
      </c>
      <c r="U334" t="s">
        <v>41</v>
      </c>
      <c r="V334" s="2"/>
      <c r="W334" s="2"/>
      <c r="X334" t="s">
        <v>1683</v>
      </c>
      <c r="Y334">
        <v>31.33</v>
      </c>
      <c r="Z334">
        <v>3071.987</v>
      </c>
      <c r="AA334" s="2"/>
      <c r="AB334" s="2"/>
      <c r="AC334" t="s">
        <v>1454</v>
      </c>
      <c r="AD334">
        <v>31.31</v>
      </c>
      <c r="AE334">
        <v>3134.078</v>
      </c>
      <c r="AF334" s="2">
        <f t="shared" si="33"/>
        <v>-0.000638365783593986</v>
      </c>
      <c r="AG334" s="2">
        <f t="shared" si="34"/>
        <v>0.0202119995950503</v>
      </c>
      <c r="AH334" t="s">
        <v>1685</v>
      </c>
      <c r="AI334" t="s">
        <v>41</v>
      </c>
      <c r="AJ334" t="s">
        <v>41</v>
      </c>
    </row>
    <row r="335" spans="1:36">
      <c r="A335">
        <v>118023</v>
      </c>
      <c r="B335" t="s">
        <v>1692</v>
      </c>
      <c r="C335">
        <v>688186</v>
      </c>
      <c r="D335" t="s">
        <v>1693</v>
      </c>
      <c r="E335" t="s">
        <v>1694</v>
      </c>
      <c r="F335" t="s">
        <v>41</v>
      </c>
      <c r="G335" t="s">
        <v>1695</v>
      </c>
      <c r="H335" t="s">
        <v>621</v>
      </c>
      <c r="I335" t="s">
        <v>255</v>
      </c>
      <c r="J335" t="s">
        <v>255</v>
      </c>
      <c r="K335" t="s">
        <v>1669</v>
      </c>
      <c r="L335">
        <v>17.93</v>
      </c>
      <c r="M335">
        <v>2975.485</v>
      </c>
      <c r="N335" t="s">
        <v>1466</v>
      </c>
      <c r="O335">
        <v>34.21</v>
      </c>
      <c r="P335">
        <v>3281.665</v>
      </c>
      <c r="Q335" s="1">
        <f t="shared" si="35"/>
        <v>0.907975460122699</v>
      </c>
      <c r="R335" s="1">
        <f t="shared" si="36"/>
        <v>0.102900871622609</v>
      </c>
      <c r="S335" t="s">
        <v>1317</v>
      </c>
      <c r="T335">
        <v>32.02</v>
      </c>
      <c r="U335">
        <v>3186.478</v>
      </c>
      <c r="V335" s="1">
        <f t="shared" si="37"/>
        <v>-0.0640163694826074</v>
      </c>
      <c r="W335" s="1">
        <f t="shared" si="38"/>
        <v>-0.0290057028977668</v>
      </c>
      <c r="X335" t="s">
        <v>1695</v>
      </c>
      <c r="Y335">
        <v>30.08</v>
      </c>
      <c r="Z335">
        <v>3016.356</v>
      </c>
      <c r="AA335" s="2">
        <f t="shared" si="39"/>
        <v>-0.060587133041849</v>
      </c>
      <c r="AB335" s="2">
        <f t="shared" si="40"/>
        <v>-0.0533887257341804</v>
      </c>
      <c r="AC335" t="s">
        <v>1522</v>
      </c>
      <c r="AD335">
        <v>31.84</v>
      </c>
      <c r="AE335">
        <v>3048.168</v>
      </c>
      <c r="AF335" s="2">
        <f t="shared" si="33"/>
        <v>0.0585106382978724</v>
      </c>
      <c r="AG335" s="2">
        <f t="shared" si="34"/>
        <v>0.0105465004793864</v>
      </c>
      <c r="AH335" t="s">
        <v>1696</v>
      </c>
      <c r="AI335" t="s">
        <v>149</v>
      </c>
      <c r="AJ335" t="s">
        <v>625</v>
      </c>
    </row>
    <row r="336" hidden="1" spans="1:36">
      <c r="A336">
        <v>127074</v>
      </c>
      <c r="B336" t="s">
        <v>1697</v>
      </c>
      <c r="C336">
        <v>2851</v>
      </c>
      <c r="D336" t="s">
        <v>1698</v>
      </c>
      <c r="E336" t="s">
        <v>1699</v>
      </c>
      <c r="F336" t="s">
        <v>41</v>
      </c>
      <c r="G336" t="s">
        <v>1695</v>
      </c>
      <c r="H336" t="s">
        <v>621</v>
      </c>
      <c r="I336" t="s">
        <v>255</v>
      </c>
      <c r="J336" t="s">
        <v>255</v>
      </c>
      <c r="K336" t="s">
        <v>255</v>
      </c>
      <c r="L336" t="s">
        <v>41</v>
      </c>
      <c r="M336" t="s">
        <v>41</v>
      </c>
      <c r="N336" t="s">
        <v>255</v>
      </c>
      <c r="O336" t="s">
        <v>41</v>
      </c>
      <c r="P336" t="s">
        <v>41</v>
      </c>
      <c r="Q336" s="2"/>
      <c r="R336" s="2"/>
      <c r="S336" t="s">
        <v>255</v>
      </c>
      <c r="T336" t="s">
        <v>41</v>
      </c>
      <c r="U336" t="s">
        <v>41</v>
      </c>
      <c r="V336" s="2"/>
      <c r="W336" s="2"/>
      <c r="X336" t="s">
        <v>1695</v>
      </c>
      <c r="Y336">
        <v>27.68</v>
      </c>
      <c r="Z336">
        <v>3016.356</v>
      </c>
      <c r="AA336" s="2"/>
      <c r="AB336" s="2"/>
      <c r="AC336" t="s">
        <v>1522</v>
      </c>
      <c r="AD336">
        <v>27.18</v>
      </c>
      <c r="AE336">
        <v>3048.168</v>
      </c>
      <c r="AF336" s="2">
        <f t="shared" si="33"/>
        <v>-0.0180635838150289</v>
      </c>
      <c r="AG336" s="2">
        <f t="shared" si="34"/>
        <v>0.0105465004793864</v>
      </c>
      <c r="AH336" t="s">
        <v>1696</v>
      </c>
      <c r="AI336" t="s">
        <v>595</v>
      </c>
      <c r="AJ336" t="s">
        <v>625</v>
      </c>
    </row>
    <row r="337" hidden="1" spans="1:36">
      <c r="A337">
        <v>111007</v>
      </c>
      <c r="B337" t="s">
        <v>1700</v>
      </c>
      <c r="C337">
        <v>605020</v>
      </c>
      <c r="D337" t="s">
        <v>1701</v>
      </c>
      <c r="E337" t="s">
        <v>115</v>
      </c>
      <c r="F337" t="s">
        <v>41</v>
      </c>
      <c r="G337" t="s">
        <v>1702</v>
      </c>
      <c r="H337" t="s">
        <v>621</v>
      </c>
      <c r="I337" t="s">
        <v>255</v>
      </c>
      <c r="J337" t="s">
        <v>255</v>
      </c>
      <c r="K337" t="s">
        <v>255</v>
      </c>
      <c r="L337" t="s">
        <v>41</v>
      </c>
      <c r="M337" t="s">
        <v>41</v>
      </c>
      <c r="N337" t="s">
        <v>255</v>
      </c>
      <c r="O337" t="s">
        <v>41</v>
      </c>
      <c r="P337" t="s">
        <v>41</v>
      </c>
      <c r="Q337" s="2"/>
      <c r="R337" s="2"/>
      <c r="S337" t="s">
        <v>255</v>
      </c>
      <c r="T337" t="s">
        <v>41</v>
      </c>
      <c r="U337" t="s">
        <v>41</v>
      </c>
      <c r="V337" s="2"/>
      <c r="W337" s="2"/>
      <c r="X337" t="s">
        <v>1702</v>
      </c>
      <c r="Y337">
        <v>22.71</v>
      </c>
      <c r="Z337">
        <v>2979.793</v>
      </c>
      <c r="AA337" s="2"/>
      <c r="AB337" s="2"/>
      <c r="AC337" t="s">
        <v>1703</v>
      </c>
      <c r="AD337">
        <v>28.71</v>
      </c>
      <c r="AE337">
        <v>2969.2</v>
      </c>
      <c r="AF337" s="2">
        <f t="shared" si="33"/>
        <v>0.264200792602378</v>
      </c>
      <c r="AG337" s="2">
        <f t="shared" si="34"/>
        <v>-0.0035549449240267</v>
      </c>
      <c r="AH337" t="s">
        <v>1704</v>
      </c>
      <c r="AI337" t="s">
        <v>407</v>
      </c>
      <c r="AJ337" t="s">
        <v>625</v>
      </c>
    </row>
    <row r="338" spans="1:36">
      <c r="A338">
        <v>123161</v>
      </c>
      <c r="B338" t="s">
        <v>1705</v>
      </c>
      <c r="C338">
        <v>300850</v>
      </c>
      <c r="D338" t="s">
        <v>1706</v>
      </c>
      <c r="E338" t="s">
        <v>1707</v>
      </c>
      <c r="F338" t="s">
        <v>41</v>
      </c>
      <c r="G338" t="s">
        <v>1702</v>
      </c>
      <c r="H338" t="s">
        <v>621</v>
      </c>
      <c r="I338" t="s">
        <v>255</v>
      </c>
      <c r="J338" t="s">
        <v>255</v>
      </c>
      <c r="K338" t="s">
        <v>1708</v>
      </c>
      <c r="L338">
        <v>76.02</v>
      </c>
      <c r="M338">
        <v>3309.747</v>
      </c>
      <c r="N338" t="s">
        <v>1466</v>
      </c>
      <c r="O338">
        <v>88.65</v>
      </c>
      <c r="P338">
        <v>3281.665</v>
      </c>
      <c r="Q338" s="1">
        <f t="shared" si="35"/>
        <v>0.166140489344909</v>
      </c>
      <c r="R338" s="1">
        <f t="shared" si="36"/>
        <v>-0.00848463643897853</v>
      </c>
      <c r="S338" t="s">
        <v>1387</v>
      </c>
      <c r="T338">
        <v>81.71</v>
      </c>
      <c r="U338">
        <v>3115.602</v>
      </c>
      <c r="V338" s="1">
        <f t="shared" si="37"/>
        <v>-0.0782853919909759</v>
      </c>
      <c r="W338" s="1">
        <f t="shared" si="38"/>
        <v>-0.0506032760808919</v>
      </c>
      <c r="X338" t="s">
        <v>1702</v>
      </c>
      <c r="Y338">
        <v>82.57</v>
      </c>
      <c r="Z338">
        <v>2979.793</v>
      </c>
      <c r="AA338" s="2">
        <f t="shared" si="39"/>
        <v>0.0105250275364092</v>
      </c>
      <c r="AB338" s="2">
        <f t="shared" si="40"/>
        <v>-0.0435899707343877</v>
      </c>
      <c r="AC338" t="s">
        <v>1348</v>
      </c>
      <c r="AD338">
        <v>76.26</v>
      </c>
      <c r="AE338">
        <v>2982.903</v>
      </c>
      <c r="AF338" s="2">
        <f t="shared" si="33"/>
        <v>-0.0764200072665616</v>
      </c>
      <c r="AG338" s="2">
        <f t="shared" si="34"/>
        <v>0.00104369665946583</v>
      </c>
      <c r="AH338" t="s">
        <v>1704</v>
      </c>
      <c r="AI338" t="s">
        <v>37</v>
      </c>
      <c r="AJ338" t="s">
        <v>625</v>
      </c>
    </row>
    <row r="339" spans="1:36">
      <c r="A339">
        <v>118022</v>
      </c>
      <c r="B339" t="s">
        <v>1709</v>
      </c>
      <c r="C339">
        <v>688779</v>
      </c>
      <c r="D339" t="s">
        <v>1710</v>
      </c>
      <c r="E339" t="s">
        <v>1711</v>
      </c>
      <c r="F339" t="s">
        <v>397</v>
      </c>
      <c r="G339" t="s">
        <v>1702</v>
      </c>
      <c r="H339" t="s">
        <v>33</v>
      </c>
      <c r="I339" t="s">
        <v>255</v>
      </c>
      <c r="J339" t="s">
        <v>255</v>
      </c>
      <c r="K339" t="s">
        <v>1712</v>
      </c>
      <c r="L339">
        <v>15.86</v>
      </c>
      <c r="M339">
        <v>3211.245</v>
      </c>
      <c r="N339" t="s">
        <v>1713</v>
      </c>
      <c r="O339">
        <v>22.87</v>
      </c>
      <c r="P339">
        <v>3404.025</v>
      </c>
      <c r="Q339" s="1">
        <f t="shared" si="35"/>
        <v>0.441992433795713</v>
      </c>
      <c r="R339" s="1">
        <f t="shared" si="36"/>
        <v>0.0600327910203053</v>
      </c>
      <c r="S339" t="s">
        <v>1714</v>
      </c>
      <c r="T339">
        <v>18.37</v>
      </c>
      <c r="U339">
        <v>3276.888</v>
      </c>
      <c r="V339" s="1">
        <f t="shared" si="37"/>
        <v>-0.196764320069961</v>
      </c>
      <c r="W339" s="1">
        <f t="shared" si="38"/>
        <v>-0.037349020644678</v>
      </c>
      <c r="X339" t="s">
        <v>1702</v>
      </c>
      <c r="Y339">
        <v>14.28</v>
      </c>
      <c r="Z339">
        <v>2979.793</v>
      </c>
      <c r="AA339" s="2">
        <f t="shared" si="39"/>
        <v>-0.222645617855199</v>
      </c>
      <c r="AB339" s="2">
        <f t="shared" si="40"/>
        <v>-0.0906637639125902</v>
      </c>
      <c r="AC339" t="s">
        <v>1542</v>
      </c>
      <c r="AD339">
        <v>16.42</v>
      </c>
      <c r="AE339">
        <v>3077.817</v>
      </c>
      <c r="AF339" s="2">
        <f t="shared" si="33"/>
        <v>0.149859943977591</v>
      </c>
      <c r="AG339" s="2">
        <f t="shared" si="34"/>
        <v>0.0328962448062667</v>
      </c>
      <c r="AH339" t="s">
        <v>1704</v>
      </c>
      <c r="AI339" t="s">
        <v>41</v>
      </c>
      <c r="AJ339" t="s">
        <v>41</v>
      </c>
    </row>
    <row r="340" hidden="1" spans="1:36">
      <c r="A340">
        <v>113657</v>
      </c>
      <c r="B340" t="s">
        <v>1715</v>
      </c>
      <c r="C340">
        <v>603601</v>
      </c>
      <c r="D340" t="s">
        <v>1716</v>
      </c>
      <c r="E340" t="s">
        <v>1717</v>
      </c>
      <c r="F340" t="s">
        <v>56</v>
      </c>
      <c r="G340" t="s">
        <v>1521</v>
      </c>
      <c r="H340" t="s">
        <v>33</v>
      </c>
      <c r="I340" t="s">
        <v>255</v>
      </c>
      <c r="J340" t="s">
        <v>255</v>
      </c>
      <c r="K340" t="s">
        <v>255</v>
      </c>
      <c r="L340" t="s">
        <v>41</v>
      </c>
      <c r="M340" t="s">
        <v>41</v>
      </c>
      <c r="N340" t="s">
        <v>255</v>
      </c>
      <c r="O340" t="s">
        <v>41</v>
      </c>
      <c r="P340" t="s">
        <v>41</v>
      </c>
      <c r="Q340" s="2"/>
      <c r="R340" s="2"/>
      <c r="S340" t="s">
        <v>255</v>
      </c>
      <c r="T340" t="s">
        <v>41</v>
      </c>
      <c r="U340" t="s">
        <v>41</v>
      </c>
      <c r="V340" s="2"/>
      <c r="W340" s="2"/>
      <c r="X340" t="s">
        <v>1521</v>
      </c>
      <c r="Y340">
        <v>5.26</v>
      </c>
      <c r="Z340">
        <v>3041.205</v>
      </c>
      <c r="AA340" s="2"/>
      <c r="AB340" s="2"/>
      <c r="AC340" t="s">
        <v>1348</v>
      </c>
      <c r="AD340">
        <v>5.33</v>
      </c>
      <c r="AE340">
        <v>2982.903</v>
      </c>
      <c r="AF340" s="2">
        <f t="shared" si="33"/>
        <v>0.0133079847908746</v>
      </c>
      <c r="AG340" s="2">
        <f t="shared" si="34"/>
        <v>-0.0191706905650886</v>
      </c>
      <c r="AH340" t="s">
        <v>1718</v>
      </c>
      <c r="AI340" t="s">
        <v>41</v>
      </c>
      <c r="AJ340" t="s">
        <v>41</v>
      </c>
    </row>
    <row r="341" spans="1:36">
      <c r="A341">
        <v>123160</v>
      </c>
      <c r="B341" t="s">
        <v>1719</v>
      </c>
      <c r="C341">
        <v>300992</v>
      </c>
      <c r="D341" t="s">
        <v>1720</v>
      </c>
      <c r="E341" t="s">
        <v>1721</v>
      </c>
      <c r="F341" t="s">
        <v>708</v>
      </c>
      <c r="G341" t="s">
        <v>243</v>
      </c>
      <c r="H341" t="s">
        <v>33</v>
      </c>
      <c r="I341" t="s">
        <v>255</v>
      </c>
      <c r="J341" t="s">
        <v>255</v>
      </c>
      <c r="K341" t="s">
        <v>1722</v>
      </c>
      <c r="L341">
        <v>24.4</v>
      </c>
      <c r="M341">
        <v>3203.939</v>
      </c>
      <c r="N341" t="s">
        <v>1328</v>
      </c>
      <c r="O341">
        <v>19.93</v>
      </c>
      <c r="P341">
        <v>3364.398</v>
      </c>
      <c r="Q341" s="1">
        <f t="shared" si="35"/>
        <v>-0.183196721311475</v>
      </c>
      <c r="R341" s="1">
        <f t="shared" si="36"/>
        <v>0.0500817899466876</v>
      </c>
      <c r="S341" t="s">
        <v>1660</v>
      </c>
      <c r="T341">
        <v>23.7</v>
      </c>
      <c r="U341">
        <v>3235.586</v>
      </c>
      <c r="V341" s="1">
        <f t="shared" si="37"/>
        <v>0.189162067235324</v>
      </c>
      <c r="W341" s="1">
        <f t="shared" si="38"/>
        <v>-0.0382867900884498</v>
      </c>
      <c r="X341" t="s">
        <v>243</v>
      </c>
      <c r="Y341">
        <v>26.13</v>
      </c>
      <c r="Z341">
        <v>3045.067</v>
      </c>
      <c r="AA341" s="2">
        <f t="shared" si="39"/>
        <v>0.10253164556962</v>
      </c>
      <c r="AB341" s="2">
        <f t="shared" si="40"/>
        <v>-0.0588823786479481</v>
      </c>
      <c r="AC341" t="s">
        <v>1312</v>
      </c>
      <c r="AD341">
        <v>22.47</v>
      </c>
      <c r="AE341">
        <v>2976.283</v>
      </c>
      <c r="AF341" s="2">
        <f t="shared" si="33"/>
        <v>-0.140068886337543</v>
      </c>
      <c r="AG341" s="2">
        <f t="shared" si="34"/>
        <v>-0.0225886655367518</v>
      </c>
      <c r="AH341" t="s">
        <v>1723</v>
      </c>
      <c r="AI341" t="s">
        <v>41</v>
      </c>
      <c r="AJ341" t="s">
        <v>41</v>
      </c>
    </row>
    <row r="342" spans="1:36">
      <c r="A342">
        <v>123159</v>
      </c>
      <c r="B342" t="s">
        <v>1724</v>
      </c>
      <c r="C342">
        <v>301002</v>
      </c>
      <c r="D342" t="s">
        <v>1725</v>
      </c>
      <c r="E342" t="s">
        <v>1726</v>
      </c>
      <c r="F342" t="s">
        <v>56</v>
      </c>
      <c r="G342" t="s">
        <v>247</v>
      </c>
      <c r="H342" t="s">
        <v>33</v>
      </c>
      <c r="I342" t="s">
        <v>255</v>
      </c>
      <c r="J342" t="s">
        <v>255</v>
      </c>
      <c r="K342" t="s">
        <v>1727</v>
      </c>
      <c r="L342">
        <v>33.86</v>
      </c>
      <c r="M342">
        <v>3452.629</v>
      </c>
      <c r="N342" t="s">
        <v>1728</v>
      </c>
      <c r="O342">
        <v>23.06</v>
      </c>
      <c r="P342">
        <v>3316.786</v>
      </c>
      <c r="Q342" s="1">
        <f t="shared" si="35"/>
        <v>-0.318960425280567</v>
      </c>
      <c r="R342" s="1">
        <f t="shared" si="36"/>
        <v>-0.0393448007301103</v>
      </c>
      <c r="S342" t="s">
        <v>1369</v>
      </c>
      <c r="T342">
        <v>25.48</v>
      </c>
      <c r="U342">
        <v>3247.432</v>
      </c>
      <c r="V342" s="1">
        <f t="shared" si="37"/>
        <v>0.104943625325239</v>
      </c>
      <c r="W342" s="1">
        <f t="shared" si="38"/>
        <v>-0.0209100014290944</v>
      </c>
      <c r="X342" t="s">
        <v>247</v>
      </c>
      <c r="Y342">
        <v>20.46</v>
      </c>
      <c r="Z342">
        <v>3093.862</v>
      </c>
      <c r="AA342" s="2">
        <f t="shared" si="39"/>
        <v>-0.19701726844584</v>
      </c>
      <c r="AB342" s="2">
        <f t="shared" si="40"/>
        <v>-0.0472896738099519</v>
      </c>
      <c r="AC342" t="s">
        <v>1658</v>
      </c>
      <c r="AD342">
        <v>19.45</v>
      </c>
      <c r="AE342">
        <v>2977.555</v>
      </c>
      <c r="AF342" s="2">
        <f t="shared" si="33"/>
        <v>-0.049364613880743</v>
      </c>
      <c r="AG342" s="2">
        <f t="shared" si="34"/>
        <v>-0.0375928208821209</v>
      </c>
      <c r="AH342" t="s">
        <v>1729</v>
      </c>
      <c r="AI342" t="s">
        <v>41</v>
      </c>
      <c r="AJ342" t="s">
        <v>41</v>
      </c>
    </row>
    <row r="343" spans="1:36">
      <c r="A343">
        <v>118021</v>
      </c>
      <c r="B343" t="s">
        <v>1730</v>
      </c>
      <c r="C343">
        <v>688590</v>
      </c>
      <c r="D343" t="s">
        <v>1731</v>
      </c>
      <c r="E343" t="s">
        <v>1732</v>
      </c>
      <c r="F343" t="s">
        <v>708</v>
      </c>
      <c r="G343" t="s">
        <v>247</v>
      </c>
      <c r="H343" t="s">
        <v>33</v>
      </c>
      <c r="I343" t="s">
        <v>255</v>
      </c>
      <c r="J343" t="s">
        <v>255</v>
      </c>
      <c r="K343" t="s">
        <v>1733</v>
      </c>
      <c r="L343">
        <v>16.51</v>
      </c>
      <c r="M343">
        <v>3479.946</v>
      </c>
      <c r="N343" t="s">
        <v>1728</v>
      </c>
      <c r="O343">
        <v>10.81</v>
      </c>
      <c r="P343">
        <v>3316.786</v>
      </c>
      <c r="Q343" s="1">
        <f t="shared" si="35"/>
        <v>-0.345245305875227</v>
      </c>
      <c r="R343" s="1">
        <f t="shared" si="36"/>
        <v>-0.0468857850093076</v>
      </c>
      <c r="S343" t="s">
        <v>1173</v>
      </c>
      <c r="T343">
        <v>10.77</v>
      </c>
      <c r="U343">
        <v>3269.974</v>
      </c>
      <c r="V343" s="1">
        <f t="shared" si="37"/>
        <v>-0.00370027752081415</v>
      </c>
      <c r="W343" s="1">
        <f t="shared" si="38"/>
        <v>-0.0141136630460934</v>
      </c>
      <c r="X343" t="s">
        <v>247</v>
      </c>
      <c r="Y343">
        <v>9.21</v>
      </c>
      <c r="Z343">
        <v>3093.862</v>
      </c>
      <c r="AA343" s="2">
        <f t="shared" si="39"/>
        <v>-0.144846796657382</v>
      </c>
      <c r="AB343" s="2">
        <f t="shared" si="40"/>
        <v>-0.0538573089571966</v>
      </c>
      <c r="AC343" t="s">
        <v>1638</v>
      </c>
      <c r="AD343">
        <v>10.4</v>
      </c>
      <c r="AE343">
        <v>3003.37</v>
      </c>
      <c r="AF343" s="2">
        <f t="shared" si="33"/>
        <v>0.129207383279044</v>
      </c>
      <c r="AG343" s="2">
        <f t="shared" si="34"/>
        <v>-0.0292488805253758</v>
      </c>
      <c r="AH343" t="s">
        <v>1729</v>
      </c>
      <c r="AI343" t="s">
        <v>41</v>
      </c>
      <c r="AJ343" t="s">
        <v>41</v>
      </c>
    </row>
    <row r="344" spans="1:36">
      <c r="A344">
        <v>123158</v>
      </c>
      <c r="B344" t="s">
        <v>1734</v>
      </c>
      <c r="C344">
        <v>300037</v>
      </c>
      <c r="D344" t="s">
        <v>1735</v>
      </c>
      <c r="E344" t="s">
        <v>1736</v>
      </c>
      <c r="F344" t="s">
        <v>397</v>
      </c>
      <c r="G344" t="s">
        <v>1362</v>
      </c>
      <c r="H344" t="s">
        <v>33</v>
      </c>
      <c r="I344" t="s">
        <v>255</v>
      </c>
      <c r="J344" t="s">
        <v>255</v>
      </c>
      <c r="K344" t="s">
        <v>1598</v>
      </c>
      <c r="L344">
        <v>34.62</v>
      </c>
      <c r="M344">
        <v>2958.282</v>
      </c>
      <c r="N344" t="s">
        <v>1618</v>
      </c>
      <c r="O344">
        <v>43.77</v>
      </c>
      <c r="P344">
        <v>3163.674</v>
      </c>
      <c r="Q344" s="1">
        <f t="shared" si="35"/>
        <v>0.264298093587522</v>
      </c>
      <c r="R344" s="1">
        <f t="shared" si="36"/>
        <v>0.0694294864384125</v>
      </c>
      <c r="S344" t="s">
        <v>1376</v>
      </c>
      <c r="T344">
        <v>41.28</v>
      </c>
      <c r="U344">
        <v>3246.294</v>
      </c>
      <c r="V344" s="1">
        <f t="shared" si="37"/>
        <v>-0.0568882796435915</v>
      </c>
      <c r="W344" s="1">
        <f t="shared" si="38"/>
        <v>0.0261152065604736</v>
      </c>
      <c r="X344" t="s">
        <v>1362</v>
      </c>
      <c r="Y344">
        <v>40.65</v>
      </c>
      <c r="Z344">
        <v>3051.226</v>
      </c>
      <c r="AA344" s="2">
        <f t="shared" si="39"/>
        <v>-0.0152616279069768</v>
      </c>
      <c r="AB344" s="2">
        <f t="shared" si="40"/>
        <v>-0.0600894435316086</v>
      </c>
      <c r="AC344" t="s">
        <v>1673</v>
      </c>
      <c r="AD344">
        <v>42.51</v>
      </c>
      <c r="AE344">
        <v>3038.929</v>
      </c>
      <c r="AF344" s="2">
        <f t="shared" si="33"/>
        <v>0.0457564575645756</v>
      </c>
      <c r="AG344" s="2">
        <f t="shared" si="34"/>
        <v>-0.00403018327714828</v>
      </c>
      <c r="AH344" t="s">
        <v>1737</v>
      </c>
      <c r="AI344" t="s">
        <v>41</v>
      </c>
      <c r="AJ344" t="s">
        <v>41</v>
      </c>
    </row>
    <row r="345" hidden="1" spans="1:36">
      <c r="A345">
        <v>127073</v>
      </c>
      <c r="B345" t="s">
        <v>1738</v>
      </c>
      <c r="C345">
        <v>2709</v>
      </c>
      <c r="D345" t="s">
        <v>1739</v>
      </c>
      <c r="E345" t="s">
        <v>1740</v>
      </c>
      <c r="F345" t="s">
        <v>41</v>
      </c>
      <c r="G345" t="s">
        <v>1741</v>
      </c>
      <c r="H345" t="s">
        <v>621</v>
      </c>
      <c r="I345" t="s">
        <v>255</v>
      </c>
      <c r="J345" t="s">
        <v>255</v>
      </c>
      <c r="K345" t="s">
        <v>255</v>
      </c>
      <c r="L345" t="s">
        <v>41</v>
      </c>
      <c r="M345" t="s">
        <v>41</v>
      </c>
      <c r="N345" t="s">
        <v>255</v>
      </c>
      <c r="O345" t="s">
        <v>41</v>
      </c>
      <c r="P345" t="s">
        <v>41</v>
      </c>
      <c r="Q345" s="2"/>
      <c r="R345" s="2"/>
      <c r="S345" t="s">
        <v>255</v>
      </c>
      <c r="T345" t="s">
        <v>41</v>
      </c>
      <c r="U345" t="s">
        <v>41</v>
      </c>
      <c r="V345" s="2"/>
      <c r="W345" s="2"/>
      <c r="X345" t="s">
        <v>1741</v>
      </c>
      <c r="Y345">
        <v>45.63</v>
      </c>
      <c r="Z345">
        <v>3088.37</v>
      </c>
      <c r="AA345" s="2"/>
      <c r="AB345" s="2"/>
      <c r="AC345" t="s">
        <v>1348</v>
      </c>
      <c r="AD345">
        <v>42.97</v>
      </c>
      <c r="AE345">
        <v>2982.903</v>
      </c>
      <c r="AF345" s="2">
        <f t="shared" si="33"/>
        <v>-0.0582949813719045</v>
      </c>
      <c r="AG345" s="2">
        <f t="shared" si="34"/>
        <v>-0.0341497294689432</v>
      </c>
      <c r="AH345" t="s">
        <v>1742</v>
      </c>
      <c r="AI345" t="s">
        <v>263</v>
      </c>
      <c r="AJ345" t="s">
        <v>625</v>
      </c>
    </row>
    <row r="346" hidden="1" spans="1:36">
      <c r="A346">
        <v>110090</v>
      </c>
      <c r="B346" t="s">
        <v>1743</v>
      </c>
      <c r="C346">
        <v>600933</v>
      </c>
      <c r="D346" t="s">
        <v>1744</v>
      </c>
      <c r="E346" t="s">
        <v>1745</v>
      </c>
      <c r="F346" t="s">
        <v>397</v>
      </c>
      <c r="G346" t="s">
        <v>1741</v>
      </c>
      <c r="H346" t="s">
        <v>33</v>
      </c>
      <c r="I346" t="s">
        <v>255</v>
      </c>
      <c r="J346" t="s">
        <v>255</v>
      </c>
      <c r="K346" t="s">
        <v>255</v>
      </c>
      <c r="L346" t="s">
        <v>41</v>
      </c>
      <c r="M346" t="s">
        <v>41</v>
      </c>
      <c r="N346" t="s">
        <v>255</v>
      </c>
      <c r="O346" t="s">
        <v>41</v>
      </c>
      <c r="P346" t="s">
        <v>41</v>
      </c>
      <c r="Q346" s="2"/>
      <c r="R346" s="2"/>
      <c r="S346" t="s">
        <v>255</v>
      </c>
      <c r="T346" t="s">
        <v>41</v>
      </c>
      <c r="U346" t="s">
        <v>41</v>
      </c>
      <c r="V346" s="2"/>
      <c r="W346" s="2"/>
      <c r="X346" t="s">
        <v>1741</v>
      </c>
      <c r="Y346">
        <v>17.49</v>
      </c>
      <c r="Z346">
        <v>3088.37</v>
      </c>
      <c r="AA346" s="2"/>
      <c r="AB346" s="2"/>
      <c r="AC346" t="s">
        <v>1189</v>
      </c>
      <c r="AD346">
        <v>17.95</v>
      </c>
      <c r="AE346">
        <v>2915.926</v>
      </c>
      <c r="AF346" s="2">
        <f t="shared" si="33"/>
        <v>0.0263007432818754</v>
      </c>
      <c r="AG346" s="2">
        <f t="shared" si="34"/>
        <v>-0.0558365739856299</v>
      </c>
      <c r="AH346" t="s">
        <v>1746</v>
      </c>
      <c r="AI346" t="s">
        <v>41</v>
      </c>
      <c r="AJ346" t="s">
        <v>41</v>
      </c>
    </row>
    <row r="347" spans="1:36">
      <c r="A347">
        <v>118020</v>
      </c>
      <c r="B347" t="s">
        <v>1747</v>
      </c>
      <c r="C347">
        <v>688148</v>
      </c>
      <c r="D347" t="s">
        <v>1748</v>
      </c>
      <c r="E347" t="s">
        <v>1749</v>
      </c>
      <c r="F347" t="s">
        <v>1584</v>
      </c>
      <c r="G347" t="s">
        <v>1741</v>
      </c>
      <c r="H347" t="s">
        <v>33</v>
      </c>
      <c r="I347" t="s">
        <v>255</v>
      </c>
      <c r="J347" t="s">
        <v>255</v>
      </c>
      <c r="K347" t="s">
        <v>1750</v>
      </c>
      <c r="L347">
        <v>23.61</v>
      </c>
      <c r="M347">
        <v>3212.24</v>
      </c>
      <c r="N347" t="s">
        <v>1751</v>
      </c>
      <c r="O347">
        <v>19.06</v>
      </c>
      <c r="P347">
        <v>3356.078</v>
      </c>
      <c r="Q347" s="1">
        <f t="shared" si="35"/>
        <v>-0.192714951291826</v>
      </c>
      <c r="R347" s="1">
        <f t="shared" si="36"/>
        <v>0.0447780987721964</v>
      </c>
      <c r="S347" t="s">
        <v>1497</v>
      </c>
      <c r="T347">
        <v>23.3</v>
      </c>
      <c r="U347">
        <v>3253.238</v>
      </c>
      <c r="V347" s="1">
        <f t="shared" si="37"/>
        <v>0.222455403987408</v>
      </c>
      <c r="W347" s="1">
        <f t="shared" si="38"/>
        <v>-0.030642911159991</v>
      </c>
      <c r="X347" t="s">
        <v>1741</v>
      </c>
      <c r="Y347">
        <v>15.47</v>
      </c>
      <c r="Z347">
        <v>3088.37</v>
      </c>
      <c r="AA347" s="2">
        <f t="shared" si="39"/>
        <v>-0.336051502145923</v>
      </c>
      <c r="AB347" s="2">
        <f t="shared" si="40"/>
        <v>-0.0506781243794644</v>
      </c>
      <c r="AC347" t="s">
        <v>1542</v>
      </c>
      <c r="AD347">
        <v>17.65</v>
      </c>
      <c r="AE347">
        <v>3077.817</v>
      </c>
      <c r="AF347" s="2">
        <f t="shared" si="33"/>
        <v>0.140917905623788</v>
      </c>
      <c r="AG347" s="2">
        <f t="shared" si="34"/>
        <v>-0.0034170128579153</v>
      </c>
      <c r="AH347" t="s">
        <v>1746</v>
      </c>
      <c r="AI347" t="s">
        <v>41</v>
      </c>
      <c r="AJ347" t="s">
        <v>41</v>
      </c>
    </row>
    <row r="348" hidden="1" spans="1:36">
      <c r="A348">
        <v>110089</v>
      </c>
      <c r="B348" t="s">
        <v>1752</v>
      </c>
      <c r="C348">
        <v>600141</v>
      </c>
      <c r="D348" t="s">
        <v>1753</v>
      </c>
      <c r="E348" t="s">
        <v>804</v>
      </c>
      <c r="F348" t="s">
        <v>98</v>
      </c>
      <c r="G348" t="s">
        <v>1052</v>
      </c>
      <c r="H348" t="s">
        <v>33</v>
      </c>
      <c r="I348" t="s">
        <v>255</v>
      </c>
      <c r="J348" t="s">
        <v>255</v>
      </c>
      <c r="K348" t="s">
        <v>255</v>
      </c>
      <c r="L348" t="s">
        <v>41</v>
      </c>
      <c r="M348" t="s">
        <v>41</v>
      </c>
      <c r="N348" t="s">
        <v>255</v>
      </c>
      <c r="O348" t="s">
        <v>41</v>
      </c>
      <c r="P348" t="s">
        <v>41</v>
      </c>
      <c r="Q348" s="2"/>
      <c r="R348" s="2"/>
      <c r="S348" t="s">
        <v>255</v>
      </c>
      <c r="T348" t="s">
        <v>41</v>
      </c>
      <c r="U348" t="s">
        <v>41</v>
      </c>
      <c r="V348" s="2"/>
      <c r="W348" s="2"/>
      <c r="X348" t="s">
        <v>1052</v>
      </c>
      <c r="Y348">
        <v>34.33</v>
      </c>
      <c r="Z348">
        <v>3108.91</v>
      </c>
      <c r="AA348" s="2"/>
      <c r="AB348" s="2"/>
      <c r="AC348" t="s">
        <v>1754</v>
      </c>
      <c r="AD348">
        <v>25.67</v>
      </c>
      <c r="AE348">
        <v>2893.483</v>
      </c>
      <c r="AF348" s="2">
        <f t="shared" si="33"/>
        <v>-0.252257500728226</v>
      </c>
      <c r="AG348" s="2">
        <f t="shared" si="34"/>
        <v>-0.0692934179503426</v>
      </c>
      <c r="AH348" t="s">
        <v>1755</v>
      </c>
      <c r="AI348" t="s">
        <v>41</v>
      </c>
      <c r="AJ348" t="s">
        <v>41</v>
      </c>
    </row>
    <row r="349" hidden="1" spans="1:36">
      <c r="A349">
        <v>127072</v>
      </c>
      <c r="B349" t="s">
        <v>1756</v>
      </c>
      <c r="C349">
        <v>2698</v>
      </c>
      <c r="D349" t="s">
        <v>1757</v>
      </c>
      <c r="E349" t="s">
        <v>223</v>
      </c>
      <c r="F349" t="s">
        <v>397</v>
      </c>
      <c r="G349" t="s">
        <v>1052</v>
      </c>
      <c r="H349" t="s">
        <v>33</v>
      </c>
      <c r="I349" t="s">
        <v>255</v>
      </c>
      <c r="J349" t="s">
        <v>255</v>
      </c>
      <c r="K349" t="s">
        <v>255</v>
      </c>
      <c r="L349" t="s">
        <v>41</v>
      </c>
      <c r="M349" t="s">
        <v>41</v>
      </c>
      <c r="N349" t="s">
        <v>255</v>
      </c>
      <c r="O349" t="s">
        <v>41</v>
      </c>
      <c r="P349" t="s">
        <v>41</v>
      </c>
      <c r="Q349" s="2"/>
      <c r="R349" s="2"/>
      <c r="S349" t="s">
        <v>255</v>
      </c>
      <c r="T349" t="s">
        <v>41</v>
      </c>
      <c r="U349" t="s">
        <v>41</v>
      </c>
      <c r="V349" s="2"/>
      <c r="W349" s="2"/>
      <c r="X349" t="s">
        <v>1052</v>
      </c>
      <c r="Y349">
        <v>14.41</v>
      </c>
      <c r="Z349">
        <v>3108.91</v>
      </c>
      <c r="AA349" s="2"/>
      <c r="AB349" s="2"/>
      <c r="AC349" t="s">
        <v>1758</v>
      </c>
      <c r="AD349">
        <v>15.3</v>
      </c>
      <c r="AE349">
        <v>2997.806</v>
      </c>
      <c r="AF349" s="2">
        <f t="shared" si="33"/>
        <v>0.0617626648161</v>
      </c>
      <c r="AG349" s="2">
        <f t="shared" si="34"/>
        <v>-0.0357372841285209</v>
      </c>
      <c r="AH349" t="s">
        <v>1755</v>
      </c>
      <c r="AI349" t="s">
        <v>41</v>
      </c>
      <c r="AJ349" t="s">
        <v>41</v>
      </c>
    </row>
    <row r="350" hidden="1" spans="1:36">
      <c r="A350">
        <v>118019</v>
      </c>
      <c r="B350" t="s">
        <v>1759</v>
      </c>
      <c r="C350">
        <v>688676</v>
      </c>
      <c r="D350" t="s">
        <v>96</v>
      </c>
      <c r="E350" t="s">
        <v>1760</v>
      </c>
      <c r="F350" t="s">
        <v>41</v>
      </c>
      <c r="G350" t="s">
        <v>1593</v>
      </c>
      <c r="H350" t="s">
        <v>621</v>
      </c>
      <c r="I350" t="s">
        <v>255</v>
      </c>
      <c r="J350" t="s">
        <v>255</v>
      </c>
      <c r="K350" t="s">
        <v>255</v>
      </c>
      <c r="L350" t="s">
        <v>41</v>
      </c>
      <c r="M350" t="s">
        <v>41</v>
      </c>
      <c r="N350" t="s">
        <v>255</v>
      </c>
      <c r="O350" t="s">
        <v>41</v>
      </c>
      <c r="P350" t="s">
        <v>41</v>
      </c>
      <c r="Q350" s="2"/>
      <c r="R350" s="2"/>
      <c r="S350" t="s">
        <v>255</v>
      </c>
      <c r="T350" t="s">
        <v>41</v>
      </c>
      <c r="U350" t="s">
        <v>41</v>
      </c>
      <c r="V350" s="2"/>
      <c r="W350" s="2"/>
      <c r="X350" t="s">
        <v>1593</v>
      </c>
      <c r="Y350">
        <v>27.9</v>
      </c>
      <c r="Z350">
        <v>3126.398</v>
      </c>
      <c r="AA350" s="2"/>
      <c r="AB350" s="2"/>
      <c r="AC350" t="s">
        <v>1695</v>
      </c>
      <c r="AD350">
        <v>34.64</v>
      </c>
      <c r="AE350">
        <v>3016.356</v>
      </c>
      <c r="AF350" s="2">
        <f t="shared" si="33"/>
        <v>0.2415770609319</v>
      </c>
      <c r="AG350" s="2">
        <f t="shared" si="34"/>
        <v>-0.0351976939596302</v>
      </c>
      <c r="AH350" t="s">
        <v>1761</v>
      </c>
      <c r="AI350" t="s">
        <v>1762</v>
      </c>
      <c r="AJ350" t="s">
        <v>625</v>
      </c>
    </row>
    <row r="351" hidden="1" spans="1:36">
      <c r="A351">
        <v>113658</v>
      </c>
      <c r="B351" t="s">
        <v>1763</v>
      </c>
      <c r="C351">
        <v>603713</v>
      </c>
      <c r="D351" t="s">
        <v>1764</v>
      </c>
      <c r="E351" t="s">
        <v>1765</v>
      </c>
      <c r="F351" t="s">
        <v>56</v>
      </c>
      <c r="G351" t="s">
        <v>1593</v>
      </c>
      <c r="H351" t="s">
        <v>33</v>
      </c>
      <c r="I351" t="s">
        <v>255</v>
      </c>
      <c r="J351" t="s">
        <v>255</v>
      </c>
      <c r="K351" t="s">
        <v>255</v>
      </c>
      <c r="L351" t="s">
        <v>41</v>
      </c>
      <c r="M351" t="s">
        <v>41</v>
      </c>
      <c r="N351" t="s">
        <v>255</v>
      </c>
      <c r="O351" t="s">
        <v>41</v>
      </c>
      <c r="P351" t="s">
        <v>41</v>
      </c>
      <c r="Q351" s="2"/>
      <c r="R351" s="2"/>
      <c r="S351" t="s">
        <v>255</v>
      </c>
      <c r="T351" t="s">
        <v>41</v>
      </c>
      <c r="U351" t="s">
        <v>41</v>
      </c>
      <c r="V351" s="2"/>
      <c r="W351" s="2"/>
      <c r="X351" t="s">
        <v>1593</v>
      </c>
      <c r="Y351">
        <v>130.23</v>
      </c>
      <c r="Z351">
        <v>3126.398</v>
      </c>
      <c r="AA351" s="2"/>
      <c r="AB351" s="2"/>
      <c r="AC351" t="s">
        <v>1312</v>
      </c>
      <c r="AD351">
        <v>122.69</v>
      </c>
      <c r="AE351">
        <v>2976.283</v>
      </c>
      <c r="AF351" s="2">
        <f t="shared" si="33"/>
        <v>-0.0578975658450433</v>
      </c>
      <c r="AG351" s="2">
        <f t="shared" si="34"/>
        <v>-0.0480153198665046</v>
      </c>
      <c r="AH351" t="s">
        <v>1766</v>
      </c>
      <c r="AI351" t="s">
        <v>41</v>
      </c>
      <c r="AJ351" t="s">
        <v>41</v>
      </c>
    </row>
    <row r="352" hidden="1" spans="1:36">
      <c r="A352">
        <v>113062</v>
      </c>
      <c r="B352" t="s">
        <v>1767</v>
      </c>
      <c r="C352">
        <v>601128</v>
      </c>
      <c r="D352" t="s">
        <v>1768</v>
      </c>
      <c r="E352" t="s">
        <v>1769</v>
      </c>
      <c r="F352" t="s">
        <v>444</v>
      </c>
      <c r="G352" t="s">
        <v>1587</v>
      </c>
      <c r="H352" t="s">
        <v>33</v>
      </c>
      <c r="I352" t="s">
        <v>255</v>
      </c>
      <c r="J352" t="s">
        <v>255</v>
      </c>
      <c r="K352" t="s">
        <v>255</v>
      </c>
      <c r="L352" t="s">
        <v>41</v>
      </c>
      <c r="M352" t="s">
        <v>41</v>
      </c>
      <c r="N352" t="s">
        <v>255</v>
      </c>
      <c r="O352" t="s">
        <v>41</v>
      </c>
      <c r="P352" t="s">
        <v>41</v>
      </c>
      <c r="Q352" s="2"/>
      <c r="R352" s="2"/>
      <c r="S352" t="s">
        <v>255</v>
      </c>
      <c r="T352" t="s">
        <v>41</v>
      </c>
      <c r="U352" t="s">
        <v>41</v>
      </c>
      <c r="V352" s="2"/>
      <c r="W352" s="2"/>
      <c r="X352" t="s">
        <v>1587</v>
      </c>
      <c r="Y352">
        <v>5.56</v>
      </c>
      <c r="Z352">
        <v>3199.919</v>
      </c>
      <c r="AA352" s="2"/>
      <c r="AB352" s="2"/>
      <c r="AC352" t="s">
        <v>1527</v>
      </c>
      <c r="AD352">
        <v>5.99</v>
      </c>
      <c r="AE352">
        <v>3084.942</v>
      </c>
      <c r="AF352" s="2">
        <f t="shared" si="33"/>
        <v>0.077338129496403</v>
      </c>
      <c r="AG352" s="2">
        <f t="shared" si="34"/>
        <v>-0.0359312220090571</v>
      </c>
      <c r="AH352" t="s">
        <v>1770</v>
      </c>
      <c r="AI352" t="s">
        <v>41</v>
      </c>
      <c r="AJ352" t="s">
        <v>41</v>
      </c>
    </row>
    <row r="353" hidden="1" spans="1:36">
      <c r="A353">
        <v>110088</v>
      </c>
      <c r="B353" t="s">
        <v>1771</v>
      </c>
      <c r="C353">
        <v>600985</v>
      </c>
      <c r="D353" t="s">
        <v>1772</v>
      </c>
      <c r="E353" t="s">
        <v>325</v>
      </c>
      <c r="F353" t="s">
        <v>41</v>
      </c>
      <c r="G353" t="s">
        <v>1773</v>
      </c>
      <c r="H353" t="s">
        <v>621</v>
      </c>
      <c r="I353" t="s">
        <v>255</v>
      </c>
      <c r="J353" t="s">
        <v>255</v>
      </c>
      <c r="K353" t="s">
        <v>255</v>
      </c>
      <c r="L353" t="s">
        <v>41</v>
      </c>
      <c r="M353" t="s">
        <v>41</v>
      </c>
      <c r="N353" t="s">
        <v>255</v>
      </c>
      <c r="O353" t="s">
        <v>41</v>
      </c>
      <c r="P353" t="s">
        <v>41</v>
      </c>
      <c r="Q353" s="2"/>
      <c r="R353" s="2"/>
      <c r="S353" t="s">
        <v>255</v>
      </c>
      <c r="T353" t="s">
        <v>41</v>
      </c>
      <c r="U353" t="s">
        <v>41</v>
      </c>
      <c r="V353" s="2"/>
      <c r="W353" s="2"/>
      <c r="X353" t="s">
        <v>1773</v>
      </c>
      <c r="Y353">
        <v>12.25</v>
      </c>
      <c r="Z353">
        <v>3237.542</v>
      </c>
      <c r="AA353" s="2"/>
      <c r="AB353" s="2"/>
      <c r="AC353" t="s">
        <v>1774</v>
      </c>
      <c r="AD353">
        <v>12.55</v>
      </c>
      <c r="AE353">
        <v>3035.05</v>
      </c>
      <c r="AF353" s="2">
        <f t="shared" si="33"/>
        <v>0.0244897959183674</v>
      </c>
      <c r="AG353" s="2">
        <f t="shared" si="34"/>
        <v>-0.0625449801114548</v>
      </c>
      <c r="AH353" t="s">
        <v>1775</v>
      </c>
      <c r="AI353" t="s">
        <v>825</v>
      </c>
      <c r="AJ353" t="s">
        <v>625</v>
      </c>
    </row>
    <row r="354" hidden="1" spans="1:36">
      <c r="A354">
        <v>113656</v>
      </c>
      <c r="B354" t="s">
        <v>1776</v>
      </c>
      <c r="C354">
        <v>603535</v>
      </c>
      <c r="D354" t="s">
        <v>1777</v>
      </c>
      <c r="E354" t="s">
        <v>115</v>
      </c>
      <c r="F354" t="s">
        <v>56</v>
      </c>
      <c r="G354" t="s">
        <v>1778</v>
      </c>
      <c r="H354" t="s">
        <v>33</v>
      </c>
      <c r="I354" t="s">
        <v>255</v>
      </c>
      <c r="J354" t="s">
        <v>255</v>
      </c>
      <c r="K354" t="s">
        <v>255</v>
      </c>
      <c r="L354" t="s">
        <v>41</v>
      </c>
      <c r="M354" t="s">
        <v>41</v>
      </c>
      <c r="N354" t="s">
        <v>255</v>
      </c>
      <c r="O354" t="s">
        <v>41</v>
      </c>
      <c r="P354" t="s">
        <v>41</v>
      </c>
      <c r="Q354" s="2"/>
      <c r="R354" s="2"/>
      <c r="S354" t="s">
        <v>255</v>
      </c>
      <c r="T354" t="s">
        <v>41</v>
      </c>
      <c r="U354" t="s">
        <v>41</v>
      </c>
      <c r="V354" s="2"/>
      <c r="W354" s="2"/>
      <c r="X354" t="s">
        <v>1778</v>
      </c>
      <c r="Y354">
        <v>8.89</v>
      </c>
      <c r="Z354">
        <v>3184.98</v>
      </c>
      <c r="AA354" s="2"/>
      <c r="AB354" s="2"/>
      <c r="AC354" t="s">
        <v>1779</v>
      </c>
      <c r="AD354">
        <v>7.94</v>
      </c>
      <c r="AE354">
        <v>3025.506</v>
      </c>
      <c r="AF354" s="2">
        <f t="shared" si="33"/>
        <v>-0.106861642294713</v>
      </c>
      <c r="AG354" s="2">
        <f t="shared" si="34"/>
        <v>-0.0500706440856772</v>
      </c>
      <c r="AH354" t="s">
        <v>1780</v>
      </c>
      <c r="AI354" t="s">
        <v>41</v>
      </c>
      <c r="AJ354" t="s">
        <v>41</v>
      </c>
    </row>
    <row r="355" spans="1:36">
      <c r="A355">
        <v>123157</v>
      </c>
      <c r="B355" t="s">
        <v>1781</v>
      </c>
      <c r="C355">
        <v>300663</v>
      </c>
      <c r="D355" t="s">
        <v>1782</v>
      </c>
      <c r="E355" t="s">
        <v>1783</v>
      </c>
      <c r="F355" t="s">
        <v>708</v>
      </c>
      <c r="G355" t="s">
        <v>1784</v>
      </c>
      <c r="H355" t="s">
        <v>33</v>
      </c>
      <c r="I355" t="s">
        <v>255</v>
      </c>
      <c r="J355" t="s">
        <v>255</v>
      </c>
      <c r="K355" t="s">
        <v>1785</v>
      </c>
      <c r="L355">
        <v>27.04</v>
      </c>
      <c r="M355">
        <v>3606.372</v>
      </c>
      <c r="N355" t="s">
        <v>1649</v>
      </c>
      <c r="O355">
        <v>15.22</v>
      </c>
      <c r="P355">
        <v>3305.407</v>
      </c>
      <c r="Q355" s="1">
        <f t="shared" si="35"/>
        <v>-0.437130177514793</v>
      </c>
      <c r="R355" s="1">
        <f t="shared" si="36"/>
        <v>-0.0834536758825766</v>
      </c>
      <c r="S355" t="s">
        <v>1369</v>
      </c>
      <c r="T355">
        <v>16.06</v>
      </c>
      <c r="U355">
        <v>3247.432</v>
      </c>
      <c r="V355" s="1">
        <f t="shared" si="37"/>
        <v>0.0551905387647831</v>
      </c>
      <c r="W355" s="1">
        <f t="shared" si="38"/>
        <v>-0.0175394437054197</v>
      </c>
      <c r="X355" t="s">
        <v>1784</v>
      </c>
      <c r="Y355">
        <v>14.54</v>
      </c>
      <c r="Z355">
        <v>3227.22</v>
      </c>
      <c r="AA355" s="2">
        <f t="shared" si="39"/>
        <v>-0.0946450809464508</v>
      </c>
      <c r="AB355" s="2">
        <f t="shared" si="40"/>
        <v>-0.00622399483653545</v>
      </c>
      <c r="AC355" t="s">
        <v>1786</v>
      </c>
      <c r="AD355">
        <v>13.92</v>
      </c>
      <c r="AE355">
        <v>3122.406</v>
      </c>
      <c r="AF355" s="2">
        <f t="shared" si="33"/>
        <v>-0.0426409903713892</v>
      </c>
      <c r="AG355" s="2">
        <f t="shared" si="34"/>
        <v>-0.0324781080930336</v>
      </c>
      <c r="AH355" t="s">
        <v>1787</v>
      </c>
      <c r="AI355" t="s">
        <v>41</v>
      </c>
      <c r="AJ355" t="s">
        <v>41</v>
      </c>
    </row>
    <row r="356" hidden="1" spans="1:36">
      <c r="A356">
        <v>127071</v>
      </c>
      <c r="B356" t="s">
        <v>1788</v>
      </c>
      <c r="C356">
        <v>3009</v>
      </c>
      <c r="D356" t="s">
        <v>1789</v>
      </c>
      <c r="E356" t="s">
        <v>1783</v>
      </c>
      <c r="F356" t="s">
        <v>98</v>
      </c>
      <c r="G356" t="s">
        <v>1422</v>
      </c>
      <c r="H356" t="s">
        <v>33</v>
      </c>
      <c r="I356" t="s">
        <v>255</v>
      </c>
      <c r="J356" t="s">
        <v>255</v>
      </c>
      <c r="K356" t="s">
        <v>255</v>
      </c>
      <c r="L356" t="s">
        <v>41</v>
      </c>
      <c r="M356" t="s">
        <v>41</v>
      </c>
      <c r="N356" t="s">
        <v>255</v>
      </c>
      <c r="O356" t="s">
        <v>41</v>
      </c>
      <c r="P356" t="s">
        <v>41</v>
      </c>
      <c r="Q356" s="2"/>
      <c r="R356" s="2"/>
      <c r="S356" t="s">
        <v>255</v>
      </c>
      <c r="T356" t="s">
        <v>41</v>
      </c>
      <c r="U356" t="s">
        <v>41</v>
      </c>
      <c r="V356" s="2"/>
      <c r="W356" s="2"/>
      <c r="X356" t="s">
        <v>1422</v>
      </c>
      <c r="Y356">
        <v>50.87</v>
      </c>
      <c r="Z356">
        <v>3277.794</v>
      </c>
      <c r="AA356" s="2"/>
      <c r="AB356" s="2"/>
      <c r="AC356" t="s">
        <v>1387</v>
      </c>
      <c r="AD356">
        <v>42.03</v>
      </c>
      <c r="AE356">
        <v>3115.602</v>
      </c>
      <c r="AF356" s="2">
        <f t="shared" si="33"/>
        <v>-0.17377629251032</v>
      </c>
      <c r="AG356" s="2">
        <f t="shared" si="34"/>
        <v>-0.0494820601904818</v>
      </c>
      <c r="AH356" t="s">
        <v>1790</v>
      </c>
      <c r="AI356" t="s">
        <v>41</v>
      </c>
      <c r="AJ356" t="s">
        <v>41</v>
      </c>
    </row>
    <row r="357" spans="1:36">
      <c r="A357">
        <v>118018</v>
      </c>
      <c r="B357" t="s">
        <v>1791</v>
      </c>
      <c r="C357">
        <v>688323</v>
      </c>
      <c r="D357" t="s">
        <v>1792</v>
      </c>
      <c r="E357" t="s">
        <v>1193</v>
      </c>
      <c r="F357" t="s">
        <v>708</v>
      </c>
      <c r="G357" t="s">
        <v>1446</v>
      </c>
      <c r="H357" t="s">
        <v>33</v>
      </c>
      <c r="I357" t="s">
        <v>255</v>
      </c>
      <c r="J357" t="s">
        <v>255</v>
      </c>
      <c r="K357" t="s">
        <v>1793</v>
      </c>
      <c r="L357">
        <v>27.13</v>
      </c>
      <c r="M357">
        <v>3259.862</v>
      </c>
      <c r="N357" t="s">
        <v>1586</v>
      </c>
      <c r="O357">
        <v>22.47</v>
      </c>
      <c r="P357">
        <v>3349.747</v>
      </c>
      <c r="Q357" s="1">
        <f t="shared" si="35"/>
        <v>-0.171765573166237</v>
      </c>
      <c r="R357" s="1">
        <f t="shared" si="36"/>
        <v>0.0275732531008981</v>
      </c>
      <c r="S357" t="s">
        <v>1794</v>
      </c>
      <c r="T357">
        <v>25.98</v>
      </c>
      <c r="U357">
        <v>3278.103</v>
      </c>
      <c r="V357" s="1">
        <f t="shared" si="37"/>
        <v>0.156208277703605</v>
      </c>
      <c r="W357" s="1">
        <f t="shared" si="38"/>
        <v>-0.0213878839207856</v>
      </c>
      <c r="X357" t="s">
        <v>1446</v>
      </c>
      <c r="Y357">
        <v>31.67</v>
      </c>
      <c r="Z357">
        <v>3277.544</v>
      </c>
      <c r="AA357" s="2">
        <f t="shared" si="39"/>
        <v>0.219014626635874</v>
      </c>
      <c r="AB357" s="2">
        <f t="shared" si="40"/>
        <v>-0.000170525453288135</v>
      </c>
      <c r="AC357" t="s">
        <v>1773</v>
      </c>
      <c r="AD357">
        <v>24.65</v>
      </c>
      <c r="AE357">
        <v>3237.542</v>
      </c>
      <c r="AF357" s="2">
        <f t="shared" si="33"/>
        <v>-0.221660877802337</v>
      </c>
      <c r="AG357" s="2">
        <f t="shared" si="34"/>
        <v>-0.0122048704761858</v>
      </c>
      <c r="AH357" t="s">
        <v>1795</v>
      </c>
      <c r="AI357" t="s">
        <v>41</v>
      </c>
      <c r="AJ357" t="s">
        <v>41</v>
      </c>
    </row>
    <row r="358" hidden="1" spans="1:36">
      <c r="A358">
        <v>127070</v>
      </c>
      <c r="B358" t="s">
        <v>1796</v>
      </c>
      <c r="C358">
        <v>1203</v>
      </c>
      <c r="D358" t="s">
        <v>1797</v>
      </c>
      <c r="E358" t="s">
        <v>1798</v>
      </c>
      <c r="F358" t="s">
        <v>397</v>
      </c>
      <c r="G358" t="s">
        <v>1799</v>
      </c>
      <c r="H358" t="s">
        <v>33</v>
      </c>
      <c r="I358" t="s">
        <v>255</v>
      </c>
      <c r="J358" t="s">
        <v>255</v>
      </c>
      <c r="K358" t="s">
        <v>255</v>
      </c>
      <c r="L358" t="s">
        <v>41</v>
      </c>
      <c r="M358" t="s">
        <v>41</v>
      </c>
      <c r="N358" t="s">
        <v>255</v>
      </c>
      <c r="O358" t="s">
        <v>41</v>
      </c>
      <c r="P358" t="s">
        <v>41</v>
      </c>
      <c r="Q358" s="2"/>
      <c r="R358" s="2"/>
      <c r="S358" t="s">
        <v>255</v>
      </c>
      <c r="T358" t="s">
        <v>41</v>
      </c>
      <c r="U358" t="s">
        <v>41</v>
      </c>
      <c r="V358" s="2"/>
      <c r="W358" s="2"/>
      <c r="X358" t="s">
        <v>1799</v>
      </c>
      <c r="Y358">
        <v>10.49</v>
      </c>
      <c r="Z358">
        <v>3292.526</v>
      </c>
      <c r="AA358" s="2"/>
      <c r="AB358" s="2"/>
      <c r="AC358" t="s">
        <v>1702</v>
      </c>
      <c r="AD358">
        <v>9.29</v>
      </c>
      <c r="AE358">
        <v>2979.793</v>
      </c>
      <c r="AF358" s="2">
        <f t="shared" si="33"/>
        <v>-0.11439466158246</v>
      </c>
      <c r="AG358" s="2">
        <f t="shared" si="34"/>
        <v>-0.0949826971753601</v>
      </c>
      <c r="AH358" t="s">
        <v>1800</v>
      </c>
      <c r="AI358" t="s">
        <v>41</v>
      </c>
      <c r="AJ358" t="s">
        <v>41</v>
      </c>
    </row>
    <row r="359" spans="1:36">
      <c r="A359">
        <v>123156</v>
      </c>
      <c r="B359" t="s">
        <v>1801</v>
      </c>
      <c r="C359">
        <v>300839</v>
      </c>
      <c r="D359" t="s">
        <v>1802</v>
      </c>
      <c r="E359" t="s">
        <v>1284</v>
      </c>
      <c r="F359" t="s">
        <v>41</v>
      </c>
      <c r="G359" t="s">
        <v>1803</v>
      </c>
      <c r="H359" t="s">
        <v>621</v>
      </c>
      <c r="I359" t="s">
        <v>255</v>
      </c>
      <c r="J359" t="s">
        <v>255</v>
      </c>
      <c r="K359" t="s">
        <v>1684</v>
      </c>
      <c r="L359">
        <v>9.41</v>
      </c>
      <c r="M359">
        <v>3477.219</v>
      </c>
      <c r="N359" t="s">
        <v>1804</v>
      </c>
      <c r="O359">
        <v>9.57</v>
      </c>
      <c r="P359">
        <v>3130.239</v>
      </c>
      <c r="Q359" s="1">
        <f t="shared" si="35"/>
        <v>0.0170031880977683</v>
      </c>
      <c r="R359" s="1">
        <f t="shared" si="36"/>
        <v>-0.0997866398406313</v>
      </c>
      <c r="S359" t="s">
        <v>1497</v>
      </c>
      <c r="T359">
        <v>10.09</v>
      </c>
      <c r="U359">
        <v>3253.238</v>
      </c>
      <c r="V359" s="1">
        <f t="shared" si="37"/>
        <v>0.0543364681295715</v>
      </c>
      <c r="W359" s="1">
        <f t="shared" si="38"/>
        <v>0.0392938047222592</v>
      </c>
      <c r="X359" t="s">
        <v>1803</v>
      </c>
      <c r="Y359">
        <v>10.24</v>
      </c>
      <c r="Z359">
        <v>3277.885</v>
      </c>
      <c r="AA359" s="2">
        <f t="shared" si="39"/>
        <v>0.0148662041625372</v>
      </c>
      <c r="AB359" s="2">
        <f t="shared" si="40"/>
        <v>0.00757614413701069</v>
      </c>
      <c r="AC359" t="s">
        <v>1317</v>
      </c>
      <c r="AD359">
        <v>9.91</v>
      </c>
      <c r="AE359">
        <v>3186.478</v>
      </c>
      <c r="AF359" s="2">
        <f t="shared" si="33"/>
        <v>-0.0322265625</v>
      </c>
      <c r="AG359" s="2">
        <f t="shared" si="34"/>
        <v>-0.0278859691538904</v>
      </c>
      <c r="AH359" t="s">
        <v>1805</v>
      </c>
      <c r="AI359" t="s">
        <v>1806</v>
      </c>
      <c r="AJ359" t="s">
        <v>625</v>
      </c>
    </row>
    <row r="360" hidden="1" spans="1:36">
      <c r="A360">
        <v>127069</v>
      </c>
      <c r="B360" t="s">
        <v>1807</v>
      </c>
      <c r="C360">
        <v>2959</v>
      </c>
      <c r="D360" t="s">
        <v>1808</v>
      </c>
      <c r="E360" t="s">
        <v>1809</v>
      </c>
      <c r="F360" t="s">
        <v>56</v>
      </c>
      <c r="G360" t="s">
        <v>1714</v>
      </c>
      <c r="H360" t="s">
        <v>33</v>
      </c>
      <c r="I360" t="s">
        <v>255</v>
      </c>
      <c r="J360" t="s">
        <v>255</v>
      </c>
      <c r="K360" t="s">
        <v>255</v>
      </c>
      <c r="L360" t="s">
        <v>41</v>
      </c>
      <c r="M360" t="s">
        <v>41</v>
      </c>
      <c r="N360" t="s">
        <v>255</v>
      </c>
      <c r="O360" t="s">
        <v>41</v>
      </c>
      <c r="P360" t="s">
        <v>41</v>
      </c>
      <c r="Q360" s="2"/>
      <c r="R360" s="2"/>
      <c r="S360" t="s">
        <v>255</v>
      </c>
      <c r="T360" t="s">
        <v>41</v>
      </c>
      <c r="U360" t="s">
        <v>41</v>
      </c>
      <c r="V360" s="2"/>
      <c r="W360" s="2"/>
      <c r="X360" t="s">
        <v>1714</v>
      </c>
      <c r="Y360">
        <v>47.16</v>
      </c>
      <c r="Z360">
        <v>3276.888</v>
      </c>
      <c r="AA360" s="2"/>
      <c r="AB360" s="2"/>
      <c r="AC360" t="s">
        <v>1376</v>
      </c>
      <c r="AD360">
        <v>50.08</v>
      </c>
      <c r="AE360">
        <v>3246.294</v>
      </c>
      <c r="AF360" s="2">
        <f t="shared" si="33"/>
        <v>0.0619168787107719</v>
      </c>
      <c r="AG360" s="2">
        <f t="shared" si="34"/>
        <v>-0.00933629712092694</v>
      </c>
      <c r="AH360" t="s">
        <v>1810</v>
      </c>
      <c r="AI360" t="s">
        <v>41</v>
      </c>
      <c r="AJ360" t="s">
        <v>41</v>
      </c>
    </row>
    <row r="361" spans="1:36">
      <c r="A361">
        <v>123155</v>
      </c>
      <c r="B361" t="s">
        <v>1811</v>
      </c>
      <c r="C361">
        <v>301040</v>
      </c>
      <c r="D361" t="s">
        <v>1812</v>
      </c>
      <c r="E361" t="s">
        <v>1051</v>
      </c>
      <c r="F361" t="s">
        <v>31</v>
      </c>
      <c r="G361" t="s">
        <v>1714</v>
      </c>
      <c r="H361" t="s">
        <v>33</v>
      </c>
      <c r="I361" t="s">
        <v>255</v>
      </c>
      <c r="J361" t="s">
        <v>255</v>
      </c>
      <c r="K361" t="s">
        <v>1712</v>
      </c>
      <c r="L361">
        <v>24.76</v>
      </c>
      <c r="M361">
        <v>3211.245</v>
      </c>
      <c r="N361" t="s">
        <v>1586</v>
      </c>
      <c r="O361">
        <v>31.34</v>
      </c>
      <c r="P361">
        <v>3349.747</v>
      </c>
      <c r="Q361" s="1">
        <f t="shared" si="35"/>
        <v>0.265751211631664</v>
      </c>
      <c r="R361" s="1">
        <f t="shared" si="36"/>
        <v>0.0431303123866289</v>
      </c>
      <c r="S361" t="s">
        <v>1599</v>
      </c>
      <c r="T361">
        <v>35.03</v>
      </c>
      <c r="U361">
        <v>3304.724</v>
      </c>
      <c r="V361" s="1">
        <f t="shared" si="37"/>
        <v>0.117740906190172</v>
      </c>
      <c r="W361" s="1">
        <f t="shared" si="38"/>
        <v>-0.0134407165675496</v>
      </c>
      <c r="X361" t="s">
        <v>1714</v>
      </c>
      <c r="Y361">
        <v>28.92</v>
      </c>
      <c r="Z361">
        <v>3276.888</v>
      </c>
      <c r="AA361" s="2">
        <f t="shared" si="39"/>
        <v>-0.174421924065087</v>
      </c>
      <c r="AB361" s="2">
        <f t="shared" si="40"/>
        <v>-0.0084230937288561</v>
      </c>
      <c r="AC361" t="s">
        <v>1813</v>
      </c>
      <c r="AD361">
        <v>22.8</v>
      </c>
      <c r="AE361">
        <v>3202.138</v>
      </c>
      <c r="AF361" s="2">
        <f t="shared" si="33"/>
        <v>-0.211618257261411</v>
      </c>
      <c r="AG361" s="2">
        <f t="shared" si="34"/>
        <v>-0.0228112770408998</v>
      </c>
      <c r="AH361" t="s">
        <v>1810</v>
      </c>
      <c r="AI361" t="s">
        <v>41</v>
      </c>
      <c r="AJ361" t="s">
        <v>41</v>
      </c>
    </row>
    <row r="362" hidden="1" spans="1:36">
      <c r="A362">
        <v>127068</v>
      </c>
      <c r="B362" t="s">
        <v>1814</v>
      </c>
      <c r="C362">
        <v>2996</v>
      </c>
      <c r="D362" t="s">
        <v>1815</v>
      </c>
      <c r="E362" t="s">
        <v>529</v>
      </c>
      <c r="F362" t="s">
        <v>56</v>
      </c>
      <c r="G362" t="s">
        <v>1714</v>
      </c>
      <c r="H362" t="s">
        <v>33</v>
      </c>
      <c r="I362" t="s">
        <v>255</v>
      </c>
      <c r="J362" t="s">
        <v>255</v>
      </c>
      <c r="K362" t="s">
        <v>255</v>
      </c>
      <c r="L362" t="s">
        <v>41</v>
      </c>
      <c r="M362" t="s">
        <v>41</v>
      </c>
      <c r="N362" t="s">
        <v>255</v>
      </c>
      <c r="O362" t="s">
        <v>41</v>
      </c>
      <c r="P362" t="s">
        <v>41</v>
      </c>
      <c r="Q362" s="2"/>
      <c r="R362" s="2"/>
      <c r="S362" t="s">
        <v>255</v>
      </c>
      <c r="T362" t="s">
        <v>41</v>
      </c>
      <c r="U362" t="s">
        <v>41</v>
      </c>
      <c r="V362" s="2"/>
      <c r="W362" s="2"/>
      <c r="X362" t="s">
        <v>1714</v>
      </c>
      <c r="Y362">
        <v>14.58</v>
      </c>
      <c r="Z362">
        <v>3276.888</v>
      </c>
      <c r="AA362" s="2"/>
      <c r="AB362" s="2"/>
      <c r="AC362" t="s">
        <v>1376</v>
      </c>
      <c r="AD362">
        <v>12.98</v>
      </c>
      <c r="AE362">
        <v>3246.294</v>
      </c>
      <c r="AF362" s="2">
        <f t="shared" si="33"/>
        <v>-0.109739368998628</v>
      </c>
      <c r="AG362" s="2">
        <f t="shared" si="34"/>
        <v>-0.00933629712092694</v>
      </c>
      <c r="AH362" t="s">
        <v>1810</v>
      </c>
      <c r="AI362" t="s">
        <v>41</v>
      </c>
      <c r="AJ362" t="s">
        <v>41</v>
      </c>
    </row>
    <row r="363" hidden="1" spans="1:36">
      <c r="A363">
        <v>111006</v>
      </c>
      <c r="B363" t="s">
        <v>1816</v>
      </c>
      <c r="C363">
        <v>605133</v>
      </c>
      <c r="D363" t="s">
        <v>1817</v>
      </c>
      <c r="E363" t="s">
        <v>1818</v>
      </c>
      <c r="F363" t="s">
        <v>41</v>
      </c>
      <c r="G363" t="s">
        <v>1466</v>
      </c>
      <c r="H363" t="s">
        <v>621</v>
      </c>
      <c r="I363" t="s">
        <v>255</v>
      </c>
      <c r="J363" t="s">
        <v>255</v>
      </c>
      <c r="K363" t="s">
        <v>255</v>
      </c>
      <c r="L363" t="s">
        <v>41</v>
      </c>
      <c r="M363" t="s">
        <v>41</v>
      </c>
      <c r="N363" t="s">
        <v>255</v>
      </c>
      <c r="O363" t="s">
        <v>41</v>
      </c>
      <c r="P363" t="s">
        <v>41</v>
      </c>
      <c r="Q363" s="2"/>
      <c r="R363" s="2"/>
      <c r="S363" t="s">
        <v>255</v>
      </c>
      <c r="T363" t="s">
        <v>41</v>
      </c>
      <c r="U363" t="s">
        <v>41</v>
      </c>
      <c r="V363" s="2"/>
      <c r="W363" s="2"/>
      <c r="X363" t="s">
        <v>1466</v>
      </c>
      <c r="Y363">
        <v>25.31</v>
      </c>
      <c r="Z363">
        <v>3281.665</v>
      </c>
      <c r="AA363" s="2"/>
      <c r="AB363" s="2"/>
      <c r="AC363" t="s">
        <v>1541</v>
      </c>
      <c r="AD363">
        <v>22.91</v>
      </c>
      <c r="AE363">
        <v>3117.177</v>
      </c>
      <c r="AF363" s="2">
        <f t="shared" si="33"/>
        <v>-0.0948241801659423</v>
      </c>
      <c r="AG363" s="2">
        <f t="shared" si="34"/>
        <v>-0.050123336781786</v>
      </c>
      <c r="AH363" t="s">
        <v>1819</v>
      </c>
      <c r="AI363" t="s">
        <v>1820</v>
      </c>
      <c r="AJ363" t="s">
        <v>625</v>
      </c>
    </row>
    <row r="364" spans="1:36">
      <c r="A364">
        <v>118017</v>
      </c>
      <c r="B364" t="s">
        <v>1821</v>
      </c>
      <c r="C364">
        <v>688328</v>
      </c>
      <c r="D364" t="s">
        <v>1822</v>
      </c>
      <c r="E364" t="s">
        <v>1051</v>
      </c>
      <c r="F364" t="s">
        <v>41</v>
      </c>
      <c r="G364" t="s">
        <v>1823</v>
      </c>
      <c r="H364" t="s">
        <v>621</v>
      </c>
      <c r="I364" t="s">
        <v>255</v>
      </c>
      <c r="J364" t="s">
        <v>255</v>
      </c>
      <c r="K364" t="s">
        <v>1824</v>
      </c>
      <c r="L364">
        <v>42.74</v>
      </c>
      <c r="M364">
        <v>3615.974</v>
      </c>
      <c r="N364" t="s">
        <v>1825</v>
      </c>
      <c r="O364">
        <v>19.89</v>
      </c>
      <c r="P364">
        <v>3054.994</v>
      </c>
      <c r="Q364" s="1">
        <f t="shared" si="35"/>
        <v>-0.534627983153954</v>
      </c>
      <c r="R364" s="1">
        <f t="shared" si="36"/>
        <v>-0.155139389829684</v>
      </c>
      <c r="S364" t="s">
        <v>1826</v>
      </c>
      <c r="T364">
        <v>23.85</v>
      </c>
      <c r="U364">
        <v>3255.551</v>
      </c>
      <c r="V364" s="1">
        <f t="shared" si="37"/>
        <v>0.199095022624434</v>
      </c>
      <c r="W364" s="1">
        <f t="shared" si="38"/>
        <v>0.0656489014381042</v>
      </c>
      <c r="X364" t="s">
        <v>1823</v>
      </c>
      <c r="Y364">
        <v>33.44</v>
      </c>
      <c r="Z364">
        <v>3236.934</v>
      </c>
      <c r="AA364" s="2">
        <f t="shared" si="39"/>
        <v>0.4020964360587</v>
      </c>
      <c r="AB364" s="2">
        <f t="shared" si="40"/>
        <v>-0.00571854042526126</v>
      </c>
      <c r="AC364" t="s">
        <v>1827</v>
      </c>
      <c r="AD364">
        <v>27.46</v>
      </c>
      <c r="AE364">
        <v>3240.728</v>
      </c>
      <c r="AF364" s="2">
        <f t="shared" si="33"/>
        <v>-0.178827751196172</v>
      </c>
      <c r="AG364" s="2">
        <f t="shared" si="34"/>
        <v>0.0011720968051866</v>
      </c>
      <c r="AH364" t="s">
        <v>1828</v>
      </c>
      <c r="AI364" t="s">
        <v>872</v>
      </c>
      <c r="AJ364" t="s">
        <v>625</v>
      </c>
    </row>
    <row r="365" spans="1:36">
      <c r="A365">
        <v>123154</v>
      </c>
      <c r="B365" t="s">
        <v>1829</v>
      </c>
      <c r="C365">
        <v>300894</v>
      </c>
      <c r="D365" t="s">
        <v>1830</v>
      </c>
      <c r="E365" t="s">
        <v>865</v>
      </c>
      <c r="F365" t="s">
        <v>56</v>
      </c>
      <c r="G365" t="s">
        <v>873</v>
      </c>
      <c r="H365" t="s">
        <v>33</v>
      </c>
      <c r="I365" t="s">
        <v>255</v>
      </c>
      <c r="J365" t="s">
        <v>255</v>
      </c>
      <c r="K365" t="s">
        <v>1831</v>
      </c>
      <c r="L365">
        <v>38.7</v>
      </c>
      <c r="M365">
        <v>3455.668</v>
      </c>
      <c r="N365" t="s">
        <v>1832</v>
      </c>
      <c r="O365">
        <v>32.16</v>
      </c>
      <c r="P365">
        <v>3251.85</v>
      </c>
      <c r="Q365" s="1">
        <f t="shared" si="35"/>
        <v>-0.168992248062016</v>
      </c>
      <c r="R365" s="1">
        <f t="shared" si="36"/>
        <v>-0.0589807817186142</v>
      </c>
      <c r="S365" t="s">
        <v>1419</v>
      </c>
      <c r="T365">
        <v>33.16</v>
      </c>
      <c r="U365">
        <v>3284.292</v>
      </c>
      <c r="V365" s="1">
        <f t="shared" si="37"/>
        <v>0.0310945273631841</v>
      </c>
      <c r="W365" s="1">
        <f t="shared" si="38"/>
        <v>0.00997647492965543</v>
      </c>
      <c r="X365" t="s">
        <v>873</v>
      </c>
      <c r="Y365">
        <v>30.97</v>
      </c>
      <c r="Z365">
        <v>3227.027</v>
      </c>
      <c r="AA365" s="2">
        <f t="shared" si="39"/>
        <v>-0.066043425814234</v>
      </c>
      <c r="AB365" s="2">
        <f t="shared" si="40"/>
        <v>-0.0174360257857705</v>
      </c>
      <c r="AC365" t="s">
        <v>1201</v>
      </c>
      <c r="AD365">
        <v>28.46</v>
      </c>
      <c r="AE365">
        <v>3276.223</v>
      </c>
      <c r="AF365" s="2">
        <f t="shared" si="33"/>
        <v>-0.0810461737164998</v>
      </c>
      <c r="AG365" s="2">
        <f t="shared" si="34"/>
        <v>0.0152449917524706</v>
      </c>
      <c r="AH365" t="s">
        <v>1833</v>
      </c>
      <c r="AI365" t="s">
        <v>41</v>
      </c>
      <c r="AJ365" t="s">
        <v>41</v>
      </c>
    </row>
    <row r="366" hidden="1" spans="1:36">
      <c r="A366">
        <v>113655</v>
      </c>
      <c r="B366" t="s">
        <v>1834</v>
      </c>
      <c r="C366">
        <v>603833</v>
      </c>
      <c r="D366" t="s">
        <v>1835</v>
      </c>
      <c r="E366" t="s">
        <v>194</v>
      </c>
      <c r="F366" t="s">
        <v>397</v>
      </c>
      <c r="G366" t="s">
        <v>873</v>
      </c>
      <c r="H366" t="s">
        <v>33</v>
      </c>
      <c r="I366" t="s">
        <v>255</v>
      </c>
      <c r="J366" t="s">
        <v>255</v>
      </c>
      <c r="K366" t="s">
        <v>255</v>
      </c>
      <c r="L366" t="s">
        <v>41</v>
      </c>
      <c r="M366" t="s">
        <v>41</v>
      </c>
      <c r="N366" t="s">
        <v>255</v>
      </c>
      <c r="O366" t="s">
        <v>41</v>
      </c>
      <c r="P366" t="s">
        <v>41</v>
      </c>
      <c r="Q366" s="2"/>
      <c r="R366" s="2"/>
      <c r="S366" t="s">
        <v>255</v>
      </c>
      <c r="T366" t="s">
        <v>41</v>
      </c>
      <c r="U366" t="s">
        <v>41</v>
      </c>
      <c r="V366" s="2"/>
      <c r="W366" s="2"/>
      <c r="X366" t="s">
        <v>873</v>
      </c>
      <c r="Y366">
        <v>110.25</v>
      </c>
      <c r="Z366">
        <v>3227.027</v>
      </c>
      <c r="AA366" s="2"/>
      <c r="AB366" s="2"/>
      <c r="AC366" t="s">
        <v>1778</v>
      </c>
      <c r="AD366">
        <v>122.99</v>
      </c>
      <c r="AE366">
        <v>3184.98</v>
      </c>
      <c r="AF366" s="2">
        <f t="shared" si="33"/>
        <v>0.115555555555556</v>
      </c>
      <c r="AG366" s="2">
        <f t="shared" si="34"/>
        <v>-0.0130296399751226</v>
      </c>
      <c r="AH366" t="s">
        <v>1833</v>
      </c>
      <c r="AI366" t="s">
        <v>41</v>
      </c>
      <c r="AJ366" t="s">
        <v>41</v>
      </c>
    </row>
    <row r="367" spans="1:36">
      <c r="A367">
        <v>118016</v>
      </c>
      <c r="B367" t="s">
        <v>1836</v>
      </c>
      <c r="C367">
        <v>688096</v>
      </c>
      <c r="D367" t="s">
        <v>1837</v>
      </c>
      <c r="E367" t="s">
        <v>1838</v>
      </c>
      <c r="F367" t="s">
        <v>708</v>
      </c>
      <c r="G367" t="s">
        <v>873</v>
      </c>
      <c r="H367" t="s">
        <v>33</v>
      </c>
      <c r="I367" t="s">
        <v>255</v>
      </c>
      <c r="J367" t="s">
        <v>255</v>
      </c>
      <c r="K367" t="s">
        <v>1839</v>
      </c>
      <c r="L367">
        <v>7.8</v>
      </c>
      <c r="M367">
        <v>3540.384</v>
      </c>
      <c r="N367" t="s">
        <v>1840</v>
      </c>
      <c r="O367">
        <v>6.97</v>
      </c>
      <c r="P367">
        <v>3622.618</v>
      </c>
      <c r="Q367" s="1">
        <f t="shared" si="35"/>
        <v>-0.106410256410256</v>
      </c>
      <c r="R367" s="1">
        <f t="shared" si="36"/>
        <v>0.0232274239178575</v>
      </c>
      <c r="S367" t="s">
        <v>1708</v>
      </c>
      <c r="T367">
        <v>7.09</v>
      </c>
      <c r="U367">
        <v>3309.747</v>
      </c>
      <c r="V367" s="1">
        <f t="shared" si="37"/>
        <v>0.0172166427546629</v>
      </c>
      <c r="W367" s="1">
        <f t="shared" si="38"/>
        <v>-0.086365992770974</v>
      </c>
      <c r="X367" t="s">
        <v>873</v>
      </c>
      <c r="Y367">
        <v>6.37</v>
      </c>
      <c r="Z367">
        <v>3227.027</v>
      </c>
      <c r="AA367" s="2">
        <f t="shared" si="39"/>
        <v>-0.101551480959097</v>
      </c>
      <c r="AB367" s="2">
        <f t="shared" si="40"/>
        <v>-0.0249928468852755</v>
      </c>
      <c r="AC367" t="s">
        <v>1115</v>
      </c>
      <c r="AD367">
        <v>6.32</v>
      </c>
      <c r="AE367">
        <v>3246.248</v>
      </c>
      <c r="AF367" s="2">
        <f t="shared" si="33"/>
        <v>-0.00784929356357925</v>
      </c>
      <c r="AG367" s="2">
        <f t="shared" si="34"/>
        <v>0.00595625633129193</v>
      </c>
      <c r="AH367" t="s">
        <v>1833</v>
      </c>
      <c r="AI367" t="s">
        <v>41</v>
      </c>
      <c r="AJ367" t="s">
        <v>41</v>
      </c>
    </row>
    <row r="368" hidden="1" spans="1:36">
      <c r="A368">
        <v>113654</v>
      </c>
      <c r="B368" t="s">
        <v>1841</v>
      </c>
      <c r="C368">
        <v>603901</v>
      </c>
      <c r="D368" t="s">
        <v>1842</v>
      </c>
      <c r="E368" t="s">
        <v>1843</v>
      </c>
      <c r="F368" t="s">
        <v>56</v>
      </c>
      <c r="G368" t="s">
        <v>1844</v>
      </c>
      <c r="H368" t="s">
        <v>33</v>
      </c>
      <c r="I368" t="s">
        <v>255</v>
      </c>
      <c r="J368" t="s">
        <v>255</v>
      </c>
      <c r="K368" t="s">
        <v>255</v>
      </c>
      <c r="L368" t="s">
        <v>41</v>
      </c>
      <c r="M368" t="s">
        <v>41</v>
      </c>
      <c r="N368" t="s">
        <v>255</v>
      </c>
      <c r="O368" t="s">
        <v>41</v>
      </c>
      <c r="P368" t="s">
        <v>41</v>
      </c>
      <c r="Q368" s="2"/>
      <c r="R368" s="2"/>
      <c r="S368" t="s">
        <v>255</v>
      </c>
      <c r="T368" t="s">
        <v>41</v>
      </c>
      <c r="U368" t="s">
        <v>41</v>
      </c>
      <c r="V368" s="2"/>
      <c r="W368" s="2"/>
      <c r="X368" t="s">
        <v>1844</v>
      </c>
      <c r="Y368">
        <v>12.8</v>
      </c>
      <c r="Z368">
        <v>3189.039</v>
      </c>
      <c r="AA368" s="2"/>
      <c r="AB368" s="2"/>
      <c r="AC368" t="s">
        <v>1778</v>
      </c>
      <c r="AD368">
        <v>11.81</v>
      </c>
      <c r="AE368">
        <v>3184.98</v>
      </c>
      <c r="AF368" s="2">
        <f t="shared" si="33"/>
        <v>-0.07734375</v>
      </c>
      <c r="AG368" s="2">
        <f t="shared" si="34"/>
        <v>-0.00127279722825597</v>
      </c>
      <c r="AH368" t="s">
        <v>1845</v>
      </c>
      <c r="AI368" t="s">
        <v>41</v>
      </c>
      <c r="AJ368" t="s">
        <v>41</v>
      </c>
    </row>
    <row r="369" hidden="1" spans="1:36">
      <c r="A369">
        <v>113653</v>
      </c>
      <c r="B369" t="s">
        <v>1846</v>
      </c>
      <c r="C369">
        <v>603681</v>
      </c>
      <c r="D369" t="s">
        <v>1847</v>
      </c>
      <c r="E369" t="s">
        <v>1334</v>
      </c>
      <c r="F369" t="s">
        <v>56</v>
      </c>
      <c r="G369" t="s">
        <v>1145</v>
      </c>
      <c r="H369" t="s">
        <v>33</v>
      </c>
      <c r="I369" t="s">
        <v>255</v>
      </c>
      <c r="J369" t="s">
        <v>255</v>
      </c>
      <c r="K369" t="s">
        <v>255</v>
      </c>
      <c r="L369" t="s">
        <v>41</v>
      </c>
      <c r="M369" t="s">
        <v>41</v>
      </c>
      <c r="N369" t="s">
        <v>255</v>
      </c>
      <c r="O369" t="s">
        <v>41</v>
      </c>
      <c r="P369" t="s">
        <v>41</v>
      </c>
      <c r="Q369" s="2"/>
      <c r="R369" s="2"/>
      <c r="S369" t="s">
        <v>255</v>
      </c>
      <c r="T369" t="s">
        <v>41</v>
      </c>
      <c r="U369" t="s">
        <v>41</v>
      </c>
      <c r="V369" s="2"/>
      <c r="W369" s="2"/>
      <c r="X369" t="s">
        <v>1145</v>
      </c>
      <c r="Y369">
        <v>27.03</v>
      </c>
      <c r="Z369">
        <v>3282.576</v>
      </c>
      <c r="AA369" s="2"/>
      <c r="AB369" s="2"/>
      <c r="AC369" t="s">
        <v>1352</v>
      </c>
      <c r="AD369">
        <v>27.51</v>
      </c>
      <c r="AE369">
        <v>3236.223</v>
      </c>
      <c r="AF369" s="2">
        <f t="shared" si="33"/>
        <v>0.0177580466148724</v>
      </c>
      <c r="AG369" s="2">
        <f t="shared" si="34"/>
        <v>-0.0141209221050785</v>
      </c>
      <c r="AH369" t="s">
        <v>1848</v>
      </c>
      <c r="AI369" t="s">
        <v>41</v>
      </c>
      <c r="AJ369" t="s">
        <v>41</v>
      </c>
    </row>
    <row r="370" hidden="1" spans="1:36">
      <c r="A370">
        <v>113652</v>
      </c>
      <c r="B370" t="s">
        <v>1849</v>
      </c>
      <c r="C370">
        <v>603568</v>
      </c>
      <c r="D370" t="s">
        <v>823</v>
      </c>
      <c r="E370" t="s">
        <v>1850</v>
      </c>
      <c r="F370" t="s">
        <v>397</v>
      </c>
      <c r="G370" t="s">
        <v>1173</v>
      </c>
      <c r="H370" t="s">
        <v>33</v>
      </c>
      <c r="I370" t="s">
        <v>255</v>
      </c>
      <c r="J370" t="s">
        <v>255</v>
      </c>
      <c r="K370" t="s">
        <v>255</v>
      </c>
      <c r="L370" t="s">
        <v>41</v>
      </c>
      <c r="M370" t="s">
        <v>41</v>
      </c>
      <c r="N370" t="s">
        <v>255</v>
      </c>
      <c r="O370" t="s">
        <v>41</v>
      </c>
      <c r="P370" t="s">
        <v>41</v>
      </c>
      <c r="Q370" s="2"/>
      <c r="R370" s="2"/>
      <c r="S370" t="s">
        <v>255</v>
      </c>
      <c r="T370" t="s">
        <v>41</v>
      </c>
      <c r="U370" t="s">
        <v>41</v>
      </c>
      <c r="V370" s="2"/>
      <c r="W370" s="2"/>
      <c r="X370" t="s">
        <v>1173</v>
      </c>
      <c r="Y370">
        <v>30.55</v>
      </c>
      <c r="Z370">
        <v>3269.974</v>
      </c>
      <c r="AA370" s="2"/>
      <c r="AB370" s="2"/>
      <c r="AC370" t="s">
        <v>1714</v>
      </c>
      <c r="AD370">
        <v>26.28</v>
      </c>
      <c r="AE370">
        <v>3276.888</v>
      </c>
      <c r="AF370" s="2">
        <f t="shared" si="33"/>
        <v>-0.139770867430442</v>
      </c>
      <c r="AG370" s="2">
        <f t="shared" si="34"/>
        <v>0.00211438990034776</v>
      </c>
      <c r="AH370" t="s">
        <v>1851</v>
      </c>
      <c r="AI370" t="s">
        <v>41</v>
      </c>
      <c r="AJ370" t="s">
        <v>41</v>
      </c>
    </row>
    <row r="371" hidden="1" spans="1:36">
      <c r="A371">
        <v>127067</v>
      </c>
      <c r="B371" t="s">
        <v>1852</v>
      </c>
      <c r="C371">
        <v>703</v>
      </c>
      <c r="D371" t="s">
        <v>1853</v>
      </c>
      <c r="E371" t="s">
        <v>325</v>
      </c>
      <c r="F371" t="s">
        <v>98</v>
      </c>
      <c r="G371" t="s">
        <v>1609</v>
      </c>
      <c r="H371" t="s">
        <v>33</v>
      </c>
      <c r="I371" t="s">
        <v>255</v>
      </c>
      <c r="J371" t="s">
        <v>255</v>
      </c>
      <c r="K371" t="s">
        <v>255</v>
      </c>
      <c r="L371" t="s">
        <v>41</v>
      </c>
      <c r="M371" t="s">
        <v>41</v>
      </c>
      <c r="N371" t="s">
        <v>255</v>
      </c>
      <c r="O371" t="s">
        <v>41</v>
      </c>
      <c r="P371" t="s">
        <v>41</v>
      </c>
      <c r="Q371" s="2"/>
      <c r="R371" s="2"/>
      <c r="S371" t="s">
        <v>255</v>
      </c>
      <c r="T371" t="s">
        <v>41</v>
      </c>
      <c r="U371" t="s">
        <v>41</v>
      </c>
      <c r="V371" s="2"/>
      <c r="W371" s="2"/>
      <c r="X371" t="s">
        <v>1609</v>
      </c>
      <c r="Y371">
        <v>9.26</v>
      </c>
      <c r="Z371">
        <v>3272.001</v>
      </c>
      <c r="AA371" s="2"/>
      <c r="AB371" s="2"/>
      <c r="AC371" t="s">
        <v>1446</v>
      </c>
      <c r="AD371">
        <v>8.86</v>
      </c>
      <c r="AE371">
        <v>3277.544</v>
      </c>
      <c r="AF371" s="2">
        <f t="shared" si="33"/>
        <v>-0.0431965442764579</v>
      </c>
      <c r="AG371" s="2">
        <f t="shared" si="34"/>
        <v>0.0016940703868977</v>
      </c>
      <c r="AH371" t="s">
        <v>1854</v>
      </c>
      <c r="AI371" t="s">
        <v>41</v>
      </c>
      <c r="AJ371" t="s">
        <v>41</v>
      </c>
    </row>
    <row r="372" spans="1:36">
      <c r="A372">
        <v>118015</v>
      </c>
      <c r="B372" t="s">
        <v>1855</v>
      </c>
      <c r="C372">
        <v>688595</v>
      </c>
      <c r="D372" t="s">
        <v>1856</v>
      </c>
      <c r="E372" t="s">
        <v>740</v>
      </c>
      <c r="F372" t="s">
        <v>31</v>
      </c>
      <c r="G372" t="s">
        <v>1609</v>
      </c>
      <c r="H372" t="s">
        <v>33</v>
      </c>
      <c r="I372" t="s">
        <v>255</v>
      </c>
      <c r="J372" t="s">
        <v>255</v>
      </c>
      <c r="K372" t="s">
        <v>1857</v>
      </c>
      <c r="L372">
        <v>85.37</v>
      </c>
      <c r="M372">
        <v>3514.471</v>
      </c>
      <c r="N372" t="s">
        <v>1858</v>
      </c>
      <c r="O372">
        <v>88.43</v>
      </c>
      <c r="P372">
        <v>3618.054</v>
      </c>
      <c r="Q372" s="1">
        <f t="shared" si="35"/>
        <v>0.0358439732927258</v>
      </c>
      <c r="R372" s="1">
        <f t="shared" si="36"/>
        <v>0.029473283461437</v>
      </c>
      <c r="S372" t="s">
        <v>1708</v>
      </c>
      <c r="T372">
        <v>62.11</v>
      </c>
      <c r="U372">
        <v>3309.747</v>
      </c>
      <c r="V372" s="1">
        <f t="shared" si="37"/>
        <v>-0.297636548682574</v>
      </c>
      <c r="W372" s="1">
        <f t="shared" si="38"/>
        <v>-0.0852134876925552</v>
      </c>
      <c r="X372" t="s">
        <v>1609</v>
      </c>
      <c r="Y372">
        <v>53.95</v>
      </c>
      <c r="Z372">
        <v>3272.001</v>
      </c>
      <c r="AA372" s="2">
        <f t="shared" si="39"/>
        <v>-0.13137981001449</v>
      </c>
      <c r="AB372" s="2">
        <f t="shared" si="40"/>
        <v>-0.0114044970808946</v>
      </c>
      <c r="AC372" t="s">
        <v>1446</v>
      </c>
      <c r="AD372">
        <v>56.52</v>
      </c>
      <c r="AE372">
        <v>3277.544</v>
      </c>
      <c r="AF372" s="2">
        <f t="shared" si="33"/>
        <v>0.0476367006487488</v>
      </c>
      <c r="AG372" s="2">
        <f t="shared" si="34"/>
        <v>0.0016940703868977</v>
      </c>
      <c r="AH372" t="s">
        <v>1854</v>
      </c>
      <c r="AI372" t="s">
        <v>41</v>
      </c>
      <c r="AJ372" t="s">
        <v>41</v>
      </c>
    </row>
    <row r="373" spans="1:36">
      <c r="A373">
        <v>123153</v>
      </c>
      <c r="B373" t="s">
        <v>1859</v>
      </c>
      <c r="C373">
        <v>300956</v>
      </c>
      <c r="D373" t="s">
        <v>1860</v>
      </c>
      <c r="E373" t="s">
        <v>1531</v>
      </c>
      <c r="F373" t="s">
        <v>41</v>
      </c>
      <c r="G373" t="s">
        <v>1609</v>
      </c>
      <c r="H373" t="s">
        <v>621</v>
      </c>
      <c r="I373" t="s">
        <v>255</v>
      </c>
      <c r="J373" t="s">
        <v>255</v>
      </c>
      <c r="K373" t="s">
        <v>1861</v>
      </c>
      <c r="L373">
        <v>17.72</v>
      </c>
      <c r="M373">
        <v>3576.885</v>
      </c>
      <c r="N373" t="s">
        <v>1862</v>
      </c>
      <c r="O373">
        <v>13.21</v>
      </c>
      <c r="P373">
        <v>3433.061</v>
      </c>
      <c r="Q373" s="1">
        <f t="shared" si="35"/>
        <v>-0.25451467268623</v>
      </c>
      <c r="R373" s="1">
        <f t="shared" si="36"/>
        <v>-0.0402092882494126</v>
      </c>
      <c r="S373" t="s">
        <v>248</v>
      </c>
      <c r="T373">
        <v>11.22</v>
      </c>
      <c r="U373">
        <v>3058.703</v>
      </c>
      <c r="V373" s="1">
        <f t="shared" si="37"/>
        <v>-0.150643451930356</v>
      </c>
      <c r="W373" s="1">
        <f t="shared" si="38"/>
        <v>-0.1090449601682</v>
      </c>
      <c r="X373" t="s">
        <v>1609</v>
      </c>
      <c r="Y373">
        <v>12.8</v>
      </c>
      <c r="Z373">
        <v>3272.001</v>
      </c>
      <c r="AA373" s="2">
        <f t="shared" si="39"/>
        <v>0.140819964349376</v>
      </c>
      <c r="AB373" s="2">
        <f t="shared" si="40"/>
        <v>0.0697347862803287</v>
      </c>
      <c r="AC373" t="s">
        <v>1466</v>
      </c>
      <c r="AD373">
        <v>12.52</v>
      </c>
      <c r="AE373">
        <v>3281.665</v>
      </c>
      <c r="AF373" s="2">
        <f t="shared" si="33"/>
        <v>-0.0218750000000001</v>
      </c>
      <c r="AG373" s="2">
        <f t="shared" si="34"/>
        <v>0.00295354432960129</v>
      </c>
      <c r="AH373" t="s">
        <v>1854</v>
      </c>
      <c r="AI373" t="s">
        <v>1863</v>
      </c>
      <c r="AJ373" t="s">
        <v>625</v>
      </c>
    </row>
    <row r="374" spans="1:36">
      <c r="A374">
        <v>123152</v>
      </c>
      <c r="B374" t="s">
        <v>1864</v>
      </c>
      <c r="C374">
        <v>300727</v>
      </c>
      <c r="D374" t="s">
        <v>372</v>
      </c>
      <c r="E374" t="s">
        <v>1865</v>
      </c>
      <c r="F374" t="s">
        <v>41</v>
      </c>
      <c r="G374" t="s">
        <v>1609</v>
      </c>
      <c r="H374" t="s">
        <v>621</v>
      </c>
      <c r="I374" t="s">
        <v>255</v>
      </c>
      <c r="J374" t="s">
        <v>255</v>
      </c>
      <c r="K374" t="s">
        <v>1866</v>
      </c>
      <c r="L374">
        <v>19.75</v>
      </c>
      <c r="M374">
        <v>3569.914</v>
      </c>
      <c r="N374" t="s">
        <v>1750</v>
      </c>
      <c r="O374">
        <v>18.62</v>
      </c>
      <c r="P374">
        <v>3212.24</v>
      </c>
      <c r="Q374" s="1">
        <f t="shared" si="35"/>
        <v>-0.0572151898734177</v>
      </c>
      <c r="R374" s="1">
        <f t="shared" si="36"/>
        <v>-0.10019120908795</v>
      </c>
      <c r="S374" t="s">
        <v>1867</v>
      </c>
      <c r="T374">
        <v>21.45</v>
      </c>
      <c r="U374">
        <v>3267.202</v>
      </c>
      <c r="V374" s="1">
        <f t="shared" si="37"/>
        <v>0.151987110633727</v>
      </c>
      <c r="W374" s="1">
        <f t="shared" si="38"/>
        <v>0.0171101785669814</v>
      </c>
      <c r="X374" t="s">
        <v>1609</v>
      </c>
      <c r="Y374">
        <v>21.66</v>
      </c>
      <c r="Z374">
        <v>3272.001</v>
      </c>
      <c r="AA374" s="2">
        <f t="shared" si="39"/>
        <v>0.00979020979020983</v>
      </c>
      <c r="AB374" s="2">
        <f t="shared" si="40"/>
        <v>0.00146884092259982</v>
      </c>
      <c r="AC374" t="s">
        <v>1466</v>
      </c>
      <c r="AD374">
        <v>34.72</v>
      </c>
      <c r="AE374">
        <v>3281.665</v>
      </c>
      <c r="AF374" s="2">
        <f t="shared" si="33"/>
        <v>0.602954755309326</v>
      </c>
      <c r="AG374" s="2">
        <f t="shared" si="34"/>
        <v>0.00295354432960129</v>
      </c>
      <c r="AH374" t="s">
        <v>1854</v>
      </c>
      <c r="AI374" t="s">
        <v>398</v>
      </c>
      <c r="AJ374" t="s">
        <v>625</v>
      </c>
    </row>
    <row r="375" hidden="1" spans="1:36">
      <c r="A375">
        <v>113651</v>
      </c>
      <c r="B375" t="s">
        <v>1868</v>
      </c>
      <c r="C375">
        <v>603992</v>
      </c>
      <c r="D375" t="s">
        <v>1869</v>
      </c>
      <c r="E375" t="s">
        <v>269</v>
      </c>
      <c r="F375" t="s">
        <v>397</v>
      </c>
      <c r="G375" t="s">
        <v>1599</v>
      </c>
      <c r="H375" t="s">
        <v>33</v>
      </c>
      <c r="I375" t="s">
        <v>255</v>
      </c>
      <c r="J375" t="s">
        <v>255</v>
      </c>
      <c r="K375" t="s">
        <v>255</v>
      </c>
      <c r="L375" t="s">
        <v>41</v>
      </c>
      <c r="M375" t="s">
        <v>41</v>
      </c>
      <c r="N375" t="s">
        <v>255</v>
      </c>
      <c r="O375" t="s">
        <v>41</v>
      </c>
      <c r="P375" t="s">
        <v>41</v>
      </c>
      <c r="Q375" s="2"/>
      <c r="R375" s="2"/>
      <c r="S375" t="s">
        <v>255</v>
      </c>
      <c r="T375" t="s">
        <v>41</v>
      </c>
      <c r="U375" t="s">
        <v>41</v>
      </c>
      <c r="V375" s="2"/>
      <c r="W375" s="2"/>
      <c r="X375" t="s">
        <v>1599</v>
      </c>
      <c r="Y375">
        <v>15.17</v>
      </c>
      <c r="Z375">
        <v>3304.724</v>
      </c>
      <c r="AA375" s="2"/>
      <c r="AB375" s="2"/>
      <c r="AC375" t="s">
        <v>1799</v>
      </c>
      <c r="AD375">
        <v>13.84</v>
      </c>
      <c r="AE375">
        <v>3292.526</v>
      </c>
      <c r="AF375" s="2">
        <f t="shared" si="33"/>
        <v>-0.0876730388925511</v>
      </c>
      <c r="AG375" s="2">
        <f t="shared" si="34"/>
        <v>-0.003691079799705</v>
      </c>
      <c r="AH375" t="s">
        <v>1870</v>
      </c>
      <c r="AI375" t="s">
        <v>41</v>
      </c>
      <c r="AJ375" t="s">
        <v>41</v>
      </c>
    </row>
    <row r="376" spans="1:36">
      <c r="A376">
        <v>118014</v>
      </c>
      <c r="B376" t="s">
        <v>1871</v>
      </c>
      <c r="C376">
        <v>688556</v>
      </c>
      <c r="D376" t="s">
        <v>1872</v>
      </c>
      <c r="E376" t="s">
        <v>1873</v>
      </c>
      <c r="F376" t="s">
        <v>41</v>
      </c>
      <c r="G376" t="s">
        <v>1794</v>
      </c>
      <c r="H376" t="s">
        <v>621</v>
      </c>
      <c r="I376" t="s">
        <v>255</v>
      </c>
      <c r="J376" t="s">
        <v>255</v>
      </c>
      <c r="K376" t="s">
        <v>1874</v>
      </c>
      <c r="L376">
        <v>13.2</v>
      </c>
      <c r="M376">
        <v>3518.417</v>
      </c>
      <c r="N376" t="s">
        <v>1804</v>
      </c>
      <c r="O376">
        <v>17.75</v>
      </c>
      <c r="P376">
        <v>3130.239</v>
      </c>
      <c r="Q376" s="1">
        <f t="shared" si="35"/>
        <v>0.34469696969697</v>
      </c>
      <c r="R376" s="1">
        <f t="shared" si="36"/>
        <v>-0.110327456921678</v>
      </c>
      <c r="S376" t="s">
        <v>1826</v>
      </c>
      <c r="T376">
        <v>23.2</v>
      </c>
      <c r="U376">
        <v>3255.551</v>
      </c>
      <c r="V376" s="1">
        <f t="shared" si="37"/>
        <v>0.307042253521127</v>
      </c>
      <c r="W376" s="1">
        <f t="shared" si="38"/>
        <v>0.0400327259356234</v>
      </c>
      <c r="X376" t="s">
        <v>1794</v>
      </c>
      <c r="Y376">
        <v>24.84</v>
      </c>
      <c r="Z376">
        <v>3278.103</v>
      </c>
      <c r="AA376" s="2">
        <f t="shared" si="39"/>
        <v>0.0706896551724138</v>
      </c>
      <c r="AB376" s="2">
        <f t="shared" si="40"/>
        <v>0.00692724518829536</v>
      </c>
      <c r="AC376" t="s">
        <v>1714</v>
      </c>
      <c r="AD376">
        <v>25.51</v>
      </c>
      <c r="AE376">
        <v>3276.888</v>
      </c>
      <c r="AF376" s="2">
        <f t="shared" si="33"/>
        <v>0.0269726247987118</v>
      </c>
      <c r="AG376" s="2">
        <f t="shared" si="34"/>
        <v>-0.000370641190957131</v>
      </c>
      <c r="AH376" t="s">
        <v>1875</v>
      </c>
      <c r="AI376" t="s">
        <v>138</v>
      </c>
      <c r="AJ376" t="s">
        <v>625</v>
      </c>
    </row>
    <row r="377" hidden="1" spans="1:36">
      <c r="A377">
        <v>113061</v>
      </c>
      <c r="B377" t="s">
        <v>1876</v>
      </c>
      <c r="C377">
        <v>601689</v>
      </c>
      <c r="D377" t="s">
        <v>1877</v>
      </c>
      <c r="E377" t="s">
        <v>148</v>
      </c>
      <c r="F377" t="s">
        <v>41</v>
      </c>
      <c r="G377" t="s">
        <v>1878</v>
      </c>
      <c r="H377" t="s">
        <v>621</v>
      </c>
      <c r="I377" t="s">
        <v>255</v>
      </c>
      <c r="J377" t="s">
        <v>255</v>
      </c>
      <c r="K377" t="s">
        <v>255</v>
      </c>
      <c r="L377" t="s">
        <v>41</v>
      </c>
      <c r="M377" t="s">
        <v>41</v>
      </c>
      <c r="N377" t="s">
        <v>255</v>
      </c>
      <c r="O377" t="s">
        <v>41</v>
      </c>
      <c r="P377" t="s">
        <v>41</v>
      </c>
      <c r="Q377" s="2"/>
      <c r="R377" s="2"/>
      <c r="S377" t="s">
        <v>255</v>
      </c>
      <c r="T377" t="s">
        <v>41</v>
      </c>
      <c r="U377" t="s">
        <v>41</v>
      </c>
      <c r="V377" s="2"/>
      <c r="W377" s="2"/>
      <c r="X377" t="s">
        <v>1878</v>
      </c>
      <c r="Y377">
        <v>52.97</v>
      </c>
      <c r="Z377">
        <v>3281.744</v>
      </c>
      <c r="AA377" s="2"/>
      <c r="AB377" s="2"/>
      <c r="AC377" t="s">
        <v>1714</v>
      </c>
      <c r="AD377">
        <v>53.81</v>
      </c>
      <c r="AE377">
        <v>3276.888</v>
      </c>
      <c r="AF377" s="2">
        <f t="shared" si="33"/>
        <v>0.0158580328487824</v>
      </c>
      <c r="AG377" s="2">
        <f t="shared" si="34"/>
        <v>-0.00147970103700966</v>
      </c>
      <c r="AH377" t="s">
        <v>1879</v>
      </c>
      <c r="AI377" t="s">
        <v>1880</v>
      </c>
      <c r="AJ377" t="s">
        <v>625</v>
      </c>
    </row>
    <row r="378" spans="1:36">
      <c r="A378">
        <v>118013</v>
      </c>
      <c r="B378" t="s">
        <v>1881</v>
      </c>
      <c r="C378">
        <v>688208</v>
      </c>
      <c r="D378" t="s">
        <v>1882</v>
      </c>
      <c r="E378" t="s">
        <v>1883</v>
      </c>
      <c r="F378" t="s">
        <v>397</v>
      </c>
      <c r="G378" t="s">
        <v>1751</v>
      </c>
      <c r="H378" t="s">
        <v>33</v>
      </c>
      <c r="I378" t="s">
        <v>255</v>
      </c>
      <c r="J378" t="s">
        <v>255</v>
      </c>
      <c r="K378" t="s">
        <v>1861</v>
      </c>
      <c r="L378">
        <v>48.39</v>
      </c>
      <c r="M378">
        <v>3576.885</v>
      </c>
      <c r="N378" t="s">
        <v>1674</v>
      </c>
      <c r="O378">
        <v>24.46</v>
      </c>
      <c r="P378">
        <v>3282.717</v>
      </c>
      <c r="Q378" s="1">
        <f t="shared" si="35"/>
        <v>-0.494523661913619</v>
      </c>
      <c r="R378" s="1">
        <f t="shared" si="36"/>
        <v>-0.0822413916019106</v>
      </c>
      <c r="S378" t="s">
        <v>1884</v>
      </c>
      <c r="T378">
        <v>18.09</v>
      </c>
      <c r="U378">
        <v>2928.512</v>
      </c>
      <c r="V378" s="1">
        <f t="shared" si="37"/>
        <v>-0.260425183973835</v>
      </c>
      <c r="W378" s="1">
        <f t="shared" si="38"/>
        <v>-0.107899949949996</v>
      </c>
      <c r="X378" t="s">
        <v>1751</v>
      </c>
      <c r="Y378">
        <v>19.73</v>
      </c>
      <c r="Z378">
        <v>3356.078</v>
      </c>
      <c r="AA378" s="2">
        <f t="shared" si="39"/>
        <v>0.0906578220011056</v>
      </c>
      <c r="AB378" s="2">
        <f t="shared" si="40"/>
        <v>0.146001109095677</v>
      </c>
      <c r="AC378" t="s">
        <v>1145</v>
      </c>
      <c r="AD378">
        <v>22.23</v>
      </c>
      <c r="AE378">
        <v>3282.576</v>
      </c>
      <c r="AF378" s="2">
        <f t="shared" si="33"/>
        <v>0.126710593005575</v>
      </c>
      <c r="AG378" s="2">
        <f t="shared" si="34"/>
        <v>-0.0219011596273984</v>
      </c>
      <c r="AH378" t="s">
        <v>1885</v>
      </c>
      <c r="AI378" t="s">
        <v>41</v>
      </c>
      <c r="AJ378" t="s">
        <v>41</v>
      </c>
    </row>
    <row r="379" hidden="1" spans="1:36">
      <c r="A379">
        <v>127066</v>
      </c>
      <c r="B379" t="s">
        <v>1886</v>
      </c>
      <c r="C379">
        <v>2850</v>
      </c>
      <c r="D379" t="s">
        <v>1887</v>
      </c>
      <c r="E379" t="s">
        <v>1888</v>
      </c>
      <c r="F379" t="s">
        <v>397</v>
      </c>
      <c r="G379" t="s">
        <v>1751</v>
      </c>
      <c r="H379" t="s">
        <v>33</v>
      </c>
      <c r="I379" t="s">
        <v>255</v>
      </c>
      <c r="J379" t="s">
        <v>255</v>
      </c>
      <c r="K379" t="s">
        <v>255</v>
      </c>
      <c r="L379" t="s">
        <v>41</v>
      </c>
      <c r="M379" t="s">
        <v>41</v>
      </c>
      <c r="N379" t="s">
        <v>255</v>
      </c>
      <c r="O379" t="s">
        <v>41</v>
      </c>
      <c r="P379" t="s">
        <v>41</v>
      </c>
      <c r="Q379" s="2"/>
      <c r="R379" s="2"/>
      <c r="S379" t="s">
        <v>255</v>
      </c>
      <c r="T379" t="s">
        <v>41</v>
      </c>
      <c r="U379" t="s">
        <v>41</v>
      </c>
      <c r="V379" s="2"/>
      <c r="W379" s="2"/>
      <c r="X379" t="s">
        <v>1751</v>
      </c>
      <c r="Y379">
        <v>166.21</v>
      </c>
      <c r="Z379">
        <v>3356.078</v>
      </c>
      <c r="AA379" s="2"/>
      <c r="AB379" s="2"/>
      <c r="AC379" t="s">
        <v>1618</v>
      </c>
      <c r="AD379">
        <v>148.48</v>
      </c>
      <c r="AE379">
        <v>3163.674</v>
      </c>
      <c r="AF379" s="2">
        <f t="shared" si="33"/>
        <v>-0.106672282052825</v>
      </c>
      <c r="AG379" s="2">
        <f t="shared" si="34"/>
        <v>-0.0573300143798803</v>
      </c>
      <c r="AH379" t="s">
        <v>1885</v>
      </c>
      <c r="AI379" t="s">
        <v>41</v>
      </c>
      <c r="AJ379" t="s">
        <v>41</v>
      </c>
    </row>
    <row r="380" spans="1:36">
      <c r="A380">
        <v>118012</v>
      </c>
      <c r="B380" t="s">
        <v>1889</v>
      </c>
      <c r="C380">
        <v>688321</v>
      </c>
      <c r="D380" t="s">
        <v>1890</v>
      </c>
      <c r="E380" t="s">
        <v>522</v>
      </c>
      <c r="F380" t="s">
        <v>31</v>
      </c>
      <c r="G380" t="s">
        <v>1713</v>
      </c>
      <c r="H380" t="s">
        <v>33</v>
      </c>
      <c r="I380" t="s">
        <v>255</v>
      </c>
      <c r="J380" t="s">
        <v>255</v>
      </c>
      <c r="K380" t="s">
        <v>1891</v>
      </c>
      <c r="L380">
        <v>36.95</v>
      </c>
      <c r="M380">
        <v>3547.336</v>
      </c>
      <c r="N380" t="s">
        <v>1892</v>
      </c>
      <c r="O380">
        <v>29.35</v>
      </c>
      <c r="P380">
        <v>3468.035</v>
      </c>
      <c r="Q380" s="1">
        <f t="shared" si="35"/>
        <v>-0.205683355886333</v>
      </c>
      <c r="R380" s="1">
        <f t="shared" si="36"/>
        <v>-0.0223550856191801</v>
      </c>
      <c r="S380" t="s">
        <v>1826</v>
      </c>
      <c r="T380">
        <v>24.37</v>
      </c>
      <c r="U380">
        <v>3255.551</v>
      </c>
      <c r="V380" s="1">
        <f t="shared" si="37"/>
        <v>-0.169676320272572</v>
      </c>
      <c r="W380" s="1">
        <f t="shared" si="38"/>
        <v>-0.0612692778475419</v>
      </c>
      <c r="X380" t="s">
        <v>1713</v>
      </c>
      <c r="Y380">
        <v>25.94</v>
      </c>
      <c r="Z380">
        <v>3404.025</v>
      </c>
      <c r="AA380" s="2">
        <f t="shared" si="39"/>
        <v>0.0644234714813295</v>
      </c>
      <c r="AB380" s="2">
        <f t="shared" si="40"/>
        <v>0.045606411940713</v>
      </c>
      <c r="AC380" t="s">
        <v>1145</v>
      </c>
      <c r="AD380">
        <v>25.27</v>
      </c>
      <c r="AE380">
        <v>3282.576</v>
      </c>
      <c r="AF380" s="2">
        <f t="shared" si="33"/>
        <v>-0.0258288357748651</v>
      </c>
      <c r="AG380" s="2">
        <f t="shared" si="34"/>
        <v>-0.0356780575935841</v>
      </c>
      <c r="AH380" t="s">
        <v>1893</v>
      </c>
      <c r="AI380" t="s">
        <v>41</v>
      </c>
      <c r="AJ380" t="s">
        <v>41</v>
      </c>
    </row>
    <row r="381" spans="1:36">
      <c r="A381">
        <v>118011</v>
      </c>
      <c r="B381" t="s">
        <v>1894</v>
      </c>
      <c r="C381">
        <v>688689</v>
      </c>
      <c r="D381" t="s">
        <v>1895</v>
      </c>
      <c r="E381" t="s">
        <v>522</v>
      </c>
      <c r="F381" t="s">
        <v>31</v>
      </c>
      <c r="G381" t="s">
        <v>1546</v>
      </c>
      <c r="H381" t="s">
        <v>33</v>
      </c>
      <c r="I381" t="s">
        <v>255</v>
      </c>
      <c r="J381" t="s">
        <v>255</v>
      </c>
      <c r="K381" t="s">
        <v>1896</v>
      </c>
      <c r="L381">
        <v>40.81</v>
      </c>
      <c r="M381">
        <v>3639.775</v>
      </c>
      <c r="N381" t="s">
        <v>1897</v>
      </c>
      <c r="O381">
        <v>25.12</v>
      </c>
      <c r="P381">
        <v>3035.844</v>
      </c>
      <c r="Q381" s="1">
        <f t="shared" si="35"/>
        <v>-0.384464592011762</v>
      </c>
      <c r="R381" s="1">
        <f t="shared" si="36"/>
        <v>-0.165925366265772</v>
      </c>
      <c r="S381" t="s">
        <v>1898</v>
      </c>
      <c r="T381">
        <v>29.94</v>
      </c>
      <c r="U381">
        <v>3241.764</v>
      </c>
      <c r="V381" s="1">
        <f t="shared" si="37"/>
        <v>0.19187898089172</v>
      </c>
      <c r="W381" s="1">
        <f t="shared" si="38"/>
        <v>0.067829572270512</v>
      </c>
      <c r="X381" t="s">
        <v>1546</v>
      </c>
      <c r="Y381">
        <v>29.02</v>
      </c>
      <c r="Z381">
        <v>3405.427</v>
      </c>
      <c r="AA381" s="2">
        <f t="shared" si="39"/>
        <v>-0.0307281229124917</v>
      </c>
      <c r="AB381" s="2">
        <f t="shared" si="40"/>
        <v>0.0504857848998261</v>
      </c>
      <c r="AC381" t="s">
        <v>1414</v>
      </c>
      <c r="AD381">
        <v>28.57</v>
      </c>
      <c r="AE381">
        <v>3186.266</v>
      </c>
      <c r="AF381" s="2">
        <f t="shared" si="33"/>
        <v>-0.0155065472088215</v>
      </c>
      <c r="AG381" s="2">
        <f t="shared" si="34"/>
        <v>-0.0643563934860445</v>
      </c>
      <c r="AH381" t="s">
        <v>1899</v>
      </c>
      <c r="AI381" t="s">
        <v>41</v>
      </c>
      <c r="AJ381" t="s">
        <v>41</v>
      </c>
    </row>
    <row r="382" spans="1:36">
      <c r="A382">
        <v>123151</v>
      </c>
      <c r="B382" t="s">
        <v>1900</v>
      </c>
      <c r="C382">
        <v>300869</v>
      </c>
      <c r="D382" t="s">
        <v>1901</v>
      </c>
      <c r="E382" t="s">
        <v>1015</v>
      </c>
      <c r="F382" t="s">
        <v>31</v>
      </c>
      <c r="G382" t="s">
        <v>1902</v>
      </c>
      <c r="H382" t="s">
        <v>33</v>
      </c>
      <c r="I382" t="s">
        <v>255</v>
      </c>
      <c r="J382" t="s">
        <v>255</v>
      </c>
      <c r="K382" t="s">
        <v>1903</v>
      </c>
      <c r="L382">
        <v>32.23</v>
      </c>
      <c r="M382">
        <v>3609.863</v>
      </c>
      <c r="N382" t="s">
        <v>1904</v>
      </c>
      <c r="O382">
        <v>34.32</v>
      </c>
      <c r="P382">
        <v>3522.568</v>
      </c>
      <c r="Q382" s="1">
        <f t="shared" si="35"/>
        <v>0.0648464163822527</v>
      </c>
      <c r="R382" s="1">
        <f t="shared" si="36"/>
        <v>-0.024182358167055</v>
      </c>
      <c r="S382" t="s">
        <v>1905</v>
      </c>
      <c r="T382">
        <v>26.01</v>
      </c>
      <c r="U382">
        <v>3096.965</v>
      </c>
      <c r="V382" s="1">
        <f t="shared" si="37"/>
        <v>-0.242132867132867</v>
      </c>
      <c r="W382" s="1">
        <f t="shared" si="38"/>
        <v>-0.12082179818814</v>
      </c>
      <c r="X382" t="s">
        <v>1902</v>
      </c>
      <c r="Y382">
        <v>26.91</v>
      </c>
      <c r="Z382">
        <v>3387.637</v>
      </c>
      <c r="AA382" s="2">
        <f t="shared" si="39"/>
        <v>0.0346020761245674</v>
      </c>
      <c r="AB382" s="2">
        <f t="shared" si="40"/>
        <v>0.0938570503702819</v>
      </c>
      <c r="AC382" t="s">
        <v>1599</v>
      </c>
      <c r="AD382">
        <v>27.34</v>
      </c>
      <c r="AE382">
        <v>3304.724</v>
      </c>
      <c r="AF382" s="2">
        <f t="shared" si="33"/>
        <v>0.0159791898922334</v>
      </c>
      <c r="AG382" s="2">
        <f t="shared" si="34"/>
        <v>-0.0244751725170082</v>
      </c>
      <c r="AH382" t="s">
        <v>1906</v>
      </c>
      <c r="AI382" t="s">
        <v>41</v>
      </c>
      <c r="AJ382" t="s">
        <v>41</v>
      </c>
    </row>
    <row r="383" hidden="1" spans="1:36">
      <c r="A383">
        <v>113650</v>
      </c>
      <c r="B383" t="s">
        <v>1907</v>
      </c>
      <c r="C383">
        <v>603916</v>
      </c>
      <c r="D383" t="s">
        <v>1908</v>
      </c>
      <c r="E383" t="s">
        <v>115</v>
      </c>
      <c r="F383" t="s">
        <v>56</v>
      </c>
      <c r="G383" t="s">
        <v>1902</v>
      </c>
      <c r="H383" t="s">
        <v>33</v>
      </c>
      <c r="I383" t="s">
        <v>255</v>
      </c>
      <c r="J383" t="s">
        <v>255</v>
      </c>
      <c r="K383" t="s">
        <v>255</v>
      </c>
      <c r="L383" t="s">
        <v>41</v>
      </c>
      <c r="M383" t="s">
        <v>41</v>
      </c>
      <c r="N383" t="s">
        <v>255</v>
      </c>
      <c r="O383" t="s">
        <v>41</v>
      </c>
      <c r="P383" t="s">
        <v>41</v>
      </c>
      <c r="Q383" s="2"/>
      <c r="R383" s="2"/>
      <c r="S383" t="s">
        <v>255</v>
      </c>
      <c r="T383" t="s">
        <v>41</v>
      </c>
      <c r="U383" t="s">
        <v>41</v>
      </c>
      <c r="V383" s="2"/>
      <c r="W383" s="2"/>
      <c r="X383" t="s">
        <v>1902</v>
      </c>
      <c r="Y383">
        <v>24.75</v>
      </c>
      <c r="Z383">
        <v>3387.637</v>
      </c>
      <c r="AA383" s="2"/>
      <c r="AB383" s="2"/>
      <c r="AC383" t="s">
        <v>1145</v>
      </c>
      <c r="AD383">
        <v>20.27</v>
      </c>
      <c r="AE383">
        <v>3282.576</v>
      </c>
      <c r="AF383" s="2">
        <f t="shared" si="33"/>
        <v>-0.181010101010101</v>
      </c>
      <c r="AG383" s="2">
        <f t="shared" si="34"/>
        <v>-0.0310130630879283</v>
      </c>
      <c r="AH383" t="s">
        <v>1906</v>
      </c>
      <c r="AI383" t="s">
        <v>41</v>
      </c>
      <c r="AJ383" t="s">
        <v>41</v>
      </c>
    </row>
    <row r="384" spans="1:36">
      <c r="A384">
        <v>123150</v>
      </c>
      <c r="B384" t="s">
        <v>1909</v>
      </c>
      <c r="C384">
        <v>300406</v>
      </c>
      <c r="D384" t="s">
        <v>1910</v>
      </c>
      <c r="E384" t="s">
        <v>1911</v>
      </c>
      <c r="F384" t="s">
        <v>56</v>
      </c>
      <c r="G384" t="s">
        <v>245</v>
      </c>
      <c r="H384" t="s">
        <v>33</v>
      </c>
      <c r="I384" t="s">
        <v>255</v>
      </c>
      <c r="J384" t="s">
        <v>255</v>
      </c>
      <c r="K384" t="s">
        <v>1912</v>
      </c>
      <c r="L384">
        <v>15.36</v>
      </c>
      <c r="M384">
        <v>3673.041</v>
      </c>
      <c r="N384" t="s">
        <v>1659</v>
      </c>
      <c r="O384">
        <v>17.58</v>
      </c>
      <c r="P384">
        <v>3251.072</v>
      </c>
      <c r="Q384" s="1">
        <f t="shared" si="35"/>
        <v>0.14453125</v>
      </c>
      <c r="R384" s="1">
        <f t="shared" si="36"/>
        <v>-0.114882736130634</v>
      </c>
      <c r="S384" t="s">
        <v>1913</v>
      </c>
      <c r="T384">
        <v>15.67</v>
      </c>
      <c r="U384">
        <v>3236.372</v>
      </c>
      <c r="V384" s="1">
        <f t="shared" si="37"/>
        <v>-0.108646188850967</v>
      </c>
      <c r="W384" s="1">
        <f t="shared" si="38"/>
        <v>-0.00452158549549203</v>
      </c>
      <c r="X384" t="s">
        <v>245</v>
      </c>
      <c r="Y384">
        <v>16.1</v>
      </c>
      <c r="Z384">
        <v>3398.616</v>
      </c>
      <c r="AA384" s="2">
        <f t="shared" si="39"/>
        <v>0.0274409700063817</v>
      </c>
      <c r="AB384" s="2">
        <f t="shared" si="40"/>
        <v>0.0501314434805394</v>
      </c>
      <c r="AC384" t="s">
        <v>1599</v>
      </c>
      <c r="AD384">
        <v>17.32</v>
      </c>
      <c r="AE384">
        <v>3304.724</v>
      </c>
      <c r="AF384" s="2">
        <f t="shared" si="33"/>
        <v>0.0757763975155279</v>
      </c>
      <c r="AG384" s="2">
        <f t="shared" si="34"/>
        <v>-0.0276265397444136</v>
      </c>
      <c r="AH384" t="s">
        <v>1914</v>
      </c>
      <c r="AI384" t="s">
        <v>41</v>
      </c>
      <c r="AJ384" t="s">
        <v>41</v>
      </c>
    </row>
    <row r="385" spans="1:36">
      <c r="A385">
        <v>118010</v>
      </c>
      <c r="B385" t="s">
        <v>1915</v>
      </c>
      <c r="C385">
        <v>688026</v>
      </c>
      <c r="D385" t="s">
        <v>1916</v>
      </c>
      <c r="E385" t="s">
        <v>161</v>
      </c>
      <c r="F385" t="s">
        <v>31</v>
      </c>
      <c r="G385" t="s">
        <v>1917</v>
      </c>
      <c r="H385" t="s">
        <v>33</v>
      </c>
      <c r="I385" t="s">
        <v>255</v>
      </c>
      <c r="J385" t="s">
        <v>255</v>
      </c>
      <c r="K385" t="s">
        <v>1918</v>
      </c>
      <c r="L385">
        <v>50.66</v>
      </c>
      <c r="M385">
        <v>3597.638</v>
      </c>
      <c r="N385" t="s">
        <v>1831</v>
      </c>
      <c r="O385">
        <v>49.21</v>
      </c>
      <c r="P385">
        <v>3455.668</v>
      </c>
      <c r="Q385" s="1">
        <f t="shared" si="35"/>
        <v>-0.0286221871298854</v>
      </c>
      <c r="R385" s="1">
        <f t="shared" si="36"/>
        <v>-0.0394620025694636</v>
      </c>
      <c r="S385" t="s">
        <v>1919</v>
      </c>
      <c r="T385">
        <v>49.66</v>
      </c>
      <c r="U385">
        <v>3484.192</v>
      </c>
      <c r="V385" s="1">
        <f t="shared" si="37"/>
        <v>0.00914448282869327</v>
      </c>
      <c r="W385" s="1">
        <f t="shared" si="38"/>
        <v>0.00825426516667686</v>
      </c>
      <c r="X385" t="s">
        <v>1917</v>
      </c>
      <c r="Y385">
        <v>48.65</v>
      </c>
      <c r="Z385">
        <v>3409.21</v>
      </c>
      <c r="AA385" s="2">
        <f t="shared" si="39"/>
        <v>-0.0203383004430124</v>
      </c>
      <c r="AB385" s="2">
        <f t="shared" si="40"/>
        <v>-0.0215206280250916</v>
      </c>
      <c r="AC385" t="s">
        <v>1414</v>
      </c>
      <c r="AD385">
        <v>40.37</v>
      </c>
      <c r="AE385">
        <v>3186.266</v>
      </c>
      <c r="AF385" s="2">
        <f t="shared" si="33"/>
        <v>-0.170195272353546</v>
      </c>
      <c r="AG385" s="2">
        <f t="shared" si="34"/>
        <v>-0.0653946222145306</v>
      </c>
      <c r="AH385" t="s">
        <v>1920</v>
      </c>
      <c r="AI385" t="s">
        <v>41</v>
      </c>
      <c r="AJ385" t="s">
        <v>41</v>
      </c>
    </row>
    <row r="386" hidden="1" spans="1:36">
      <c r="A386">
        <v>113649</v>
      </c>
      <c r="B386" t="s">
        <v>1921</v>
      </c>
      <c r="C386">
        <v>603810</v>
      </c>
      <c r="D386" t="s">
        <v>1922</v>
      </c>
      <c r="E386" t="s">
        <v>522</v>
      </c>
      <c r="F386" t="s">
        <v>56</v>
      </c>
      <c r="G386" t="s">
        <v>1073</v>
      </c>
      <c r="H386" t="s">
        <v>33</v>
      </c>
      <c r="I386" t="s">
        <v>255</v>
      </c>
      <c r="J386" t="s">
        <v>255</v>
      </c>
      <c r="K386" t="s">
        <v>255</v>
      </c>
      <c r="L386" t="s">
        <v>41</v>
      </c>
      <c r="M386" t="s">
        <v>41</v>
      </c>
      <c r="N386" t="s">
        <v>255</v>
      </c>
      <c r="O386" t="s">
        <v>41</v>
      </c>
      <c r="P386" t="s">
        <v>41</v>
      </c>
      <c r="Q386" s="2"/>
      <c r="R386" s="2"/>
      <c r="S386" t="s">
        <v>255</v>
      </c>
      <c r="T386" t="s">
        <v>41</v>
      </c>
      <c r="U386" t="s">
        <v>41</v>
      </c>
      <c r="V386" s="2"/>
      <c r="W386" s="2"/>
      <c r="X386" t="s">
        <v>1073</v>
      </c>
      <c r="Y386">
        <v>13.08</v>
      </c>
      <c r="Z386">
        <v>3379.185</v>
      </c>
      <c r="AA386" s="2"/>
      <c r="AB386" s="2"/>
      <c r="AC386" t="s">
        <v>1609</v>
      </c>
      <c r="AD386">
        <v>12.69</v>
      </c>
      <c r="AE386">
        <v>3272.001</v>
      </c>
      <c r="AF386" s="2">
        <f t="shared" si="33"/>
        <v>-0.0298165137614679</v>
      </c>
      <c r="AG386" s="2">
        <f t="shared" si="34"/>
        <v>-0.0317188907976331</v>
      </c>
      <c r="AH386" t="s">
        <v>1923</v>
      </c>
      <c r="AI386" t="s">
        <v>41</v>
      </c>
      <c r="AJ386" t="s">
        <v>41</v>
      </c>
    </row>
    <row r="387" spans="1:36">
      <c r="A387">
        <v>118009</v>
      </c>
      <c r="B387" t="s">
        <v>1924</v>
      </c>
      <c r="C387">
        <v>688059</v>
      </c>
      <c r="D387" t="s">
        <v>1925</v>
      </c>
      <c r="E387" t="s">
        <v>140</v>
      </c>
      <c r="F387" t="s">
        <v>31</v>
      </c>
      <c r="G387" t="s">
        <v>1586</v>
      </c>
      <c r="H387" t="s">
        <v>33</v>
      </c>
      <c r="I387" t="s">
        <v>255</v>
      </c>
      <c r="J387" t="s">
        <v>255</v>
      </c>
      <c r="K387" t="s">
        <v>1926</v>
      </c>
      <c r="L387">
        <v>75.39</v>
      </c>
      <c r="M387">
        <v>3568.138</v>
      </c>
      <c r="N387" t="s">
        <v>1927</v>
      </c>
      <c r="O387">
        <v>65.58</v>
      </c>
      <c r="P387">
        <v>3457.146</v>
      </c>
      <c r="Q387" s="1">
        <f>(O387-L387)/L387</f>
        <v>-0.130123358535615</v>
      </c>
      <c r="R387" s="1">
        <f>(P387-M387)/M387</f>
        <v>-0.0311064202113258</v>
      </c>
      <c r="S387" t="s">
        <v>1928</v>
      </c>
      <c r="T387">
        <v>53.97</v>
      </c>
      <c r="U387">
        <v>3151.05</v>
      </c>
      <c r="V387" s="1">
        <f>(T387-O387)/O387</f>
        <v>-0.177035681610247</v>
      </c>
      <c r="W387" s="1">
        <f>(U387-P387)/P387</f>
        <v>-0.08854008479827</v>
      </c>
      <c r="X387" t="s">
        <v>1586</v>
      </c>
      <c r="Y387">
        <v>69.18</v>
      </c>
      <c r="Z387">
        <v>3349.747</v>
      </c>
      <c r="AA387" s="2">
        <f>(Y387-T387)/T387</f>
        <v>0.281823235130628</v>
      </c>
      <c r="AB387" s="2">
        <f>(Z387-U387)/U387</f>
        <v>0.0630573935672235</v>
      </c>
      <c r="AC387" t="s">
        <v>1609</v>
      </c>
      <c r="AD387">
        <v>67.82</v>
      </c>
      <c r="AE387">
        <v>3272.001</v>
      </c>
      <c r="AF387" s="2">
        <f t="shared" ref="AF387:AF450" si="41">(AD387-Y387)/Y387</f>
        <v>-0.0196588609424691</v>
      </c>
      <c r="AG387" s="2">
        <f t="shared" ref="AG387:AG450" si="42">(AE387-Z387)/Z387</f>
        <v>-0.0232095140319551</v>
      </c>
      <c r="AH387" t="s">
        <v>1929</v>
      </c>
      <c r="AI387" t="s">
        <v>41</v>
      </c>
      <c r="AJ387" t="s">
        <v>41</v>
      </c>
    </row>
    <row r="388" spans="1:36">
      <c r="A388">
        <v>118008</v>
      </c>
      <c r="B388" t="s">
        <v>1930</v>
      </c>
      <c r="C388">
        <v>688680</v>
      </c>
      <c r="D388" t="s">
        <v>1931</v>
      </c>
      <c r="E388" t="s">
        <v>1932</v>
      </c>
      <c r="F388" t="s">
        <v>708</v>
      </c>
      <c r="G388" t="s">
        <v>1933</v>
      </c>
      <c r="H388" t="s">
        <v>33</v>
      </c>
      <c r="I388" t="s">
        <v>255</v>
      </c>
      <c r="J388" t="s">
        <v>255</v>
      </c>
      <c r="K388" t="s">
        <v>1912</v>
      </c>
      <c r="L388">
        <v>267.15</v>
      </c>
      <c r="M388">
        <v>3673.041</v>
      </c>
      <c r="N388" t="s">
        <v>1934</v>
      </c>
      <c r="O388">
        <v>211.15</v>
      </c>
      <c r="P388">
        <v>3271.033</v>
      </c>
      <c r="Q388" s="1">
        <f>(O388-L388)/L388</f>
        <v>-0.209620063634662</v>
      </c>
      <c r="R388" s="1">
        <f>(P388-M388)/M388</f>
        <v>-0.109448274604068</v>
      </c>
      <c r="S388" t="s">
        <v>1665</v>
      </c>
      <c r="T388">
        <v>201.37</v>
      </c>
      <c r="U388">
        <v>3093.697</v>
      </c>
      <c r="V388" s="1">
        <f>(T388-O388)/O388</f>
        <v>-0.0463177835661852</v>
      </c>
      <c r="W388" s="1">
        <f>(U388-P388)/P388</f>
        <v>-0.054214066320945</v>
      </c>
      <c r="X388" t="s">
        <v>1933</v>
      </c>
      <c r="Y388">
        <v>208.86</v>
      </c>
      <c r="Z388">
        <v>3320.149</v>
      </c>
      <c r="AA388" s="2">
        <f>(Y388-T388)/T388</f>
        <v>0.0371952127923723</v>
      </c>
      <c r="AB388" s="2">
        <f>(Z388-U388)/U388</f>
        <v>0.0731978600360668</v>
      </c>
      <c r="AC388" t="s">
        <v>1609</v>
      </c>
      <c r="AD388">
        <v>213.93</v>
      </c>
      <c r="AE388">
        <v>3272.001</v>
      </c>
      <c r="AF388" s="2">
        <f t="shared" si="41"/>
        <v>0.0242746337259408</v>
      </c>
      <c r="AG388" s="2">
        <f t="shared" si="42"/>
        <v>-0.0145017588066077</v>
      </c>
      <c r="AH388" t="s">
        <v>1935</v>
      </c>
      <c r="AI388" t="s">
        <v>41</v>
      </c>
      <c r="AJ388" t="s">
        <v>41</v>
      </c>
    </row>
    <row r="389" hidden="1" spans="1:36">
      <c r="A389">
        <v>111005</v>
      </c>
      <c r="B389" t="s">
        <v>1936</v>
      </c>
      <c r="C389">
        <v>605189</v>
      </c>
      <c r="D389" t="s">
        <v>1937</v>
      </c>
      <c r="E389" t="s">
        <v>1135</v>
      </c>
      <c r="F389" t="s">
        <v>56</v>
      </c>
      <c r="G389" t="s">
        <v>1933</v>
      </c>
      <c r="H389" t="s">
        <v>33</v>
      </c>
      <c r="I389" t="s">
        <v>255</v>
      </c>
      <c r="J389" t="s">
        <v>255</v>
      </c>
      <c r="K389" t="s">
        <v>255</v>
      </c>
      <c r="L389" t="s">
        <v>41</v>
      </c>
      <c r="M389" t="s">
        <v>41</v>
      </c>
      <c r="N389" t="s">
        <v>255</v>
      </c>
      <c r="O389" t="s">
        <v>41</v>
      </c>
      <c r="P389" t="s">
        <v>41</v>
      </c>
      <c r="Q389" s="2"/>
      <c r="R389" s="2"/>
      <c r="S389" t="s">
        <v>255</v>
      </c>
      <c r="T389" t="s">
        <v>41</v>
      </c>
      <c r="U389" t="s">
        <v>41</v>
      </c>
      <c r="V389" s="2"/>
      <c r="W389" s="2"/>
      <c r="X389" t="s">
        <v>1933</v>
      </c>
      <c r="Y389">
        <v>12.69</v>
      </c>
      <c r="Z389">
        <v>3320.149</v>
      </c>
      <c r="AA389" s="2"/>
      <c r="AB389" s="2"/>
      <c r="AC389" t="s">
        <v>1938</v>
      </c>
      <c r="AD389">
        <v>12.25</v>
      </c>
      <c r="AE389">
        <v>3250.388</v>
      </c>
      <c r="AF389" s="2">
        <f t="shared" si="41"/>
        <v>-0.0346729708431836</v>
      </c>
      <c r="AG389" s="2">
        <f t="shared" si="42"/>
        <v>-0.0210114064157964</v>
      </c>
      <c r="AH389" t="s">
        <v>1935</v>
      </c>
      <c r="AI389" t="s">
        <v>41</v>
      </c>
      <c r="AJ389" t="s">
        <v>41</v>
      </c>
    </row>
    <row r="390" hidden="1" spans="1:36">
      <c r="A390">
        <v>110087</v>
      </c>
      <c r="B390" t="s">
        <v>1939</v>
      </c>
      <c r="C390">
        <v>600075</v>
      </c>
      <c r="D390" t="s">
        <v>1940</v>
      </c>
      <c r="E390" t="s">
        <v>325</v>
      </c>
      <c r="F390" t="s">
        <v>98</v>
      </c>
      <c r="G390" t="s">
        <v>1933</v>
      </c>
      <c r="H390" t="s">
        <v>33</v>
      </c>
      <c r="I390" t="s">
        <v>255</v>
      </c>
      <c r="J390" t="s">
        <v>255</v>
      </c>
      <c r="K390" t="s">
        <v>255</v>
      </c>
      <c r="L390" t="s">
        <v>41</v>
      </c>
      <c r="M390" t="s">
        <v>41</v>
      </c>
      <c r="N390" t="s">
        <v>255</v>
      </c>
      <c r="O390" t="s">
        <v>41</v>
      </c>
      <c r="P390" t="s">
        <v>41</v>
      </c>
      <c r="Q390" s="2"/>
      <c r="R390" s="2"/>
      <c r="S390" t="s">
        <v>255</v>
      </c>
      <c r="T390" t="s">
        <v>41</v>
      </c>
      <c r="U390" t="s">
        <v>41</v>
      </c>
      <c r="V390" s="2"/>
      <c r="W390" s="2"/>
      <c r="X390" t="s">
        <v>1933</v>
      </c>
      <c r="Y390">
        <v>6.22</v>
      </c>
      <c r="Z390">
        <v>3320.149</v>
      </c>
      <c r="AA390" s="2"/>
      <c r="AB390" s="2"/>
      <c r="AC390" t="s">
        <v>1941</v>
      </c>
      <c r="AD390">
        <v>6.18</v>
      </c>
      <c r="AE390">
        <v>3279.431</v>
      </c>
      <c r="AF390" s="2">
        <f t="shared" si="41"/>
        <v>-0.00643086816720258</v>
      </c>
      <c r="AG390" s="2">
        <f t="shared" si="42"/>
        <v>-0.01226390743307</v>
      </c>
      <c r="AH390" t="s">
        <v>1935</v>
      </c>
      <c r="AI390" t="s">
        <v>41</v>
      </c>
      <c r="AJ390" t="s">
        <v>41</v>
      </c>
    </row>
    <row r="391" hidden="1" spans="1:36">
      <c r="A391">
        <v>127065</v>
      </c>
      <c r="B391" t="s">
        <v>1942</v>
      </c>
      <c r="C391">
        <v>2997</v>
      </c>
      <c r="D391" t="s">
        <v>330</v>
      </c>
      <c r="E391" t="s">
        <v>161</v>
      </c>
      <c r="F391" t="s">
        <v>41</v>
      </c>
      <c r="G391" t="s">
        <v>1867</v>
      </c>
      <c r="H391" t="s">
        <v>621</v>
      </c>
      <c r="I391" t="s">
        <v>255</v>
      </c>
      <c r="J391" t="s">
        <v>255</v>
      </c>
      <c r="K391" t="s">
        <v>255</v>
      </c>
      <c r="L391" t="s">
        <v>41</v>
      </c>
      <c r="M391" t="s">
        <v>41</v>
      </c>
      <c r="N391" t="s">
        <v>255</v>
      </c>
      <c r="O391" t="s">
        <v>41</v>
      </c>
      <c r="P391" t="s">
        <v>41</v>
      </c>
      <c r="Q391" s="2"/>
      <c r="R391" s="2"/>
      <c r="S391" t="s">
        <v>255</v>
      </c>
      <c r="T391" t="s">
        <v>41</v>
      </c>
      <c r="U391" t="s">
        <v>41</v>
      </c>
      <c r="V391" s="2"/>
      <c r="W391" s="2"/>
      <c r="X391" t="s">
        <v>1867</v>
      </c>
      <c r="Y391">
        <v>15.99</v>
      </c>
      <c r="Z391">
        <v>3267.202</v>
      </c>
      <c r="AA391" s="2"/>
      <c r="AB391" s="2"/>
      <c r="AC391" t="s">
        <v>1432</v>
      </c>
      <c r="AD391">
        <v>29.95</v>
      </c>
      <c r="AE391">
        <v>3275.755</v>
      </c>
      <c r="AF391" s="2">
        <f t="shared" si="41"/>
        <v>0.873045653533458</v>
      </c>
      <c r="AG391" s="2">
        <f t="shared" si="42"/>
        <v>0.00261783630152035</v>
      </c>
      <c r="AH391" t="s">
        <v>1943</v>
      </c>
      <c r="AI391" t="s">
        <v>1944</v>
      </c>
      <c r="AJ391" t="s">
        <v>625</v>
      </c>
    </row>
    <row r="392" spans="1:36">
      <c r="A392">
        <v>123149</v>
      </c>
      <c r="B392" t="s">
        <v>1945</v>
      </c>
      <c r="C392">
        <v>300185</v>
      </c>
      <c r="D392" t="s">
        <v>1946</v>
      </c>
      <c r="E392" t="s">
        <v>1947</v>
      </c>
      <c r="F392" t="s">
        <v>397</v>
      </c>
      <c r="G392" t="s">
        <v>1948</v>
      </c>
      <c r="H392" t="s">
        <v>33</v>
      </c>
      <c r="I392" t="s">
        <v>255</v>
      </c>
      <c r="J392" t="s">
        <v>255</v>
      </c>
      <c r="K392" t="s">
        <v>1918</v>
      </c>
      <c r="L392">
        <v>3.1</v>
      </c>
      <c r="M392">
        <v>3597.638</v>
      </c>
      <c r="N392" t="s">
        <v>1949</v>
      </c>
      <c r="O392">
        <v>2.98</v>
      </c>
      <c r="P392">
        <v>3296.092</v>
      </c>
      <c r="Q392" s="1">
        <f>(O392-L392)/L392</f>
        <v>-0.0387096774193549</v>
      </c>
      <c r="R392" s="1">
        <f>(P392-M392)/M392</f>
        <v>-0.0838177715489996</v>
      </c>
      <c r="S392" t="s">
        <v>1905</v>
      </c>
      <c r="T392">
        <v>2.55</v>
      </c>
      <c r="U392">
        <v>3096.965</v>
      </c>
      <c r="V392" s="1">
        <f>(T392-O392)/O392</f>
        <v>-0.144295302013423</v>
      </c>
      <c r="W392" s="1">
        <f>(U392-P392)/P392</f>
        <v>-0.060413058858794</v>
      </c>
      <c r="X392" t="s">
        <v>1948</v>
      </c>
      <c r="Y392">
        <v>2.88</v>
      </c>
      <c r="Z392">
        <v>3315.43</v>
      </c>
      <c r="AA392" s="2">
        <f>(Y392-T392)/T392</f>
        <v>0.129411764705882</v>
      </c>
      <c r="AB392" s="2">
        <f>(Z392-U392)/U392</f>
        <v>0.0705416431893805</v>
      </c>
      <c r="AC392" t="s">
        <v>1492</v>
      </c>
      <c r="AD392">
        <v>3.05</v>
      </c>
      <c r="AE392">
        <v>3228.061</v>
      </c>
      <c r="AF392" s="2">
        <f t="shared" si="41"/>
        <v>0.0590277777777778</v>
      </c>
      <c r="AG392" s="2">
        <f t="shared" si="42"/>
        <v>-0.0263522378695975</v>
      </c>
      <c r="AH392" t="s">
        <v>1950</v>
      </c>
      <c r="AI392" t="s">
        <v>41</v>
      </c>
      <c r="AJ392" t="s">
        <v>41</v>
      </c>
    </row>
    <row r="393" hidden="1" spans="1:36">
      <c r="A393">
        <v>113060</v>
      </c>
      <c r="B393" t="s">
        <v>1951</v>
      </c>
      <c r="C393">
        <v>601878</v>
      </c>
      <c r="D393" t="s">
        <v>1952</v>
      </c>
      <c r="E393" t="s">
        <v>1953</v>
      </c>
      <c r="F393" t="s">
        <v>41</v>
      </c>
      <c r="G393" t="s">
        <v>1954</v>
      </c>
      <c r="H393" t="s">
        <v>621</v>
      </c>
      <c r="I393" t="s">
        <v>255</v>
      </c>
      <c r="J393" t="s">
        <v>255</v>
      </c>
      <c r="K393" t="s">
        <v>255</v>
      </c>
      <c r="L393" t="s">
        <v>41</v>
      </c>
      <c r="M393" t="s">
        <v>41</v>
      </c>
      <c r="N393" t="s">
        <v>255</v>
      </c>
      <c r="O393" t="s">
        <v>41</v>
      </c>
      <c r="P393" t="s">
        <v>41</v>
      </c>
      <c r="Q393" s="2"/>
      <c r="R393" s="2"/>
      <c r="S393" t="s">
        <v>255</v>
      </c>
      <c r="T393" t="s">
        <v>41</v>
      </c>
      <c r="U393" t="s">
        <v>41</v>
      </c>
      <c r="V393" s="2"/>
      <c r="W393" s="2"/>
      <c r="X393" t="s">
        <v>1954</v>
      </c>
      <c r="Y393">
        <v>11.65</v>
      </c>
      <c r="Z393">
        <v>3288.907</v>
      </c>
      <c r="AA393" s="2"/>
      <c r="AB393" s="2"/>
      <c r="AC393" t="s">
        <v>1751</v>
      </c>
      <c r="AD393">
        <v>10.24</v>
      </c>
      <c r="AE393">
        <v>3356.078</v>
      </c>
      <c r="AF393" s="2">
        <f t="shared" si="41"/>
        <v>-0.121030042918455</v>
      </c>
      <c r="AG393" s="2">
        <f t="shared" si="42"/>
        <v>0.020423502397605</v>
      </c>
      <c r="AH393" t="s">
        <v>1955</v>
      </c>
      <c r="AI393" t="s">
        <v>334</v>
      </c>
      <c r="AJ393" t="s">
        <v>625</v>
      </c>
    </row>
    <row r="394" spans="1:36">
      <c r="A394">
        <v>123148</v>
      </c>
      <c r="B394" t="s">
        <v>1956</v>
      </c>
      <c r="C394">
        <v>300827</v>
      </c>
      <c r="D394" t="s">
        <v>1957</v>
      </c>
      <c r="E394" t="s">
        <v>1485</v>
      </c>
      <c r="F394" t="s">
        <v>41</v>
      </c>
      <c r="G394" t="s">
        <v>1954</v>
      </c>
      <c r="H394" t="s">
        <v>621</v>
      </c>
      <c r="I394" t="s">
        <v>255</v>
      </c>
      <c r="J394" t="s">
        <v>255</v>
      </c>
      <c r="K394" t="s">
        <v>1958</v>
      </c>
      <c r="L394">
        <v>24.45</v>
      </c>
      <c r="M394">
        <v>3630.112</v>
      </c>
      <c r="N394" t="s">
        <v>1750</v>
      </c>
      <c r="O394">
        <v>18.58</v>
      </c>
      <c r="P394">
        <v>3212.24</v>
      </c>
      <c r="Q394" s="1">
        <f>(O394-L394)/L394</f>
        <v>-0.240081799591002</v>
      </c>
      <c r="R394" s="1">
        <f>(P394-M394)/M394</f>
        <v>-0.11511270175686</v>
      </c>
      <c r="S394" t="s">
        <v>1825</v>
      </c>
      <c r="T394">
        <v>15.76</v>
      </c>
      <c r="U394">
        <v>3054.994</v>
      </c>
      <c r="V394" s="1">
        <f>(T394-O394)/O394</f>
        <v>-0.151776103336921</v>
      </c>
      <c r="W394" s="1">
        <f>(U394-P394)/P394</f>
        <v>-0.0489521330909271</v>
      </c>
      <c r="X394" t="s">
        <v>1954</v>
      </c>
      <c r="Y394">
        <v>23.33</v>
      </c>
      <c r="Z394">
        <v>3288.907</v>
      </c>
      <c r="AA394" s="2">
        <f>(Y394-T394)/T394</f>
        <v>0.480329949238579</v>
      </c>
      <c r="AB394" s="2">
        <f>(Z394-U394)/U394</f>
        <v>0.0765674171536834</v>
      </c>
      <c r="AC394" t="s">
        <v>1902</v>
      </c>
      <c r="AD394">
        <v>24.79</v>
      </c>
      <c r="AE394">
        <v>3387.637</v>
      </c>
      <c r="AF394" s="2">
        <f t="shared" si="41"/>
        <v>0.0625803686240892</v>
      </c>
      <c r="AG394" s="2">
        <f t="shared" si="42"/>
        <v>0.0300190914489221</v>
      </c>
      <c r="AH394" t="s">
        <v>1955</v>
      </c>
      <c r="AI394" t="s">
        <v>854</v>
      </c>
      <c r="AJ394" t="s">
        <v>625</v>
      </c>
    </row>
    <row r="395" spans="1:36">
      <c r="A395">
        <v>123147</v>
      </c>
      <c r="B395" t="s">
        <v>1959</v>
      </c>
      <c r="C395">
        <v>300933</v>
      </c>
      <c r="D395" t="s">
        <v>1960</v>
      </c>
      <c r="E395" t="s">
        <v>1961</v>
      </c>
      <c r="F395" t="s">
        <v>41</v>
      </c>
      <c r="G395" t="s">
        <v>1962</v>
      </c>
      <c r="H395" t="s">
        <v>621</v>
      </c>
      <c r="I395" t="s">
        <v>255</v>
      </c>
      <c r="J395" t="s">
        <v>255</v>
      </c>
      <c r="K395" t="s">
        <v>1963</v>
      </c>
      <c r="L395">
        <v>12.77</v>
      </c>
      <c r="M395">
        <v>3656.223</v>
      </c>
      <c r="N395" t="s">
        <v>1858</v>
      </c>
      <c r="O395">
        <v>12.15</v>
      </c>
      <c r="P395">
        <v>3618.054</v>
      </c>
      <c r="Q395" s="1">
        <f>(O395-L395)/L395</f>
        <v>-0.0485512920908378</v>
      </c>
      <c r="R395" s="1">
        <f>(P395-M395)/M395</f>
        <v>-0.0104394617067941</v>
      </c>
      <c r="S395" t="s">
        <v>1964</v>
      </c>
      <c r="T395">
        <v>7.82</v>
      </c>
      <c r="U395">
        <v>3195.524</v>
      </c>
      <c r="V395" s="1">
        <f>(T395-O395)/O395</f>
        <v>-0.356378600823045</v>
      </c>
      <c r="W395" s="1">
        <f>(U395-P395)/P395</f>
        <v>-0.116783773818743</v>
      </c>
      <c r="X395" t="s">
        <v>1962</v>
      </c>
      <c r="Y395">
        <v>7.92</v>
      </c>
      <c r="Z395">
        <v>3186.427</v>
      </c>
      <c r="AA395" s="2">
        <f>(Y395-T395)/T395</f>
        <v>0.0127877237851662</v>
      </c>
      <c r="AB395" s="2">
        <f>(Z395-U395)/U395</f>
        <v>-0.00284679445374209</v>
      </c>
      <c r="AC395" t="s">
        <v>1965</v>
      </c>
      <c r="AD395">
        <v>7.99</v>
      </c>
      <c r="AE395">
        <v>3306.719</v>
      </c>
      <c r="AF395" s="2">
        <f t="shared" si="41"/>
        <v>0.00883838383838387</v>
      </c>
      <c r="AG395" s="2">
        <f t="shared" si="42"/>
        <v>0.0377513748157419</v>
      </c>
      <c r="AH395" t="s">
        <v>1966</v>
      </c>
      <c r="AI395" t="s">
        <v>284</v>
      </c>
      <c r="AJ395" t="s">
        <v>625</v>
      </c>
    </row>
    <row r="396" hidden="1" spans="1:36">
      <c r="A396">
        <v>113059</v>
      </c>
      <c r="B396" t="s">
        <v>1967</v>
      </c>
      <c r="C396">
        <v>601865</v>
      </c>
      <c r="D396" t="s">
        <v>1968</v>
      </c>
      <c r="E396" t="s">
        <v>379</v>
      </c>
      <c r="F396" t="s">
        <v>397</v>
      </c>
      <c r="G396" t="s">
        <v>1969</v>
      </c>
      <c r="H396" t="s">
        <v>33</v>
      </c>
      <c r="I396" t="s">
        <v>255</v>
      </c>
      <c r="J396" t="s">
        <v>255</v>
      </c>
      <c r="K396" t="s">
        <v>255</v>
      </c>
      <c r="L396" t="s">
        <v>41</v>
      </c>
      <c r="M396" t="s">
        <v>41</v>
      </c>
      <c r="N396" t="s">
        <v>255</v>
      </c>
      <c r="O396" t="s">
        <v>41</v>
      </c>
      <c r="P396" t="s">
        <v>41</v>
      </c>
      <c r="Q396" s="2"/>
      <c r="R396" s="2"/>
      <c r="S396" t="s">
        <v>255</v>
      </c>
      <c r="T396" t="s">
        <v>41</v>
      </c>
      <c r="U396" t="s">
        <v>41</v>
      </c>
      <c r="V396" s="2"/>
      <c r="W396" s="2"/>
      <c r="X396" t="s">
        <v>1969</v>
      </c>
      <c r="Y396">
        <v>44.62</v>
      </c>
      <c r="Z396">
        <v>3146.567</v>
      </c>
      <c r="AA396" s="2"/>
      <c r="AB396" s="2"/>
      <c r="AC396" t="s">
        <v>1826</v>
      </c>
      <c r="AD396">
        <v>42.02</v>
      </c>
      <c r="AE396">
        <v>3255.551</v>
      </c>
      <c r="AF396" s="2">
        <f t="shared" si="41"/>
        <v>-0.0582698341550873</v>
      </c>
      <c r="AG396" s="2">
        <f t="shared" si="42"/>
        <v>0.0346358428090042</v>
      </c>
      <c r="AH396" t="s">
        <v>1970</v>
      </c>
      <c r="AI396" t="s">
        <v>41</v>
      </c>
      <c r="AJ396" t="s">
        <v>41</v>
      </c>
    </row>
    <row r="397" hidden="1" spans="1:36">
      <c r="A397">
        <v>127064</v>
      </c>
      <c r="B397" t="s">
        <v>1971</v>
      </c>
      <c r="C397">
        <v>2430</v>
      </c>
      <c r="D397" t="s">
        <v>373</v>
      </c>
      <c r="E397" t="s">
        <v>1972</v>
      </c>
      <c r="F397" t="s">
        <v>98</v>
      </c>
      <c r="G397" t="s">
        <v>1905</v>
      </c>
      <c r="H397" t="s">
        <v>33</v>
      </c>
      <c r="I397" t="s">
        <v>255</v>
      </c>
      <c r="J397" t="s">
        <v>255</v>
      </c>
      <c r="K397" t="s">
        <v>255</v>
      </c>
      <c r="L397" t="s">
        <v>41</v>
      </c>
      <c r="M397" t="s">
        <v>41</v>
      </c>
      <c r="N397" t="s">
        <v>255</v>
      </c>
      <c r="O397" t="s">
        <v>41</v>
      </c>
      <c r="P397" t="s">
        <v>41</v>
      </c>
      <c r="Q397" s="2"/>
      <c r="R397" s="2"/>
      <c r="S397" t="s">
        <v>255</v>
      </c>
      <c r="T397" t="s">
        <v>41</v>
      </c>
      <c r="U397" t="s">
        <v>41</v>
      </c>
      <c r="V397" s="2"/>
      <c r="W397" s="2"/>
      <c r="X397" t="s">
        <v>1905</v>
      </c>
      <c r="Y397">
        <v>26.01</v>
      </c>
      <c r="Z397">
        <v>3096.965</v>
      </c>
      <c r="AA397" s="2"/>
      <c r="AB397" s="2"/>
      <c r="AC397" t="s">
        <v>1713</v>
      </c>
      <c r="AD397">
        <v>28.86</v>
      </c>
      <c r="AE397">
        <v>3404.025</v>
      </c>
      <c r="AF397" s="2">
        <f t="shared" si="41"/>
        <v>0.10957324106113</v>
      </c>
      <c r="AG397" s="2">
        <f t="shared" si="42"/>
        <v>0.0991486826618964</v>
      </c>
      <c r="AH397" t="s">
        <v>1973</v>
      </c>
      <c r="AI397" t="s">
        <v>41</v>
      </c>
      <c r="AJ397" t="s">
        <v>41</v>
      </c>
    </row>
    <row r="398" spans="1:36">
      <c r="A398">
        <v>123146</v>
      </c>
      <c r="B398" t="s">
        <v>1974</v>
      </c>
      <c r="C398">
        <v>300692</v>
      </c>
      <c r="D398" t="s">
        <v>1975</v>
      </c>
      <c r="E398" t="s">
        <v>1976</v>
      </c>
      <c r="F398" t="s">
        <v>56</v>
      </c>
      <c r="G398" t="s">
        <v>1977</v>
      </c>
      <c r="H398" t="s">
        <v>33</v>
      </c>
      <c r="I398" t="s">
        <v>255</v>
      </c>
      <c r="J398" t="s">
        <v>255</v>
      </c>
      <c r="K398" t="s">
        <v>1978</v>
      </c>
      <c r="L398">
        <v>6.79</v>
      </c>
      <c r="M398">
        <v>3532.621</v>
      </c>
      <c r="N398" t="s">
        <v>1979</v>
      </c>
      <c r="O398">
        <v>7.67</v>
      </c>
      <c r="P398">
        <v>3520.711</v>
      </c>
      <c r="Q398" s="1">
        <f>(O398-L398)/L398</f>
        <v>0.12960235640648</v>
      </c>
      <c r="R398" s="1">
        <f>(P398-M398)/M398</f>
        <v>-0.00337143441088085</v>
      </c>
      <c r="S398" t="s">
        <v>1980</v>
      </c>
      <c r="T398">
        <v>8.15</v>
      </c>
      <c r="U398">
        <v>3521.256</v>
      </c>
      <c r="V398" s="1">
        <f>(T398-O398)/O398</f>
        <v>0.0625814863102999</v>
      </c>
      <c r="W398" s="1">
        <f>(U398-P398)/P398</f>
        <v>0.000154798277961489</v>
      </c>
      <c r="X398" t="s">
        <v>1977</v>
      </c>
      <c r="Y398">
        <v>6.55</v>
      </c>
      <c r="Z398">
        <v>3001.561</v>
      </c>
      <c r="AA398" s="2">
        <f>(Y398-T398)/T398</f>
        <v>-0.196319018404908</v>
      </c>
      <c r="AB398" s="2">
        <f>(Z398-U398)/U398</f>
        <v>-0.147587962931408</v>
      </c>
      <c r="AC398" t="s">
        <v>1981</v>
      </c>
      <c r="AD398">
        <v>7.02</v>
      </c>
      <c r="AE398">
        <v>3123.108</v>
      </c>
      <c r="AF398" s="2">
        <f t="shared" si="41"/>
        <v>0.0717557251908397</v>
      </c>
      <c r="AG398" s="2">
        <f t="shared" si="42"/>
        <v>0.0404945959785592</v>
      </c>
      <c r="AH398" t="s">
        <v>1982</v>
      </c>
      <c r="AI398" t="s">
        <v>41</v>
      </c>
      <c r="AJ398" t="s">
        <v>41</v>
      </c>
    </row>
    <row r="399" hidden="1" spans="1:36">
      <c r="A399">
        <v>113648</v>
      </c>
      <c r="B399" t="s">
        <v>1983</v>
      </c>
      <c r="C399">
        <v>603477</v>
      </c>
      <c r="D399" t="s">
        <v>1984</v>
      </c>
      <c r="E399" t="s">
        <v>55</v>
      </c>
      <c r="F399" t="s">
        <v>56</v>
      </c>
      <c r="G399" t="s">
        <v>1316</v>
      </c>
      <c r="H399" t="s">
        <v>33</v>
      </c>
      <c r="I399" t="s">
        <v>255</v>
      </c>
      <c r="J399" t="s">
        <v>255</v>
      </c>
      <c r="K399" t="s">
        <v>255</v>
      </c>
      <c r="L399" t="s">
        <v>41</v>
      </c>
      <c r="M399" t="s">
        <v>41</v>
      </c>
      <c r="N399" t="s">
        <v>255</v>
      </c>
      <c r="O399" t="s">
        <v>41</v>
      </c>
      <c r="P399" t="s">
        <v>41</v>
      </c>
      <c r="Q399" s="2"/>
      <c r="R399" s="2"/>
      <c r="S399" t="s">
        <v>255</v>
      </c>
      <c r="T399" t="s">
        <v>41</v>
      </c>
      <c r="U399" t="s">
        <v>41</v>
      </c>
      <c r="V399" s="2"/>
      <c r="W399" s="2"/>
      <c r="X399" t="s">
        <v>1316</v>
      </c>
      <c r="Y399">
        <v>18.8</v>
      </c>
      <c r="Z399">
        <v>2928.512</v>
      </c>
      <c r="AA399" s="2"/>
      <c r="AB399" s="2"/>
      <c r="AC399" t="s">
        <v>1665</v>
      </c>
      <c r="AD399">
        <v>17.5</v>
      </c>
      <c r="AE399">
        <v>3093.697</v>
      </c>
      <c r="AF399" s="2">
        <f t="shared" si="41"/>
        <v>-0.0691489361702128</v>
      </c>
      <c r="AG399" s="2">
        <f t="shared" si="42"/>
        <v>0.0564057787709253</v>
      </c>
      <c r="AH399" t="s">
        <v>1985</v>
      </c>
      <c r="AI399" t="s">
        <v>41</v>
      </c>
      <c r="AJ399" t="s">
        <v>41</v>
      </c>
    </row>
    <row r="400" hidden="1" spans="1:36">
      <c r="A400">
        <v>110086</v>
      </c>
      <c r="B400" t="s">
        <v>1986</v>
      </c>
      <c r="C400">
        <v>600496</v>
      </c>
      <c r="D400" t="s">
        <v>1987</v>
      </c>
      <c r="E400" t="s">
        <v>194</v>
      </c>
      <c r="F400" t="s">
        <v>397</v>
      </c>
      <c r="G400" t="s">
        <v>1604</v>
      </c>
      <c r="H400" t="s">
        <v>33</v>
      </c>
      <c r="I400" t="s">
        <v>255</v>
      </c>
      <c r="J400" t="s">
        <v>255</v>
      </c>
      <c r="K400" t="s">
        <v>255</v>
      </c>
      <c r="L400" t="s">
        <v>41</v>
      </c>
      <c r="M400" t="s">
        <v>41</v>
      </c>
      <c r="N400" t="s">
        <v>255</v>
      </c>
      <c r="O400" t="s">
        <v>41</v>
      </c>
      <c r="P400" t="s">
        <v>41</v>
      </c>
      <c r="Q400" s="2"/>
      <c r="R400" s="2"/>
      <c r="S400" t="s">
        <v>255</v>
      </c>
      <c r="T400" t="s">
        <v>41</v>
      </c>
      <c r="U400" t="s">
        <v>41</v>
      </c>
      <c r="V400" s="2"/>
      <c r="W400" s="2"/>
      <c r="X400" t="s">
        <v>1604</v>
      </c>
      <c r="Y400">
        <v>3.83</v>
      </c>
      <c r="Z400">
        <v>3086.919</v>
      </c>
      <c r="AA400" s="2"/>
      <c r="AB400" s="2"/>
      <c r="AC400" t="s">
        <v>1988</v>
      </c>
      <c r="AD400">
        <v>4.23</v>
      </c>
      <c r="AE400">
        <v>3146.857</v>
      </c>
      <c r="AF400" s="2">
        <f t="shared" si="41"/>
        <v>0.10443864229765</v>
      </c>
      <c r="AG400" s="2">
        <f t="shared" si="42"/>
        <v>0.0194167712207544</v>
      </c>
      <c r="AH400" t="s">
        <v>1989</v>
      </c>
      <c r="AI400" t="s">
        <v>41</v>
      </c>
      <c r="AJ400" t="s">
        <v>41</v>
      </c>
    </row>
    <row r="401" hidden="1" spans="1:36">
      <c r="A401">
        <v>113647</v>
      </c>
      <c r="B401" t="s">
        <v>1990</v>
      </c>
      <c r="C401">
        <v>603609</v>
      </c>
      <c r="D401" t="s">
        <v>1991</v>
      </c>
      <c r="E401" t="s">
        <v>155</v>
      </c>
      <c r="F401" t="s">
        <v>397</v>
      </c>
      <c r="G401" t="s">
        <v>1604</v>
      </c>
      <c r="H401" t="s">
        <v>33</v>
      </c>
      <c r="I401" t="s">
        <v>255</v>
      </c>
      <c r="J401" t="s">
        <v>255</v>
      </c>
      <c r="K401" t="s">
        <v>255</v>
      </c>
      <c r="L401" t="s">
        <v>41</v>
      </c>
      <c r="M401" t="s">
        <v>41</v>
      </c>
      <c r="N401" t="s">
        <v>255</v>
      </c>
      <c r="O401" t="s">
        <v>41</v>
      </c>
      <c r="P401" t="s">
        <v>41</v>
      </c>
      <c r="Q401" s="2"/>
      <c r="R401" s="2"/>
      <c r="S401" t="s">
        <v>255</v>
      </c>
      <c r="T401" t="s">
        <v>41</v>
      </c>
      <c r="U401" t="s">
        <v>41</v>
      </c>
      <c r="V401" s="2"/>
      <c r="W401" s="2"/>
      <c r="X401" t="s">
        <v>1604</v>
      </c>
      <c r="Y401">
        <v>8.85</v>
      </c>
      <c r="Z401">
        <v>3086.919</v>
      </c>
      <c r="AA401" s="2"/>
      <c r="AB401" s="2"/>
      <c r="AC401" t="s">
        <v>1992</v>
      </c>
      <c r="AD401">
        <v>8.04</v>
      </c>
      <c r="AE401">
        <v>3085.977</v>
      </c>
      <c r="AF401" s="2">
        <f t="shared" si="41"/>
        <v>-0.0915254237288136</v>
      </c>
      <c r="AG401" s="2">
        <f t="shared" si="42"/>
        <v>-0.000305158638759231</v>
      </c>
      <c r="AH401" t="s">
        <v>1989</v>
      </c>
      <c r="AI401" t="s">
        <v>41</v>
      </c>
      <c r="AJ401" t="s">
        <v>41</v>
      </c>
    </row>
    <row r="402" hidden="1" spans="1:36">
      <c r="A402">
        <v>127063</v>
      </c>
      <c r="B402" t="s">
        <v>1993</v>
      </c>
      <c r="C402">
        <v>589</v>
      </c>
      <c r="D402" t="s">
        <v>1994</v>
      </c>
      <c r="E402" t="s">
        <v>266</v>
      </c>
      <c r="F402" t="s">
        <v>41</v>
      </c>
      <c r="G402" t="s">
        <v>1604</v>
      </c>
      <c r="H402" t="s">
        <v>621</v>
      </c>
      <c r="I402" t="s">
        <v>255</v>
      </c>
      <c r="J402" t="s">
        <v>255</v>
      </c>
      <c r="K402" t="s">
        <v>255</v>
      </c>
      <c r="L402" t="s">
        <v>41</v>
      </c>
      <c r="M402" t="s">
        <v>41</v>
      </c>
      <c r="N402" t="s">
        <v>255</v>
      </c>
      <c r="O402" t="s">
        <v>41</v>
      </c>
      <c r="P402" t="s">
        <v>41</v>
      </c>
      <c r="Q402" s="2"/>
      <c r="R402" s="2"/>
      <c r="S402" t="s">
        <v>255</v>
      </c>
      <c r="T402" t="s">
        <v>41</v>
      </c>
      <c r="U402" t="s">
        <v>41</v>
      </c>
      <c r="V402" s="2"/>
      <c r="W402" s="2"/>
      <c r="X402" t="s">
        <v>1604</v>
      </c>
      <c r="Y402">
        <v>3.46</v>
      </c>
      <c r="Z402">
        <v>3086.919</v>
      </c>
      <c r="AA402" s="2"/>
      <c r="AB402" s="2"/>
      <c r="AC402" t="s">
        <v>1995</v>
      </c>
      <c r="AD402">
        <v>3.79</v>
      </c>
      <c r="AE402">
        <v>3149.061</v>
      </c>
      <c r="AF402" s="2">
        <f t="shared" si="41"/>
        <v>0.0953757225433526</v>
      </c>
      <c r="AG402" s="2">
        <f t="shared" si="42"/>
        <v>0.0201307517301232</v>
      </c>
      <c r="AH402" t="s">
        <v>1989</v>
      </c>
      <c r="AI402" t="s">
        <v>1621</v>
      </c>
      <c r="AJ402" t="s">
        <v>625</v>
      </c>
    </row>
    <row r="403" hidden="1" spans="1:36">
      <c r="A403">
        <v>127062</v>
      </c>
      <c r="B403" t="s">
        <v>1996</v>
      </c>
      <c r="C403">
        <v>2398</v>
      </c>
      <c r="D403" t="s">
        <v>1997</v>
      </c>
      <c r="E403" t="s">
        <v>1616</v>
      </c>
      <c r="F403" t="s">
        <v>56</v>
      </c>
      <c r="G403" t="s">
        <v>240</v>
      </c>
      <c r="H403" t="s">
        <v>33</v>
      </c>
      <c r="I403" t="s">
        <v>255</v>
      </c>
      <c r="J403" t="s">
        <v>255</v>
      </c>
      <c r="K403" t="s">
        <v>255</v>
      </c>
      <c r="L403" t="s">
        <v>41</v>
      </c>
      <c r="M403" t="s">
        <v>41</v>
      </c>
      <c r="N403" t="s">
        <v>255</v>
      </c>
      <c r="O403" t="s">
        <v>41</v>
      </c>
      <c r="P403" t="s">
        <v>41</v>
      </c>
      <c r="Q403" s="2"/>
      <c r="R403" s="2"/>
      <c r="S403" t="s">
        <v>255</v>
      </c>
      <c r="T403" t="s">
        <v>41</v>
      </c>
      <c r="U403" t="s">
        <v>41</v>
      </c>
      <c r="V403" s="2"/>
      <c r="W403" s="2"/>
      <c r="X403" t="s">
        <v>240</v>
      </c>
      <c r="Y403">
        <v>7.04</v>
      </c>
      <c r="Z403">
        <v>3079.808</v>
      </c>
      <c r="AA403" s="2"/>
      <c r="AB403" s="2"/>
      <c r="AC403" t="s">
        <v>1969</v>
      </c>
      <c r="AD403">
        <v>6.17</v>
      </c>
      <c r="AE403">
        <v>3146.567</v>
      </c>
      <c r="AF403" s="2">
        <f t="shared" si="41"/>
        <v>-0.123579545454545</v>
      </c>
      <c r="AG403" s="2">
        <f t="shared" si="42"/>
        <v>0.0216763512530651</v>
      </c>
      <c r="AH403" t="s">
        <v>1998</v>
      </c>
      <c r="AI403" t="s">
        <v>41</v>
      </c>
      <c r="AJ403" t="s">
        <v>41</v>
      </c>
    </row>
    <row r="404" spans="1:36">
      <c r="A404">
        <v>123145</v>
      </c>
      <c r="B404" t="s">
        <v>1999</v>
      </c>
      <c r="C404">
        <v>300725</v>
      </c>
      <c r="D404" t="s">
        <v>2000</v>
      </c>
      <c r="E404" t="s">
        <v>2001</v>
      </c>
      <c r="F404" t="s">
        <v>41</v>
      </c>
      <c r="G404" t="s">
        <v>1928</v>
      </c>
      <c r="H404" t="s">
        <v>621</v>
      </c>
      <c r="I404" t="s">
        <v>255</v>
      </c>
      <c r="J404" t="s">
        <v>255</v>
      </c>
      <c r="K404" t="s">
        <v>2002</v>
      </c>
      <c r="L404">
        <v>166.89</v>
      </c>
      <c r="M404">
        <v>3567.101</v>
      </c>
      <c r="N404" t="s">
        <v>2003</v>
      </c>
      <c r="O404">
        <v>146.52</v>
      </c>
      <c r="P404">
        <v>3584.179</v>
      </c>
      <c r="Q404" s="1">
        <f>(O404-L404)/L404</f>
        <v>-0.122056444364551</v>
      </c>
      <c r="R404" s="1">
        <f>(P404-M404)/M404</f>
        <v>0.00478764128069263</v>
      </c>
      <c r="S404" t="s">
        <v>1487</v>
      </c>
      <c r="T404">
        <v>88.87</v>
      </c>
      <c r="U404">
        <v>3236.695</v>
      </c>
      <c r="V404" s="1">
        <f>(T404-O404)/O404</f>
        <v>-0.393461643461643</v>
      </c>
      <c r="W404" s="1">
        <f>(U404-P404)/P404</f>
        <v>-0.0969493990116007</v>
      </c>
      <c r="X404" t="s">
        <v>1928</v>
      </c>
      <c r="Y404">
        <v>77.49</v>
      </c>
      <c r="Z404">
        <v>3151.05</v>
      </c>
      <c r="AA404" s="2">
        <f>(Y404-T404)/T404</f>
        <v>-0.128052211094858</v>
      </c>
      <c r="AB404" s="2">
        <f>(Z404-U404)/U404</f>
        <v>-0.026460633454805</v>
      </c>
      <c r="AC404" t="s">
        <v>1992</v>
      </c>
      <c r="AD404">
        <v>81.08</v>
      </c>
      <c r="AE404">
        <v>3085.977</v>
      </c>
      <c r="AF404" s="2">
        <f t="shared" si="41"/>
        <v>0.0463285585236805</v>
      </c>
      <c r="AG404" s="2">
        <f t="shared" si="42"/>
        <v>-0.0206512115009284</v>
      </c>
      <c r="AH404" t="s">
        <v>2004</v>
      </c>
      <c r="AI404" t="s">
        <v>127</v>
      </c>
      <c r="AJ404" t="s">
        <v>625</v>
      </c>
    </row>
    <row r="405" hidden="1" spans="1:36">
      <c r="A405">
        <v>127061</v>
      </c>
      <c r="B405" t="s">
        <v>2005</v>
      </c>
      <c r="C405">
        <v>723</v>
      </c>
      <c r="D405" t="s">
        <v>2006</v>
      </c>
      <c r="E405" t="s">
        <v>2007</v>
      </c>
      <c r="F405" t="s">
        <v>31</v>
      </c>
      <c r="G405" t="s">
        <v>1928</v>
      </c>
      <c r="H405" t="s">
        <v>33</v>
      </c>
      <c r="I405" t="s">
        <v>255</v>
      </c>
      <c r="J405" t="s">
        <v>255</v>
      </c>
      <c r="K405" t="s">
        <v>255</v>
      </c>
      <c r="L405" t="s">
        <v>41</v>
      </c>
      <c r="M405" t="s">
        <v>41</v>
      </c>
      <c r="N405" t="s">
        <v>255</v>
      </c>
      <c r="O405" t="s">
        <v>41</v>
      </c>
      <c r="P405" t="s">
        <v>41</v>
      </c>
      <c r="Q405" s="2"/>
      <c r="R405" s="2"/>
      <c r="S405" t="s">
        <v>255</v>
      </c>
      <c r="T405" t="s">
        <v>41</v>
      </c>
      <c r="U405" t="s">
        <v>41</v>
      </c>
      <c r="V405" s="2"/>
      <c r="W405" s="2"/>
      <c r="X405" t="s">
        <v>1928</v>
      </c>
      <c r="Y405">
        <v>11.58</v>
      </c>
      <c r="Z405">
        <v>3151.05</v>
      </c>
      <c r="AA405" s="2"/>
      <c r="AB405" s="2"/>
      <c r="AC405" t="s">
        <v>1995</v>
      </c>
      <c r="AD405">
        <v>11.36</v>
      </c>
      <c r="AE405">
        <v>3149.061</v>
      </c>
      <c r="AF405" s="2">
        <f t="shared" si="41"/>
        <v>-0.0189982728842833</v>
      </c>
      <c r="AG405" s="2">
        <f t="shared" si="42"/>
        <v>-0.000631218165373457</v>
      </c>
      <c r="AH405" t="s">
        <v>2004</v>
      </c>
      <c r="AI405" t="s">
        <v>41</v>
      </c>
      <c r="AJ405" t="s">
        <v>41</v>
      </c>
    </row>
    <row r="406" hidden="1" spans="1:36">
      <c r="A406">
        <v>127060</v>
      </c>
      <c r="B406" t="s">
        <v>2008</v>
      </c>
      <c r="C406">
        <v>2982</v>
      </c>
      <c r="D406" t="s">
        <v>2009</v>
      </c>
      <c r="E406" t="s">
        <v>1233</v>
      </c>
      <c r="F406" t="s">
        <v>31</v>
      </c>
      <c r="G406" t="s">
        <v>2010</v>
      </c>
      <c r="H406" t="s">
        <v>33</v>
      </c>
      <c r="I406" t="s">
        <v>255</v>
      </c>
      <c r="J406" t="s">
        <v>255</v>
      </c>
      <c r="K406" t="s">
        <v>255</v>
      </c>
      <c r="L406" t="s">
        <v>41</v>
      </c>
      <c r="M406" t="s">
        <v>41</v>
      </c>
      <c r="N406" t="s">
        <v>255</v>
      </c>
      <c r="O406" t="s">
        <v>41</v>
      </c>
      <c r="P406" t="s">
        <v>41</v>
      </c>
      <c r="Q406" s="2"/>
      <c r="R406" s="2"/>
      <c r="S406" t="s">
        <v>255</v>
      </c>
      <c r="T406" t="s">
        <v>41</v>
      </c>
      <c r="U406" t="s">
        <v>41</v>
      </c>
      <c r="V406" s="2"/>
      <c r="W406" s="2"/>
      <c r="X406" t="s">
        <v>2010</v>
      </c>
      <c r="Y406">
        <v>22.79</v>
      </c>
      <c r="Z406">
        <v>3194.029</v>
      </c>
      <c r="AA406" s="2"/>
      <c r="AB406" s="2"/>
      <c r="AC406" t="s">
        <v>2011</v>
      </c>
      <c r="AD406">
        <v>19.74</v>
      </c>
      <c r="AE406">
        <v>3284.834</v>
      </c>
      <c r="AF406" s="2">
        <f t="shared" si="41"/>
        <v>-0.133830627468188</v>
      </c>
      <c r="AG406" s="2">
        <f t="shared" si="42"/>
        <v>0.0284296103761111</v>
      </c>
      <c r="AH406" t="s">
        <v>2012</v>
      </c>
      <c r="AI406" t="s">
        <v>41</v>
      </c>
      <c r="AJ406" t="s">
        <v>41</v>
      </c>
    </row>
    <row r="407" hidden="1" spans="1:36">
      <c r="A407">
        <v>113644</v>
      </c>
      <c r="B407" t="s">
        <v>2013</v>
      </c>
      <c r="C407">
        <v>603638</v>
      </c>
      <c r="D407" t="s">
        <v>2014</v>
      </c>
      <c r="E407" t="s">
        <v>55</v>
      </c>
      <c r="F407" t="s">
        <v>56</v>
      </c>
      <c r="G407" t="s">
        <v>1712</v>
      </c>
      <c r="H407" t="s">
        <v>33</v>
      </c>
      <c r="I407" t="s">
        <v>255</v>
      </c>
      <c r="J407" t="s">
        <v>255</v>
      </c>
      <c r="K407" t="s">
        <v>255</v>
      </c>
      <c r="L407" t="s">
        <v>41</v>
      </c>
      <c r="M407" t="s">
        <v>41</v>
      </c>
      <c r="N407" t="s">
        <v>255</v>
      </c>
      <c r="O407" t="s">
        <v>41</v>
      </c>
      <c r="P407" t="s">
        <v>41</v>
      </c>
      <c r="Q407" s="2"/>
      <c r="R407" s="2"/>
      <c r="S407" t="s">
        <v>255</v>
      </c>
      <c r="T407" t="s">
        <v>41</v>
      </c>
      <c r="U407" t="s">
        <v>41</v>
      </c>
      <c r="V407" s="2"/>
      <c r="W407" s="2"/>
      <c r="X407" t="s">
        <v>1712</v>
      </c>
      <c r="Y407">
        <v>22.38</v>
      </c>
      <c r="Z407">
        <v>3211.245</v>
      </c>
      <c r="AA407" s="2"/>
      <c r="AB407" s="2"/>
      <c r="AC407" t="s">
        <v>1825</v>
      </c>
      <c r="AD407">
        <v>17.64</v>
      </c>
      <c r="AE407">
        <v>3054.994</v>
      </c>
      <c r="AF407" s="2">
        <f t="shared" si="41"/>
        <v>-0.211796246648794</v>
      </c>
      <c r="AG407" s="2">
        <f t="shared" si="42"/>
        <v>-0.0486574521719768</v>
      </c>
      <c r="AH407" t="s">
        <v>2015</v>
      </c>
      <c r="AI407" t="s">
        <v>41</v>
      </c>
      <c r="AJ407" t="s">
        <v>41</v>
      </c>
    </row>
    <row r="408" hidden="1" spans="1:36">
      <c r="A408">
        <v>113646</v>
      </c>
      <c r="B408" t="s">
        <v>2016</v>
      </c>
      <c r="C408">
        <v>603058</v>
      </c>
      <c r="D408" t="s">
        <v>2017</v>
      </c>
      <c r="E408" t="s">
        <v>2018</v>
      </c>
      <c r="F408" t="s">
        <v>56</v>
      </c>
      <c r="G408" t="s">
        <v>2019</v>
      </c>
      <c r="H408" t="s">
        <v>33</v>
      </c>
      <c r="I408" t="s">
        <v>255</v>
      </c>
      <c r="J408" t="s">
        <v>255</v>
      </c>
      <c r="K408" t="s">
        <v>255</v>
      </c>
      <c r="L408" t="s">
        <v>41</v>
      </c>
      <c r="M408" t="s">
        <v>41</v>
      </c>
      <c r="N408" t="s">
        <v>255</v>
      </c>
      <c r="O408" t="s">
        <v>41</v>
      </c>
      <c r="P408" t="s">
        <v>41</v>
      </c>
      <c r="Q408" s="2"/>
      <c r="R408" s="2"/>
      <c r="S408" t="s">
        <v>255</v>
      </c>
      <c r="T408" t="s">
        <v>41</v>
      </c>
      <c r="U408" t="s">
        <v>41</v>
      </c>
      <c r="V408" s="2"/>
      <c r="W408" s="2"/>
      <c r="X408" t="s">
        <v>2019</v>
      </c>
      <c r="Y408">
        <v>7.12</v>
      </c>
      <c r="Z408">
        <v>3225.641</v>
      </c>
      <c r="AA408" s="2"/>
      <c r="AB408" s="2"/>
      <c r="AC408" t="s">
        <v>1665</v>
      </c>
      <c r="AD408">
        <v>6.33</v>
      </c>
      <c r="AE408">
        <v>3093.697</v>
      </c>
      <c r="AF408" s="2">
        <f t="shared" si="41"/>
        <v>-0.110955056179775</v>
      </c>
      <c r="AG408" s="2">
        <f t="shared" si="42"/>
        <v>-0.0409047380040122</v>
      </c>
      <c r="AH408" t="s">
        <v>2020</v>
      </c>
      <c r="AI408" t="s">
        <v>41</v>
      </c>
      <c r="AJ408" t="s">
        <v>41</v>
      </c>
    </row>
    <row r="409" spans="1:36">
      <c r="A409">
        <v>123144</v>
      </c>
      <c r="B409" t="s">
        <v>2021</v>
      </c>
      <c r="C409">
        <v>300305</v>
      </c>
      <c r="D409" t="s">
        <v>2022</v>
      </c>
      <c r="E409" t="s">
        <v>1114</v>
      </c>
      <c r="F409" t="s">
        <v>31</v>
      </c>
      <c r="G409" t="s">
        <v>2023</v>
      </c>
      <c r="H409" t="s">
        <v>33</v>
      </c>
      <c r="I409" t="s">
        <v>255</v>
      </c>
      <c r="J409" t="s">
        <v>255</v>
      </c>
      <c r="K409" t="s">
        <v>2024</v>
      </c>
      <c r="L409">
        <v>15.74</v>
      </c>
      <c r="M409">
        <v>3591.709</v>
      </c>
      <c r="N409" t="s">
        <v>1526</v>
      </c>
      <c r="O409">
        <v>17.73</v>
      </c>
      <c r="P409">
        <v>3597</v>
      </c>
      <c r="Q409" s="1">
        <f>(O409-L409)/L409</f>
        <v>0.126429479034308</v>
      </c>
      <c r="R409" s="1">
        <f>(P409-M409)/M409</f>
        <v>0.00147311488764824</v>
      </c>
      <c r="S409" t="s">
        <v>2025</v>
      </c>
      <c r="T409">
        <v>13.28</v>
      </c>
      <c r="U409">
        <v>3170.71</v>
      </c>
      <c r="V409" s="1">
        <f>(T409-O409)/O409</f>
        <v>-0.250987027636774</v>
      </c>
      <c r="W409" s="1">
        <f>(U409-P409)/P409</f>
        <v>-0.118512649430081</v>
      </c>
      <c r="X409" t="s">
        <v>2023</v>
      </c>
      <c r="Y409">
        <v>11.72</v>
      </c>
      <c r="Z409">
        <v>3167.126</v>
      </c>
      <c r="AA409" s="2">
        <f>(Y409-T409)/T409</f>
        <v>-0.117469879518072</v>
      </c>
      <c r="AB409" s="2">
        <f>(Z409-U409)/U409</f>
        <v>-0.00113034620006239</v>
      </c>
      <c r="AC409" t="s">
        <v>1598</v>
      </c>
      <c r="AD409">
        <v>9.5</v>
      </c>
      <c r="AE409">
        <v>2958.282</v>
      </c>
      <c r="AF409" s="2">
        <f t="shared" si="41"/>
        <v>-0.189419795221843</v>
      </c>
      <c r="AG409" s="2">
        <f t="shared" si="42"/>
        <v>-0.0659411719015915</v>
      </c>
      <c r="AH409" t="s">
        <v>2026</v>
      </c>
      <c r="AI409" t="s">
        <v>41</v>
      </c>
      <c r="AJ409" t="s">
        <v>41</v>
      </c>
    </row>
    <row r="410" hidden="1" spans="1:36">
      <c r="A410">
        <v>127059</v>
      </c>
      <c r="B410" t="s">
        <v>2027</v>
      </c>
      <c r="C410">
        <v>2753</v>
      </c>
      <c r="D410" t="s">
        <v>2028</v>
      </c>
      <c r="E410" t="s">
        <v>212</v>
      </c>
      <c r="F410" t="s">
        <v>56</v>
      </c>
      <c r="G410" t="s">
        <v>1832</v>
      </c>
      <c r="H410" t="s">
        <v>33</v>
      </c>
      <c r="I410" t="s">
        <v>255</v>
      </c>
      <c r="J410" t="s">
        <v>255</v>
      </c>
      <c r="K410" t="s">
        <v>255</v>
      </c>
      <c r="L410" t="s">
        <v>41</v>
      </c>
      <c r="M410" t="s">
        <v>41</v>
      </c>
      <c r="N410" t="s">
        <v>255</v>
      </c>
      <c r="O410" t="s">
        <v>41</v>
      </c>
      <c r="P410" t="s">
        <v>41</v>
      </c>
      <c r="Q410" s="2"/>
      <c r="R410" s="2"/>
      <c r="S410" t="s">
        <v>255</v>
      </c>
      <c r="T410" t="s">
        <v>41</v>
      </c>
      <c r="U410" t="s">
        <v>41</v>
      </c>
      <c r="V410" s="2"/>
      <c r="W410" s="2"/>
      <c r="X410" t="s">
        <v>1832</v>
      </c>
      <c r="Y410">
        <v>8.06</v>
      </c>
      <c r="Z410">
        <v>3251.85</v>
      </c>
      <c r="AA410" s="2"/>
      <c r="AB410" s="2"/>
      <c r="AC410" t="s">
        <v>2029</v>
      </c>
      <c r="AD410">
        <v>6.57</v>
      </c>
      <c r="AE410">
        <v>3073.749</v>
      </c>
      <c r="AF410" s="2">
        <f t="shared" si="41"/>
        <v>-0.184863523573201</v>
      </c>
      <c r="AG410" s="2">
        <f t="shared" si="42"/>
        <v>-0.0547691314175008</v>
      </c>
      <c r="AH410" t="s">
        <v>2030</v>
      </c>
      <c r="AI410" t="s">
        <v>41</v>
      </c>
      <c r="AJ410" t="s">
        <v>41</v>
      </c>
    </row>
    <row r="411" hidden="1" spans="1:36">
      <c r="A411">
        <v>123143</v>
      </c>
      <c r="B411" t="s">
        <v>2031</v>
      </c>
      <c r="C411">
        <v>300843</v>
      </c>
      <c r="D411" t="s">
        <v>415</v>
      </c>
      <c r="E411" t="s">
        <v>80</v>
      </c>
      <c r="F411" t="s">
        <v>41</v>
      </c>
      <c r="G411" t="s">
        <v>239</v>
      </c>
      <c r="H411" t="s">
        <v>621</v>
      </c>
      <c r="I411" t="s">
        <v>255</v>
      </c>
      <c r="J411" t="s">
        <v>255</v>
      </c>
      <c r="K411" t="s">
        <v>255</v>
      </c>
      <c r="L411" t="s">
        <v>41</v>
      </c>
      <c r="M411" t="s">
        <v>41</v>
      </c>
      <c r="N411" t="s">
        <v>255</v>
      </c>
      <c r="O411" t="s">
        <v>41</v>
      </c>
      <c r="P411" t="s">
        <v>41</v>
      </c>
      <c r="Q411" s="2"/>
      <c r="R411" s="2"/>
      <c r="S411" t="s">
        <v>255</v>
      </c>
      <c r="T411" t="s">
        <v>41</v>
      </c>
      <c r="U411" t="s">
        <v>41</v>
      </c>
      <c r="V411" s="2"/>
      <c r="W411" s="2"/>
      <c r="X411" t="s">
        <v>239</v>
      </c>
      <c r="Y411">
        <v>20.75</v>
      </c>
      <c r="Z411">
        <v>3252.203</v>
      </c>
      <c r="AA411" s="2"/>
      <c r="AB411" s="2"/>
      <c r="AC411" t="s">
        <v>1604</v>
      </c>
      <c r="AD411">
        <v>18.15</v>
      </c>
      <c r="AE411">
        <v>3086.919</v>
      </c>
      <c r="AF411" s="2">
        <f t="shared" si="41"/>
        <v>-0.125301204819277</v>
      </c>
      <c r="AG411" s="2">
        <f t="shared" si="42"/>
        <v>-0.0508221657750147</v>
      </c>
      <c r="AH411" t="s">
        <v>2032</v>
      </c>
      <c r="AI411" t="s">
        <v>613</v>
      </c>
      <c r="AJ411" t="s">
        <v>625</v>
      </c>
    </row>
    <row r="412" hidden="1" spans="1:36">
      <c r="A412">
        <v>111004</v>
      </c>
      <c r="B412" t="s">
        <v>2033</v>
      </c>
      <c r="C412">
        <v>605068</v>
      </c>
      <c r="D412" t="s">
        <v>2034</v>
      </c>
      <c r="E412" t="s">
        <v>2035</v>
      </c>
      <c r="F412" t="s">
        <v>56</v>
      </c>
      <c r="G412" t="s">
        <v>2036</v>
      </c>
      <c r="H412" t="s">
        <v>33</v>
      </c>
      <c r="I412" t="s">
        <v>255</v>
      </c>
      <c r="J412" t="s">
        <v>255</v>
      </c>
      <c r="K412" t="s">
        <v>255</v>
      </c>
      <c r="L412" t="s">
        <v>41</v>
      </c>
      <c r="M412" t="s">
        <v>41</v>
      </c>
      <c r="N412" t="s">
        <v>255</v>
      </c>
      <c r="O412" t="s">
        <v>41</v>
      </c>
      <c r="P412" t="s">
        <v>41</v>
      </c>
      <c r="Q412" s="2"/>
      <c r="R412" s="2"/>
      <c r="S412" t="s">
        <v>255</v>
      </c>
      <c r="T412" t="s">
        <v>41</v>
      </c>
      <c r="U412" t="s">
        <v>41</v>
      </c>
      <c r="V412" s="2"/>
      <c r="W412" s="2"/>
      <c r="X412" t="s">
        <v>2036</v>
      </c>
      <c r="Y412">
        <v>23.29</v>
      </c>
      <c r="Z412">
        <v>3266.596</v>
      </c>
      <c r="AA412" s="2"/>
      <c r="AB412" s="2"/>
      <c r="AC412" t="s">
        <v>1316</v>
      </c>
      <c r="AD412">
        <v>17.89</v>
      </c>
      <c r="AE412">
        <v>2928.512</v>
      </c>
      <c r="AF412" s="2">
        <f t="shared" si="41"/>
        <v>-0.231859167024474</v>
      </c>
      <c r="AG412" s="2">
        <f t="shared" si="42"/>
        <v>-0.103497340962886</v>
      </c>
      <c r="AH412" t="s">
        <v>2037</v>
      </c>
      <c r="AI412" t="s">
        <v>41</v>
      </c>
      <c r="AJ412" t="s">
        <v>41</v>
      </c>
    </row>
    <row r="413" hidden="1" spans="1:36">
      <c r="A413">
        <v>113058</v>
      </c>
      <c r="B413" t="s">
        <v>2038</v>
      </c>
      <c r="C413">
        <v>601686</v>
      </c>
      <c r="D413" t="s">
        <v>2039</v>
      </c>
      <c r="E413" t="s">
        <v>194</v>
      </c>
      <c r="F413" t="s">
        <v>397</v>
      </c>
      <c r="G413" t="s">
        <v>2036</v>
      </c>
      <c r="H413" t="s">
        <v>33</v>
      </c>
      <c r="I413" t="s">
        <v>255</v>
      </c>
      <c r="J413" t="s">
        <v>255</v>
      </c>
      <c r="K413" t="s">
        <v>255</v>
      </c>
      <c r="L413" t="s">
        <v>41</v>
      </c>
      <c r="M413" t="s">
        <v>41</v>
      </c>
      <c r="N413" t="s">
        <v>255</v>
      </c>
      <c r="O413" t="s">
        <v>41</v>
      </c>
      <c r="P413" t="s">
        <v>41</v>
      </c>
      <c r="Q413" s="2"/>
      <c r="R413" s="2"/>
      <c r="S413" t="s">
        <v>255</v>
      </c>
      <c r="T413" t="s">
        <v>41</v>
      </c>
      <c r="U413" t="s">
        <v>41</v>
      </c>
      <c r="V413" s="2"/>
      <c r="W413" s="2"/>
      <c r="X413" t="s">
        <v>2036</v>
      </c>
      <c r="Y413">
        <v>7.5</v>
      </c>
      <c r="Z413">
        <v>3266.596</v>
      </c>
      <c r="AA413" s="2"/>
      <c r="AB413" s="2"/>
      <c r="AC413" t="s">
        <v>1540</v>
      </c>
      <c r="AD413">
        <v>5.96</v>
      </c>
      <c r="AE413">
        <v>2886.426</v>
      </c>
      <c r="AF413" s="2">
        <f t="shared" si="41"/>
        <v>-0.205333333333333</v>
      </c>
      <c r="AG413" s="2">
        <f t="shared" si="42"/>
        <v>-0.116381089060294</v>
      </c>
      <c r="AH413" t="s">
        <v>2037</v>
      </c>
      <c r="AI413" t="s">
        <v>41</v>
      </c>
      <c r="AJ413" t="s">
        <v>41</v>
      </c>
    </row>
    <row r="414" hidden="1" spans="1:36">
      <c r="A414">
        <v>113643</v>
      </c>
      <c r="B414" t="s">
        <v>2040</v>
      </c>
      <c r="C414">
        <v>603466</v>
      </c>
      <c r="D414" t="s">
        <v>2041</v>
      </c>
      <c r="E414" t="s">
        <v>522</v>
      </c>
      <c r="F414" t="s">
        <v>56</v>
      </c>
      <c r="G414" t="s">
        <v>1750</v>
      </c>
      <c r="H414" t="s">
        <v>33</v>
      </c>
      <c r="I414" t="s">
        <v>255</v>
      </c>
      <c r="J414" t="s">
        <v>255</v>
      </c>
      <c r="K414" t="s">
        <v>255</v>
      </c>
      <c r="L414" t="s">
        <v>41</v>
      </c>
      <c r="M414" t="s">
        <v>41</v>
      </c>
      <c r="N414" t="s">
        <v>255</v>
      </c>
      <c r="O414" t="s">
        <v>41</v>
      </c>
      <c r="P414" t="s">
        <v>41</v>
      </c>
      <c r="Q414" s="2"/>
      <c r="R414" s="2"/>
      <c r="S414" t="s">
        <v>255</v>
      </c>
      <c r="T414" t="s">
        <v>41</v>
      </c>
      <c r="U414" t="s">
        <v>41</v>
      </c>
      <c r="V414" s="2"/>
      <c r="W414" s="2"/>
      <c r="X414" t="s">
        <v>1750</v>
      </c>
      <c r="Y414">
        <v>14.9</v>
      </c>
      <c r="Z414">
        <v>3212.24</v>
      </c>
      <c r="AA414" s="2"/>
      <c r="AB414" s="2"/>
      <c r="AC414" t="s">
        <v>1604</v>
      </c>
      <c r="AD414">
        <v>12.06</v>
      </c>
      <c r="AE414">
        <v>3086.919</v>
      </c>
      <c r="AF414" s="2">
        <f t="shared" si="41"/>
        <v>-0.190604026845638</v>
      </c>
      <c r="AG414" s="2">
        <f t="shared" si="42"/>
        <v>-0.0390135855353273</v>
      </c>
      <c r="AH414" t="s">
        <v>2042</v>
      </c>
      <c r="AI414" t="s">
        <v>41</v>
      </c>
      <c r="AJ414" t="s">
        <v>41</v>
      </c>
    </row>
    <row r="415" hidden="1" spans="1:36">
      <c r="A415">
        <v>113057</v>
      </c>
      <c r="B415" t="s">
        <v>2043</v>
      </c>
      <c r="C415">
        <v>601881</v>
      </c>
      <c r="D415" t="s">
        <v>2044</v>
      </c>
      <c r="E415" t="s">
        <v>2045</v>
      </c>
      <c r="F415" t="s">
        <v>41</v>
      </c>
      <c r="G415" t="s">
        <v>2046</v>
      </c>
      <c r="H415" t="s">
        <v>621</v>
      </c>
      <c r="I415" t="s">
        <v>255</v>
      </c>
      <c r="J415" t="s">
        <v>255</v>
      </c>
      <c r="K415" t="s">
        <v>255</v>
      </c>
      <c r="L415" t="s">
        <v>41</v>
      </c>
      <c r="M415" t="s">
        <v>41</v>
      </c>
      <c r="N415" t="s">
        <v>255</v>
      </c>
      <c r="O415" t="s">
        <v>41</v>
      </c>
      <c r="P415" t="s">
        <v>41</v>
      </c>
      <c r="Q415" s="2"/>
      <c r="R415" s="2"/>
      <c r="S415" t="s">
        <v>255</v>
      </c>
      <c r="T415" t="s">
        <v>41</v>
      </c>
      <c r="U415" t="s">
        <v>41</v>
      </c>
      <c r="V415" s="2"/>
      <c r="W415" s="2"/>
      <c r="X415" t="s">
        <v>2046</v>
      </c>
      <c r="Y415">
        <v>8.62</v>
      </c>
      <c r="Z415">
        <v>3250.264</v>
      </c>
      <c r="AA415" s="2"/>
      <c r="AB415" s="2"/>
      <c r="AC415" t="s">
        <v>1897</v>
      </c>
      <c r="AD415">
        <v>7.76</v>
      </c>
      <c r="AE415">
        <v>3035.844</v>
      </c>
      <c r="AF415" s="2">
        <f t="shared" si="41"/>
        <v>-0.099767981438515</v>
      </c>
      <c r="AG415" s="2">
        <f t="shared" si="42"/>
        <v>-0.0659700258194411</v>
      </c>
      <c r="AH415" t="s">
        <v>2047</v>
      </c>
      <c r="AI415" t="s">
        <v>827</v>
      </c>
      <c r="AJ415" t="s">
        <v>625</v>
      </c>
    </row>
    <row r="416" hidden="1" spans="1:36">
      <c r="A416">
        <v>113056</v>
      </c>
      <c r="B416" t="s">
        <v>2048</v>
      </c>
      <c r="C416">
        <v>601963</v>
      </c>
      <c r="D416" t="s">
        <v>2049</v>
      </c>
      <c r="E416" t="s">
        <v>2050</v>
      </c>
      <c r="F416" t="s">
        <v>444</v>
      </c>
      <c r="G416" t="s">
        <v>1934</v>
      </c>
      <c r="H416" t="s">
        <v>33</v>
      </c>
      <c r="I416" t="s">
        <v>255</v>
      </c>
      <c r="J416" t="s">
        <v>255</v>
      </c>
      <c r="K416" t="s">
        <v>255</v>
      </c>
      <c r="L416" t="s">
        <v>41</v>
      </c>
      <c r="M416" t="s">
        <v>41</v>
      </c>
      <c r="N416" t="s">
        <v>255</v>
      </c>
      <c r="O416" t="s">
        <v>41</v>
      </c>
      <c r="P416" t="s">
        <v>41</v>
      </c>
      <c r="Q416" s="2"/>
      <c r="R416" s="2"/>
      <c r="S416" t="s">
        <v>255</v>
      </c>
      <c r="T416" t="s">
        <v>41</v>
      </c>
      <c r="U416" t="s">
        <v>41</v>
      </c>
      <c r="V416" s="2"/>
      <c r="W416" s="2"/>
      <c r="X416" t="s">
        <v>1934</v>
      </c>
      <c r="Y416">
        <v>7.12</v>
      </c>
      <c r="Z416">
        <v>3271.033</v>
      </c>
      <c r="AA416" s="2"/>
      <c r="AB416" s="2"/>
      <c r="AC416" t="s">
        <v>2019</v>
      </c>
      <c r="AD416">
        <v>7.2</v>
      </c>
      <c r="AE416">
        <v>3225.641</v>
      </c>
      <c r="AF416" s="2">
        <f t="shared" si="41"/>
        <v>0.0112359550561798</v>
      </c>
      <c r="AG416" s="2">
        <f t="shared" si="42"/>
        <v>-0.0138769618038093</v>
      </c>
      <c r="AH416" t="s">
        <v>2051</v>
      </c>
      <c r="AI416" t="s">
        <v>41</v>
      </c>
      <c r="AJ416" t="s">
        <v>41</v>
      </c>
    </row>
    <row r="417" spans="1:36">
      <c r="A417">
        <v>118007</v>
      </c>
      <c r="B417" t="s">
        <v>2052</v>
      </c>
      <c r="C417">
        <v>688030</v>
      </c>
      <c r="D417" t="s">
        <v>2053</v>
      </c>
      <c r="E417" t="s">
        <v>2054</v>
      </c>
      <c r="F417" t="s">
        <v>708</v>
      </c>
      <c r="G417" t="s">
        <v>1793</v>
      </c>
      <c r="H417" t="s">
        <v>33</v>
      </c>
      <c r="I417" t="s">
        <v>255</v>
      </c>
      <c r="J417" t="s">
        <v>255</v>
      </c>
      <c r="K417" t="s">
        <v>2055</v>
      </c>
      <c r="L417">
        <v>33.08</v>
      </c>
      <c r="M417">
        <v>3532.447</v>
      </c>
      <c r="N417" t="s">
        <v>2056</v>
      </c>
      <c r="O417">
        <v>26.71</v>
      </c>
      <c r="P417">
        <v>3676.587</v>
      </c>
      <c r="Q417" s="1">
        <f>(O417-L417)/L417</f>
        <v>-0.192563482466747</v>
      </c>
      <c r="R417" s="1">
        <f>(P417-M417)/M417</f>
        <v>0.0408045754118887</v>
      </c>
      <c r="S417" t="s">
        <v>2057</v>
      </c>
      <c r="T417">
        <v>27.86</v>
      </c>
      <c r="U417">
        <v>3593.602</v>
      </c>
      <c r="V417" s="1">
        <f>(T417-O417)/O417</f>
        <v>0.0430550355672032</v>
      </c>
      <c r="W417" s="1">
        <f>(U417-P417)/P417</f>
        <v>-0.0225712053053552</v>
      </c>
      <c r="X417" t="s">
        <v>1793</v>
      </c>
      <c r="Y417">
        <v>23.21</v>
      </c>
      <c r="Z417">
        <v>3259.862</v>
      </c>
      <c r="AA417" s="2">
        <f>(Y417-T417)/T417</f>
        <v>-0.166905958363245</v>
      </c>
      <c r="AB417" s="2">
        <f>(Z417-U417)/U417</f>
        <v>-0.0928706072625738</v>
      </c>
      <c r="AC417" t="s">
        <v>240</v>
      </c>
      <c r="AD417">
        <v>19.48</v>
      </c>
      <c r="AE417">
        <v>3079.808</v>
      </c>
      <c r="AF417" s="2">
        <f t="shared" si="41"/>
        <v>-0.160706591986213</v>
      </c>
      <c r="AG417" s="2">
        <f t="shared" si="42"/>
        <v>-0.055233626454126</v>
      </c>
      <c r="AH417" t="s">
        <v>2058</v>
      </c>
      <c r="AI417" t="s">
        <v>41</v>
      </c>
      <c r="AJ417" t="s">
        <v>41</v>
      </c>
    </row>
    <row r="418" spans="1:36">
      <c r="A418">
        <v>123142</v>
      </c>
      <c r="B418" t="s">
        <v>2059</v>
      </c>
      <c r="C418">
        <v>300853</v>
      </c>
      <c r="D418" t="s">
        <v>2060</v>
      </c>
      <c r="E418" t="s">
        <v>667</v>
      </c>
      <c r="F418" t="s">
        <v>1208</v>
      </c>
      <c r="G418" t="s">
        <v>1659</v>
      </c>
      <c r="H418" t="s">
        <v>33</v>
      </c>
      <c r="I418" t="s">
        <v>255</v>
      </c>
      <c r="J418" t="s">
        <v>255</v>
      </c>
      <c r="K418" t="s">
        <v>2061</v>
      </c>
      <c r="L418">
        <v>37.54</v>
      </c>
      <c r="M418">
        <v>3516.299</v>
      </c>
      <c r="N418" t="s">
        <v>1858</v>
      </c>
      <c r="O418">
        <v>40.29</v>
      </c>
      <c r="P418">
        <v>3618.054</v>
      </c>
      <c r="Q418" s="1">
        <f>(O418-L418)/L418</f>
        <v>0.0732551944592435</v>
      </c>
      <c r="R418" s="1">
        <f>(P418-M418)/M418</f>
        <v>0.0289380965611855</v>
      </c>
      <c r="S418" t="s">
        <v>2062</v>
      </c>
      <c r="T418">
        <v>33.67</v>
      </c>
      <c r="U418">
        <v>3490.757</v>
      </c>
      <c r="V418" s="1">
        <f>(T418-O418)/O418</f>
        <v>-0.164308761479275</v>
      </c>
      <c r="W418" s="1">
        <f>(U418-P418)/P418</f>
        <v>-0.0351838308659849</v>
      </c>
      <c r="X418" t="s">
        <v>1659</v>
      </c>
      <c r="Y418">
        <v>31.3</v>
      </c>
      <c r="Z418">
        <v>3251.072</v>
      </c>
      <c r="AA418" s="2">
        <f>(Y418-T418)/T418</f>
        <v>-0.0703890703890704</v>
      </c>
      <c r="AB418" s="2">
        <f>(Z418-U418)/U418</f>
        <v>-0.0686627571039748</v>
      </c>
      <c r="AC418" t="s">
        <v>2023</v>
      </c>
      <c r="AD418">
        <v>26.67</v>
      </c>
      <c r="AE418">
        <v>3167.126</v>
      </c>
      <c r="AF418" s="2">
        <f t="shared" si="41"/>
        <v>-0.147923322683706</v>
      </c>
      <c r="AG418" s="2">
        <f t="shared" si="42"/>
        <v>-0.0258210214969093</v>
      </c>
      <c r="AH418" t="s">
        <v>2063</v>
      </c>
      <c r="AI418" t="s">
        <v>41</v>
      </c>
      <c r="AJ418" t="s">
        <v>41</v>
      </c>
    </row>
    <row r="419" hidden="1" spans="1:36">
      <c r="A419">
        <v>127058</v>
      </c>
      <c r="B419" t="s">
        <v>2064</v>
      </c>
      <c r="C419">
        <v>2422</v>
      </c>
      <c r="D419" t="s">
        <v>2065</v>
      </c>
      <c r="E419" t="s">
        <v>325</v>
      </c>
      <c r="F419" t="s">
        <v>41</v>
      </c>
      <c r="G419" t="s">
        <v>1659</v>
      </c>
      <c r="H419" t="s">
        <v>621</v>
      </c>
      <c r="I419" t="s">
        <v>255</v>
      </c>
      <c r="J419" t="s">
        <v>255</v>
      </c>
      <c r="K419" t="s">
        <v>255</v>
      </c>
      <c r="L419" t="s">
        <v>41</v>
      </c>
      <c r="M419" t="s">
        <v>41</v>
      </c>
      <c r="N419" t="s">
        <v>255</v>
      </c>
      <c r="O419" t="s">
        <v>41</v>
      </c>
      <c r="P419" t="s">
        <v>41</v>
      </c>
      <c r="Q419" s="2"/>
      <c r="R419" s="2"/>
      <c r="S419" t="s">
        <v>255</v>
      </c>
      <c r="T419" t="s">
        <v>41</v>
      </c>
      <c r="U419" t="s">
        <v>41</v>
      </c>
      <c r="V419" s="2"/>
      <c r="W419" s="2"/>
      <c r="X419" t="s">
        <v>1659</v>
      </c>
      <c r="Y419">
        <v>14.48</v>
      </c>
      <c r="Z419">
        <v>3251.072</v>
      </c>
      <c r="AA419" s="2"/>
      <c r="AB419" s="2"/>
      <c r="AC419" t="s">
        <v>1928</v>
      </c>
      <c r="AD419">
        <v>14.01</v>
      </c>
      <c r="AE419">
        <v>3151.05</v>
      </c>
      <c r="AF419" s="2">
        <f t="shared" si="41"/>
        <v>-0.0324585635359116</v>
      </c>
      <c r="AG419" s="2">
        <f t="shared" si="42"/>
        <v>-0.0307658520020473</v>
      </c>
      <c r="AH419" t="s">
        <v>2063</v>
      </c>
      <c r="AI419" t="s">
        <v>1944</v>
      </c>
      <c r="AJ419" t="s">
        <v>625</v>
      </c>
    </row>
    <row r="420" spans="1:36">
      <c r="A420">
        <v>118006</v>
      </c>
      <c r="B420" t="s">
        <v>2066</v>
      </c>
      <c r="C420">
        <v>688179</v>
      </c>
      <c r="D420" t="s">
        <v>2067</v>
      </c>
      <c r="E420" t="s">
        <v>2068</v>
      </c>
      <c r="F420" t="s">
        <v>31</v>
      </c>
      <c r="G420" t="s">
        <v>2069</v>
      </c>
      <c r="H420" t="s">
        <v>33</v>
      </c>
      <c r="I420" t="s">
        <v>255</v>
      </c>
      <c r="J420" t="s">
        <v>255</v>
      </c>
      <c r="K420" t="s">
        <v>2070</v>
      </c>
      <c r="L420">
        <v>33.39</v>
      </c>
      <c r="M420">
        <v>3427.334</v>
      </c>
      <c r="N420" t="s">
        <v>2071</v>
      </c>
      <c r="O420">
        <v>21.63</v>
      </c>
      <c r="P420">
        <v>3625.125</v>
      </c>
      <c r="Q420" s="1">
        <f>(O420-L420)/L420</f>
        <v>-0.352201257861635</v>
      </c>
      <c r="R420" s="1">
        <f>(P420-M420)/M420</f>
        <v>0.0577098701206244</v>
      </c>
      <c r="S420" t="s">
        <v>2072</v>
      </c>
      <c r="T420">
        <v>21.03</v>
      </c>
      <c r="U420">
        <v>3567.441</v>
      </c>
      <c r="V420" s="1">
        <f>(T420-O420)/O420</f>
        <v>-0.0277392510402218</v>
      </c>
      <c r="W420" s="1">
        <f>(U420-P420)/P420</f>
        <v>-0.015912278886935</v>
      </c>
      <c r="X420" t="s">
        <v>2069</v>
      </c>
      <c r="Y420">
        <v>15.64</v>
      </c>
      <c r="Z420">
        <v>3063.965</v>
      </c>
      <c r="AA420" s="2">
        <f>(Y420-T420)/T420</f>
        <v>-0.256300523062292</v>
      </c>
      <c r="AB420" s="2">
        <f>(Z420-U420)/U420</f>
        <v>-0.141130855422696</v>
      </c>
      <c r="AC420" t="s">
        <v>2073</v>
      </c>
      <c r="AD420">
        <v>15.41</v>
      </c>
      <c r="AE420">
        <v>3213.33</v>
      </c>
      <c r="AF420" s="2">
        <f t="shared" si="41"/>
        <v>-0.0147058823529412</v>
      </c>
      <c r="AG420" s="2">
        <f t="shared" si="42"/>
        <v>0.0487489250040388</v>
      </c>
      <c r="AH420" t="s">
        <v>2074</v>
      </c>
      <c r="AI420" t="s">
        <v>41</v>
      </c>
      <c r="AJ420" t="s">
        <v>41</v>
      </c>
    </row>
    <row r="421" spans="1:36">
      <c r="A421">
        <v>123141</v>
      </c>
      <c r="B421" t="s">
        <v>2075</v>
      </c>
      <c r="C421">
        <v>300283</v>
      </c>
      <c r="D421" t="s">
        <v>2076</v>
      </c>
      <c r="E421" t="s">
        <v>2077</v>
      </c>
      <c r="F421" t="s">
        <v>41</v>
      </c>
      <c r="G421" t="s">
        <v>2069</v>
      </c>
      <c r="H421" t="s">
        <v>621</v>
      </c>
      <c r="I421" t="s">
        <v>255</v>
      </c>
      <c r="J421" t="s">
        <v>255</v>
      </c>
      <c r="K421" t="s">
        <v>1785</v>
      </c>
      <c r="L421">
        <v>6.72</v>
      </c>
      <c r="M421">
        <v>3606.372</v>
      </c>
      <c r="N421" t="s">
        <v>2078</v>
      </c>
      <c r="O421">
        <v>6.78</v>
      </c>
      <c r="P421">
        <v>3587.001</v>
      </c>
      <c r="Q421" s="1">
        <f>(O421-L421)/L421</f>
        <v>0.0089285714285715</v>
      </c>
      <c r="R421" s="1">
        <f>(P421-M421)/M421</f>
        <v>-0.00537132608616073</v>
      </c>
      <c r="S421" t="s">
        <v>1980</v>
      </c>
      <c r="T421">
        <v>6.75</v>
      </c>
      <c r="U421">
        <v>3521.256</v>
      </c>
      <c r="V421" s="1">
        <f>(T421-O421)/O421</f>
        <v>-0.00442477876106198</v>
      </c>
      <c r="W421" s="1">
        <f>(U421-P421)/P421</f>
        <v>-0.0183286818152547</v>
      </c>
      <c r="X421" t="s">
        <v>2069</v>
      </c>
      <c r="Y421">
        <v>6.04</v>
      </c>
      <c r="Z421">
        <v>3063.965</v>
      </c>
      <c r="AA421" s="2">
        <f>(Y421-T421)/T421</f>
        <v>-0.105185185185185</v>
      </c>
      <c r="AB421" s="2">
        <f>(Z421-U421)/U421</f>
        <v>-0.129865877402836</v>
      </c>
      <c r="AC421" t="s">
        <v>1832</v>
      </c>
      <c r="AD421">
        <v>5.96</v>
      </c>
      <c r="AE421">
        <v>3251.85</v>
      </c>
      <c r="AF421" s="2">
        <f t="shared" si="41"/>
        <v>-0.0132450331125828</v>
      </c>
      <c r="AG421" s="2">
        <f t="shared" si="42"/>
        <v>0.0613208701796528</v>
      </c>
      <c r="AH421" t="s">
        <v>2074</v>
      </c>
      <c r="AI421" t="s">
        <v>915</v>
      </c>
      <c r="AJ421" t="s">
        <v>625</v>
      </c>
    </row>
    <row r="422" spans="1:36">
      <c r="A422">
        <v>123140</v>
      </c>
      <c r="B422" t="s">
        <v>2079</v>
      </c>
      <c r="C422">
        <v>300743</v>
      </c>
      <c r="D422" t="s">
        <v>2080</v>
      </c>
      <c r="E422" t="s">
        <v>2081</v>
      </c>
      <c r="F422" t="s">
        <v>41</v>
      </c>
      <c r="G422" t="s">
        <v>1343</v>
      </c>
      <c r="H422" t="s">
        <v>621</v>
      </c>
      <c r="I422" t="s">
        <v>255</v>
      </c>
      <c r="J422" t="s">
        <v>255</v>
      </c>
      <c r="K422" t="s">
        <v>2082</v>
      </c>
      <c r="L422">
        <v>12.55</v>
      </c>
      <c r="M422">
        <v>3477.132</v>
      </c>
      <c r="N422" t="s">
        <v>2083</v>
      </c>
      <c r="O422">
        <v>8.79</v>
      </c>
      <c r="P422">
        <v>3491.568</v>
      </c>
      <c r="Q422" s="1">
        <f>(O422-L422)/L422</f>
        <v>-0.299601593625498</v>
      </c>
      <c r="R422" s="1">
        <f>(P422-M422)/M422</f>
        <v>0.00415169743340205</v>
      </c>
      <c r="S422" t="s">
        <v>2084</v>
      </c>
      <c r="T422">
        <v>10</v>
      </c>
      <c r="U422">
        <v>3619.189</v>
      </c>
      <c r="V422" s="1">
        <f>(T422-O422)/O422</f>
        <v>0.137656427758817</v>
      </c>
      <c r="W422" s="1">
        <f>(U422-P422)/P422</f>
        <v>0.0365511999193485</v>
      </c>
      <c r="X422" t="s">
        <v>1343</v>
      </c>
      <c r="Y422">
        <v>10.57</v>
      </c>
      <c r="Z422">
        <v>3223.533</v>
      </c>
      <c r="AA422" s="2">
        <f>(Y422-T422)/T422</f>
        <v>0.057</v>
      </c>
      <c r="AB422" s="2">
        <f>(Z422-U422)/U422</f>
        <v>-0.10932172926034</v>
      </c>
      <c r="AC422" t="s">
        <v>2036</v>
      </c>
      <c r="AD422">
        <v>11.98</v>
      </c>
      <c r="AE422">
        <v>3266.596</v>
      </c>
      <c r="AF422" s="2">
        <f t="shared" si="41"/>
        <v>0.133396404919584</v>
      </c>
      <c r="AG422" s="2">
        <f t="shared" si="42"/>
        <v>0.0133589449836562</v>
      </c>
      <c r="AH422" t="s">
        <v>2085</v>
      </c>
      <c r="AI422" t="s">
        <v>2086</v>
      </c>
      <c r="AJ422" t="s">
        <v>625</v>
      </c>
    </row>
    <row r="423" spans="1:36">
      <c r="A423">
        <v>123139</v>
      </c>
      <c r="B423" t="s">
        <v>2087</v>
      </c>
      <c r="C423">
        <v>300811</v>
      </c>
      <c r="D423" t="s">
        <v>2088</v>
      </c>
      <c r="E423" t="s">
        <v>1193</v>
      </c>
      <c r="F423" t="s">
        <v>41</v>
      </c>
      <c r="G423" t="s">
        <v>1708</v>
      </c>
      <c r="H423" t="s">
        <v>621</v>
      </c>
      <c r="I423" t="s">
        <v>255</v>
      </c>
      <c r="J423" t="s">
        <v>255</v>
      </c>
      <c r="K423" t="s">
        <v>2089</v>
      </c>
      <c r="L423">
        <v>30.39</v>
      </c>
      <c r="M423">
        <v>3494.635</v>
      </c>
      <c r="N423" t="s">
        <v>2090</v>
      </c>
      <c r="O423">
        <v>43.57</v>
      </c>
      <c r="P423">
        <v>3632.364</v>
      </c>
      <c r="Q423" s="1">
        <f>(O423-L423)/L423</f>
        <v>0.433695294504771</v>
      </c>
      <c r="R423" s="1">
        <f>(P423-M423)/M423</f>
        <v>0.0394115551409517</v>
      </c>
      <c r="S423" t="s">
        <v>1727</v>
      </c>
      <c r="T423">
        <v>30.42</v>
      </c>
      <c r="U423">
        <v>3452.629</v>
      </c>
      <c r="V423" s="1">
        <f>(T423-O423)/O423</f>
        <v>-0.301813174202433</v>
      </c>
      <c r="W423" s="1">
        <f>(U423-P423)/P423</f>
        <v>-0.0494815497565773</v>
      </c>
      <c r="X423" t="s">
        <v>1708</v>
      </c>
      <c r="Y423">
        <v>28.47</v>
      </c>
      <c r="Z423">
        <v>3309.747</v>
      </c>
      <c r="AA423" s="2">
        <f>(Y423-T423)/T423</f>
        <v>-0.0641025641025642</v>
      </c>
      <c r="AB423" s="2">
        <f>(Z423-U423)/U423</f>
        <v>-0.0413835370090444</v>
      </c>
      <c r="AC423" t="s">
        <v>239</v>
      </c>
      <c r="AD423">
        <v>29.38</v>
      </c>
      <c r="AE423">
        <v>3252.203</v>
      </c>
      <c r="AF423" s="2">
        <f t="shared" si="41"/>
        <v>0.0319634703196347</v>
      </c>
      <c r="AG423" s="2">
        <f t="shared" si="42"/>
        <v>-0.0173862231765751</v>
      </c>
      <c r="AH423" t="s">
        <v>2091</v>
      </c>
      <c r="AI423" t="s">
        <v>1353</v>
      </c>
      <c r="AJ423" t="s">
        <v>625</v>
      </c>
    </row>
    <row r="424" hidden="1" spans="1:36">
      <c r="A424">
        <v>111003</v>
      </c>
      <c r="B424" t="s">
        <v>2092</v>
      </c>
      <c r="C424">
        <v>605166</v>
      </c>
      <c r="D424" t="s">
        <v>755</v>
      </c>
      <c r="E424" t="s">
        <v>2093</v>
      </c>
      <c r="F424" t="s">
        <v>56</v>
      </c>
      <c r="G424" t="s">
        <v>2094</v>
      </c>
      <c r="H424" t="s">
        <v>33</v>
      </c>
      <c r="I424" t="s">
        <v>255</v>
      </c>
      <c r="J424" t="s">
        <v>255</v>
      </c>
      <c r="K424" t="s">
        <v>255</v>
      </c>
      <c r="L424" t="s">
        <v>41</v>
      </c>
      <c r="M424" t="s">
        <v>41</v>
      </c>
      <c r="N424" t="s">
        <v>255</v>
      </c>
      <c r="O424" t="s">
        <v>41</v>
      </c>
      <c r="P424" t="s">
        <v>41</v>
      </c>
      <c r="Q424" s="2"/>
      <c r="R424" s="2"/>
      <c r="S424" t="s">
        <v>255</v>
      </c>
      <c r="T424" t="s">
        <v>41</v>
      </c>
      <c r="U424" t="s">
        <v>41</v>
      </c>
      <c r="V424" s="2"/>
      <c r="W424" s="2"/>
      <c r="X424" t="s">
        <v>2094</v>
      </c>
      <c r="Y424">
        <v>12.88</v>
      </c>
      <c r="Z424">
        <v>3372.855</v>
      </c>
      <c r="AA424" s="2"/>
      <c r="AB424" s="2"/>
      <c r="AC424" t="s">
        <v>2010</v>
      </c>
      <c r="AD424">
        <v>11.26</v>
      </c>
      <c r="AE424">
        <v>3194.029</v>
      </c>
      <c r="AF424" s="2">
        <f t="shared" si="41"/>
        <v>-0.125776397515528</v>
      </c>
      <c r="AG424" s="2">
        <f t="shared" si="42"/>
        <v>-0.0530191781146833</v>
      </c>
      <c r="AH424" t="s">
        <v>2095</v>
      </c>
      <c r="AI424" t="s">
        <v>41</v>
      </c>
      <c r="AJ424" t="s">
        <v>41</v>
      </c>
    </row>
    <row r="425" hidden="1" spans="1:36">
      <c r="A425">
        <v>127057</v>
      </c>
      <c r="B425" t="s">
        <v>2096</v>
      </c>
      <c r="C425">
        <v>2864</v>
      </c>
      <c r="D425" t="s">
        <v>2097</v>
      </c>
      <c r="E425" t="s">
        <v>2098</v>
      </c>
      <c r="F425" t="s">
        <v>41</v>
      </c>
      <c r="G425" t="s">
        <v>2099</v>
      </c>
      <c r="H425" t="s">
        <v>621</v>
      </c>
      <c r="I425" t="s">
        <v>255</v>
      </c>
      <c r="J425" t="s">
        <v>255</v>
      </c>
      <c r="K425" t="s">
        <v>255</v>
      </c>
      <c r="L425" t="s">
        <v>41</v>
      </c>
      <c r="M425" t="s">
        <v>41</v>
      </c>
      <c r="N425" t="s">
        <v>255</v>
      </c>
      <c r="O425" t="s">
        <v>41</v>
      </c>
      <c r="P425" t="s">
        <v>41</v>
      </c>
      <c r="Q425" s="2"/>
      <c r="R425" s="2"/>
      <c r="S425" t="s">
        <v>255</v>
      </c>
      <c r="T425" t="s">
        <v>41</v>
      </c>
      <c r="U425" t="s">
        <v>41</v>
      </c>
      <c r="V425" s="2"/>
      <c r="W425" s="2"/>
      <c r="X425" t="s">
        <v>2099</v>
      </c>
      <c r="Y425">
        <v>27.39</v>
      </c>
      <c r="Z425">
        <v>3481.113</v>
      </c>
      <c r="AA425" s="2"/>
      <c r="AB425" s="2"/>
      <c r="AC425" t="s">
        <v>1832</v>
      </c>
      <c r="AD425">
        <v>59.8</v>
      </c>
      <c r="AE425">
        <v>3251.85</v>
      </c>
      <c r="AF425" s="2">
        <f t="shared" si="41"/>
        <v>1.18327856882074</v>
      </c>
      <c r="AG425" s="2">
        <f t="shared" si="42"/>
        <v>-0.0658591088539786</v>
      </c>
      <c r="AH425" t="s">
        <v>2100</v>
      </c>
      <c r="AI425" t="s">
        <v>77</v>
      </c>
      <c r="AJ425" t="s">
        <v>625</v>
      </c>
    </row>
    <row r="426" hidden="1" spans="1:36">
      <c r="A426">
        <v>113055</v>
      </c>
      <c r="B426" t="s">
        <v>2101</v>
      </c>
      <c r="C426">
        <v>601838</v>
      </c>
      <c r="D426" t="s">
        <v>2102</v>
      </c>
      <c r="E426" t="s">
        <v>200</v>
      </c>
      <c r="F426" t="s">
        <v>41</v>
      </c>
      <c r="G426" t="s">
        <v>2099</v>
      </c>
      <c r="H426" t="s">
        <v>621</v>
      </c>
      <c r="I426" t="s">
        <v>255</v>
      </c>
      <c r="J426" t="s">
        <v>255</v>
      </c>
      <c r="K426" t="s">
        <v>255</v>
      </c>
      <c r="L426" t="s">
        <v>41</v>
      </c>
      <c r="M426" t="s">
        <v>41</v>
      </c>
      <c r="N426" t="s">
        <v>255</v>
      </c>
      <c r="O426" t="s">
        <v>41</v>
      </c>
      <c r="P426" t="s">
        <v>41</v>
      </c>
      <c r="Q426" s="2"/>
      <c r="R426" s="2"/>
      <c r="S426" t="s">
        <v>255</v>
      </c>
      <c r="T426" t="s">
        <v>41</v>
      </c>
      <c r="U426" t="s">
        <v>41</v>
      </c>
      <c r="V426" s="2"/>
      <c r="W426" s="2"/>
      <c r="X426" t="s">
        <v>2099</v>
      </c>
      <c r="Y426">
        <v>11.51</v>
      </c>
      <c r="Z426">
        <v>3481.113</v>
      </c>
      <c r="AA426" s="2"/>
      <c r="AB426" s="2"/>
      <c r="AC426" t="s">
        <v>2103</v>
      </c>
      <c r="AD426">
        <v>12.61</v>
      </c>
      <c r="AE426">
        <v>3283.426</v>
      </c>
      <c r="AF426" s="2">
        <f t="shared" si="41"/>
        <v>0.0955690703735882</v>
      </c>
      <c r="AG426" s="2">
        <f t="shared" si="42"/>
        <v>-0.056788446683575</v>
      </c>
      <c r="AH426" t="s">
        <v>2100</v>
      </c>
      <c r="AI426" t="s">
        <v>518</v>
      </c>
      <c r="AJ426" t="s">
        <v>625</v>
      </c>
    </row>
    <row r="427" spans="1:36">
      <c r="A427">
        <v>123138</v>
      </c>
      <c r="B427" t="s">
        <v>2104</v>
      </c>
      <c r="C427">
        <v>300556</v>
      </c>
      <c r="D427" t="s">
        <v>2105</v>
      </c>
      <c r="E427" t="s">
        <v>2106</v>
      </c>
      <c r="F427" t="s">
        <v>708</v>
      </c>
      <c r="G427" t="s">
        <v>1919</v>
      </c>
      <c r="H427" t="s">
        <v>33</v>
      </c>
      <c r="I427" t="s">
        <v>255</v>
      </c>
      <c r="J427" t="s">
        <v>255</v>
      </c>
      <c r="K427" t="s">
        <v>2107</v>
      </c>
      <c r="L427">
        <v>16.63</v>
      </c>
      <c r="M427">
        <v>3479.626</v>
      </c>
      <c r="N427" t="s">
        <v>2108</v>
      </c>
      <c r="O427">
        <v>19.55</v>
      </c>
      <c r="P427">
        <v>3524.737</v>
      </c>
      <c r="Q427" s="1">
        <f>(O427-L427)/L427</f>
        <v>0.175586289837643</v>
      </c>
      <c r="R427" s="1">
        <f>(P427-M427)/M427</f>
        <v>0.0129643243268098</v>
      </c>
      <c r="S427" t="s">
        <v>2109</v>
      </c>
      <c r="T427">
        <v>28.05</v>
      </c>
      <c r="U427">
        <v>3666.348</v>
      </c>
      <c r="V427" s="1">
        <f>(T427-O427)/O427</f>
        <v>0.434782608695652</v>
      </c>
      <c r="W427" s="1">
        <f>(U427-P427)/P427</f>
        <v>0.0401763308865314</v>
      </c>
      <c r="X427" t="s">
        <v>1919</v>
      </c>
      <c r="Y427">
        <v>24.64</v>
      </c>
      <c r="Z427">
        <v>3484.192</v>
      </c>
      <c r="AA427" s="2">
        <f>(Y427-T427)/T427</f>
        <v>-0.12156862745098</v>
      </c>
      <c r="AB427" s="2">
        <f>(Z427-U427)/U427</f>
        <v>-0.0496832270150024</v>
      </c>
      <c r="AC427" t="s">
        <v>1793</v>
      </c>
      <c r="AD427">
        <v>29.56</v>
      </c>
      <c r="AE427">
        <v>3259.862</v>
      </c>
      <c r="AF427" s="2">
        <f t="shared" si="41"/>
        <v>0.199675324675325</v>
      </c>
      <c r="AG427" s="2">
        <f t="shared" si="42"/>
        <v>-0.0643850855521165</v>
      </c>
      <c r="AH427" t="s">
        <v>2110</v>
      </c>
      <c r="AI427" t="s">
        <v>41</v>
      </c>
      <c r="AJ427" t="s">
        <v>41</v>
      </c>
    </row>
    <row r="428" hidden="1" spans="1:36">
      <c r="A428">
        <v>113642</v>
      </c>
      <c r="B428" t="s">
        <v>2111</v>
      </c>
      <c r="C428">
        <v>603185</v>
      </c>
      <c r="D428" t="s">
        <v>2112</v>
      </c>
      <c r="E428" t="s">
        <v>2113</v>
      </c>
      <c r="F428" t="s">
        <v>41</v>
      </c>
      <c r="G428" t="s">
        <v>2114</v>
      </c>
      <c r="H428" t="s">
        <v>621</v>
      </c>
      <c r="I428" t="s">
        <v>255</v>
      </c>
      <c r="J428" t="s">
        <v>255</v>
      </c>
      <c r="K428" t="s">
        <v>255</v>
      </c>
      <c r="L428" t="s">
        <v>41</v>
      </c>
      <c r="M428" t="s">
        <v>41</v>
      </c>
      <c r="N428" t="s">
        <v>255</v>
      </c>
      <c r="O428" t="s">
        <v>41</v>
      </c>
      <c r="P428" t="s">
        <v>41</v>
      </c>
      <c r="Q428" s="2"/>
      <c r="R428" s="2"/>
      <c r="S428" t="s">
        <v>255</v>
      </c>
      <c r="T428" t="s">
        <v>41</v>
      </c>
      <c r="U428" t="s">
        <v>41</v>
      </c>
      <c r="V428" s="2"/>
      <c r="W428" s="2"/>
      <c r="X428" t="s">
        <v>2114</v>
      </c>
      <c r="Y428">
        <v>81.19</v>
      </c>
      <c r="Z428">
        <v>3488.835</v>
      </c>
      <c r="AA428" s="2"/>
      <c r="AB428" s="2"/>
      <c r="AC428" t="s">
        <v>2103</v>
      </c>
      <c r="AD428">
        <v>64.62</v>
      </c>
      <c r="AE428">
        <v>3283.426</v>
      </c>
      <c r="AF428" s="2">
        <f t="shared" si="41"/>
        <v>-0.20408917354354</v>
      </c>
      <c r="AG428" s="2">
        <f t="shared" si="42"/>
        <v>-0.0588761004748004</v>
      </c>
      <c r="AH428" t="s">
        <v>2115</v>
      </c>
      <c r="AI428" t="s">
        <v>1243</v>
      </c>
      <c r="AJ428" t="s">
        <v>625</v>
      </c>
    </row>
    <row r="429" hidden="1" spans="1:36">
      <c r="A429">
        <v>127056</v>
      </c>
      <c r="B429" t="s">
        <v>2116</v>
      </c>
      <c r="C429">
        <v>708</v>
      </c>
      <c r="D429" t="s">
        <v>2117</v>
      </c>
      <c r="E429" t="s">
        <v>237</v>
      </c>
      <c r="F429" t="s">
        <v>444</v>
      </c>
      <c r="G429" t="s">
        <v>2118</v>
      </c>
      <c r="H429" t="s">
        <v>33</v>
      </c>
      <c r="I429" t="s">
        <v>255</v>
      </c>
      <c r="J429" t="s">
        <v>255</v>
      </c>
      <c r="K429" t="s">
        <v>255</v>
      </c>
      <c r="L429" t="s">
        <v>41</v>
      </c>
      <c r="M429" t="s">
        <v>41</v>
      </c>
      <c r="N429" t="s">
        <v>255</v>
      </c>
      <c r="O429" t="s">
        <v>41</v>
      </c>
      <c r="P429" t="s">
        <v>41</v>
      </c>
      <c r="Q429" s="2"/>
      <c r="R429" s="2"/>
      <c r="S429" t="s">
        <v>255</v>
      </c>
      <c r="T429" t="s">
        <v>41</v>
      </c>
      <c r="U429" t="s">
        <v>41</v>
      </c>
      <c r="V429" s="2"/>
      <c r="W429" s="2"/>
      <c r="X429" t="s">
        <v>2118</v>
      </c>
      <c r="Y429">
        <v>19.96</v>
      </c>
      <c r="Z429">
        <v>3451.406</v>
      </c>
      <c r="AA429" s="2"/>
      <c r="AB429" s="2"/>
      <c r="AC429" t="s">
        <v>1712</v>
      </c>
      <c r="AD429">
        <v>17.75</v>
      </c>
      <c r="AE429">
        <v>3211.245</v>
      </c>
      <c r="AF429" s="2">
        <f t="shared" si="41"/>
        <v>-0.110721442885772</v>
      </c>
      <c r="AG429" s="2">
        <f t="shared" si="42"/>
        <v>-0.069583526249882</v>
      </c>
      <c r="AH429" t="s">
        <v>2119</v>
      </c>
      <c r="AI429" t="s">
        <v>41</v>
      </c>
      <c r="AJ429" t="s">
        <v>41</v>
      </c>
    </row>
    <row r="430" hidden="1" spans="1:36">
      <c r="A430">
        <v>113054</v>
      </c>
      <c r="B430" t="s">
        <v>2120</v>
      </c>
      <c r="C430">
        <v>601330</v>
      </c>
      <c r="D430" t="s">
        <v>2121</v>
      </c>
      <c r="E430" t="s">
        <v>2122</v>
      </c>
      <c r="F430" t="s">
        <v>98</v>
      </c>
      <c r="G430" t="s">
        <v>2118</v>
      </c>
      <c r="H430" t="s">
        <v>33</v>
      </c>
      <c r="I430" t="s">
        <v>255</v>
      </c>
      <c r="J430" t="s">
        <v>255</v>
      </c>
      <c r="K430" t="s">
        <v>255</v>
      </c>
      <c r="L430" t="s">
        <v>41</v>
      </c>
      <c r="M430" t="s">
        <v>41</v>
      </c>
      <c r="N430" t="s">
        <v>255</v>
      </c>
      <c r="O430" t="s">
        <v>41</v>
      </c>
      <c r="P430" t="s">
        <v>41</v>
      </c>
      <c r="Q430" s="2"/>
      <c r="R430" s="2"/>
      <c r="S430" t="s">
        <v>255</v>
      </c>
      <c r="T430" t="s">
        <v>41</v>
      </c>
      <c r="U430" t="s">
        <v>41</v>
      </c>
      <c r="V430" s="2"/>
      <c r="W430" s="2"/>
      <c r="X430" t="s">
        <v>2118</v>
      </c>
      <c r="Y430">
        <v>8.82</v>
      </c>
      <c r="Z430">
        <v>3451.406</v>
      </c>
      <c r="AA430" s="2"/>
      <c r="AB430" s="2"/>
      <c r="AC430" t="s">
        <v>1934</v>
      </c>
      <c r="AD430">
        <v>8.02</v>
      </c>
      <c r="AE430">
        <v>3271.033</v>
      </c>
      <c r="AF430" s="2">
        <f t="shared" si="41"/>
        <v>-0.0907029478458051</v>
      </c>
      <c r="AG430" s="2">
        <f t="shared" si="42"/>
        <v>-0.0522607308441835</v>
      </c>
      <c r="AH430" t="s">
        <v>2119</v>
      </c>
      <c r="AI430" t="s">
        <v>41</v>
      </c>
      <c r="AJ430" t="s">
        <v>41</v>
      </c>
    </row>
    <row r="431" hidden="1" spans="1:36">
      <c r="A431">
        <v>110085</v>
      </c>
      <c r="B431" t="s">
        <v>2123</v>
      </c>
      <c r="C431">
        <v>600438</v>
      </c>
      <c r="D431" t="s">
        <v>2124</v>
      </c>
      <c r="E431" t="s">
        <v>2125</v>
      </c>
      <c r="F431" t="s">
        <v>444</v>
      </c>
      <c r="G431" t="s">
        <v>2126</v>
      </c>
      <c r="H431" t="s">
        <v>33</v>
      </c>
      <c r="I431" t="s">
        <v>255</v>
      </c>
      <c r="J431" t="s">
        <v>255</v>
      </c>
      <c r="K431" t="s">
        <v>255</v>
      </c>
      <c r="L431" t="s">
        <v>41</v>
      </c>
      <c r="M431" t="s">
        <v>41</v>
      </c>
      <c r="N431" t="s">
        <v>255</v>
      </c>
      <c r="O431" t="s">
        <v>41</v>
      </c>
      <c r="P431" t="s">
        <v>41</v>
      </c>
      <c r="Q431" s="2"/>
      <c r="R431" s="2"/>
      <c r="S431" t="s">
        <v>255</v>
      </c>
      <c r="T431" t="s">
        <v>41</v>
      </c>
      <c r="U431" t="s">
        <v>41</v>
      </c>
      <c r="V431" s="2"/>
      <c r="W431" s="2"/>
      <c r="X431" t="s">
        <v>2126</v>
      </c>
      <c r="Y431">
        <v>37.45</v>
      </c>
      <c r="Z431">
        <v>3429.956</v>
      </c>
      <c r="AA431" s="2"/>
      <c r="AB431" s="2"/>
      <c r="AC431" t="s">
        <v>1659</v>
      </c>
      <c r="AD431">
        <v>39.63</v>
      </c>
      <c r="AE431">
        <v>3251.072</v>
      </c>
      <c r="AF431" s="2">
        <f t="shared" si="41"/>
        <v>0.0582109479305741</v>
      </c>
      <c r="AG431" s="2">
        <f t="shared" si="42"/>
        <v>-0.0521534387030038</v>
      </c>
      <c r="AH431" t="s">
        <v>2127</v>
      </c>
      <c r="AI431" t="s">
        <v>41</v>
      </c>
      <c r="AJ431" t="s">
        <v>41</v>
      </c>
    </row>
    <row r="432" hidden="1" spans="1:36">
      <c r="A432">
        <v>113641</v>
      </c>
      <c r="B432" t="s">
        <v>2128</v>
      </c>
      <c r="C432">
        <v>603799</v>
      </c>
      <c r="D432" t="s">
        <v>2129</v>
      </c>
      <c r="E432" t="s">
        <v>2130</v>
      </c>
      <c r="F432" t="s">
        <v>41</v>
      </c>
      <c r="G432" t="s">
        <v>2126</v>
      </c>
      <c r="H432" t="s">
        <v>621</v>
      </c>
      <c r="I432" t="s">
        <v>255</v>
      </c>
      <c r="J432" t="s">
        <v>255</v>
      </c>
      <c r="K432" t="s">
        <v>255</v>
      </c>
      <c r="L432" t="s">
        <v>41</v>
      </c>
      <c r="M432" t="s">
        <v>41</v>
      </c>
      <c r="N432" t="s">
        <v>255</v>
      </c>
      <c r="O432" t="s">
        <v>41</v>
      </c>
      <c r="P432" t="s">
        <v>41</v>
      </c>
      <c r="Q432" s="2"/>
      <c r="R432" s="2"/>
      <c r="S432" t="s">
        <v>255</v>
      </c>
      <c r="T432" t="s">
        <v>41</v>
      </c>
      <c r="U432" t="s">
        <v>41</v>
      </c>
      <c r="V432" s="2"/>
      <c r="W432" s="2"/>
      <c r="X432" t="s">
        <v>2126</v>
      </c>
      <c r="Y432">
        <v>85.33</v>
      </c>
      <c r="Z432">
        <v>3429.956</v>
      </c>
      <c r="AA432" s="2"/>
      <c r="AB432" s="2"/>
      <c r="AC432" t="s">
        <v>1934</v>
      </c>
      <c r="AD432">
        <v>76.12</v>
      </c>
      <c r="AE432">
        <v>3271.033</v>
      </c>
      <c r="AF432" s="2">
        <f t="shared" si="41"/>
        <v>-0.107933903668112</v>
      </c>
      <c r="AG432" s="2">
        <f t="shared" si="42"/>
        <v>-0.0463338305214412</v>
      </c>
      <c r="AH432" t="s">
        <v>2127</v>
      </c>
      <c r="AI432" t="s">
        <v>162</v>
      </c>
      <c r="AJ432" t="s">
        <v>625</v>
      </c>
    </row>
    <row r="433" hidden="1" spans="1:36">
      <c r="A433">
        <v>127055</v>
      </c>
      <c r="B433" t="s">
        <v>2131</v>
      </c>
      <c r="C433">
        <v>2989</v>
      </c>
      <c r="D433" t="s">
        <v>2132</v>
      </c>
      <c r="E433" t="s">
        <v>816</v>
      </c>
      <c r="F433" t="s">
        <v>56</v>
      </c>
      <c r="G433" t="s">
        <v>1927</v>
      </c>
      <c r="H433" t="s">
        <v>33</v>
      </c>
      <c r="I433" t="s">
        <v>255</v>
      </c>
      <c r="J433" t="s">
        <v>255</v>
      </c>
      <c r="K433" t="s">
        <v>255</v>
      </c>
      <c r="L433" t="s">
        <v>41</v>
      </c>
      <c r="M433" t="s">
        <v>41</v>
      </c>
      <c r="N433" t="s">
        <v>255</v>
      </c>
      <c r="O433" t="s">
        <v>41</v>
      </c>
      <c r="P433" t="s">
        <v>41</v>
      </c>
      <c r="Q433" s="2"/>
      <c r="R433" s="2"/>
      <c r="S433" t="s">
        <v>255</v>
      </c>
      <c r="T433" t="s">
        <v>41</v>
      </c>
      <c r="U433" t="s">
        <v>41</v>
      </c>
      <c r="V433" s="2"/>
      <c r="W433" s="2"/>
      <c r="X433" t="s">
        <v>1927</v>
      </c>
      <c r="Y433">
        <v>16.95</v>
      </c>
      <c r="Z433">
        <v>3457.146</v>
      </c>
      <c r="AA433" s="2"/>
      <c r="AB433" s="2"/>
      <c r="AC433" t="s">
        <v>2046</v>
      </c>
      <c r="AD433">
        <v>15.24</v>
      </c>
      <c r="AE433">
        <v>3250.264</v>
      </c>
      <c r="AF433" s="2">
        <f t="shared" si="41"/>
        <v>-0.100884955752212</v>
      </c>
      <c r="AG433" s="2">
        <f t="shared" si="42"/>
        <v>-0.0598418464247677</v>
      </c>
      <c r="AH433" t="s">
        <v>2133</v>
      </c>
      <c r="AI433" t="s">
        <v>41</v>
      </c>
      <c r="AJ433" t="s">
        <v>41</v>
      </c>
    </row>
    <row r="434" hidden="1" spans="1:36">
      <c r="A434">
        <v>113640</v>
      </c>
      <c r="B434" t="s">
        <v>2134</v>
      </c>
      <c r="C434">
        <v>603585</v>
      </c>
      <c r="D434" t="s">
        <v>2135</v>
      </c>
      <c r="E434" t="s">
        <v>2136</v>
      </c>
      <c r="F434" t="s">
        <v>56</v>
      </c>
      <c r="G434" t="s">
        <v>2137</v>
      </c>
      <c r="H434" t="s">
        <v>33</v>
      </c>
      <c r="I434" t="s">
        <v>255</v>
      </c>
      <c r="J434" t="s">
        <v>255</v>
      </c>
      <c r="K434" t="s">
        <v>255</v>
      </c>
      <c r="L434" t="s">
        <v>41</v>
      </c>
      <c r="M434" t="s">
        <v>41</v>
      </c>
      <c r="N434" t="s">
        <v>255</v>
      </c>
      <c r="O434" t="s">
        <v>41</v>
      </c>
      <c r="P434" t="s">
        <v>41</v>
      </c>
      <c r="Q434" s="2"/>
      <c r="R434" s="2"/>
      <c r="S434" t="s">
        <v>255</v>
      </c>
      <c r="T434" t="s">
        <v>41</v>
      </c>
      <c r="U434" t="s">
        <v>41</v>
      </c>
      <c r="V434" s="2"/>
      <c r="W434" s="2"/>
      <c r="X434" t="s">
        <v>2137</v>
      </c>
      <c r="Y434">
        <v>17.41</v>
      </c>
      <c r="Z434">
        <v>3465.831</v>
      </c>
      <c r="AA434" s="2"/>
      <c r="AB434" s="2"/>
      <c r="AC434" t="s">
        <v>1949</v>
      </c>
      <c r="AD434">
        <v>16.55</v>
      </c>
      <c r="AE434">
        <v>3296.092</v>
      </c>
      <c r="AF434" s="2">
        <f t="shared" si="41"/>
        <v>-0.0493968983342906</v>
      </c>
      <c r="AG434" s="2">
        <f t="shared" si="42"/>
        <v>-0.0489749788723109</v>
      </c>
      <c r="AH434" t="s">
        <v>2138</v>
      </c>
      <c r="AI434" t="s">
        <v>41</v>
      </c>
      <c r="AJ434" t="s">
        <v>41</v>
      </c>
    </row>
    <row r="435" hidden="1" spans="1:36">
      <c r="A435">
        <v>127054</v>
      </c>
      <c r="B435" t="s">
        <v>2139</v>
      </c>
      <c r="C435">
        <v>2381</v>
      </c>
      <c r="D435" t="s">
        <v>2140</v>
      </c>
      <c r="E435" t="s">
        <v>2141</v>
      </c>
      <c r="F435" t="s">
        <v>397</v>
      </c>
      <c r="G435" t="s">
        <v>2142</v>
      </c>
      <c r="H435" t="s">
        <v>33</v>
      </c>
      <c r="I435" t="s">
        <v>255</v>
      </c>
      <c r="J435" t="s">
        <v>255</v>
      </c>
      <c r="K435" t="s">
        <v>255</v>
      </c>
      <c r="L435" t="s">
        <v>41</v>
      </c>
      <c r="M435" t="s">
        <v>41</v>
      </c>
      <c r="N435" t="s">
        <v>255</v>
      </c>
      <c r="O435" t="s">
        <v>41</v>
      </c>
      <c r="P435" t="s">
        <v>41</v>
      </c>
      <c r="Q435" s="2"/>
      <c r="R435" s="2"/>
      <c r="S435" t="s">
        <v>255</v>
      </c>
      <c r="T435" t="s">
        <v>41</v>
      </c>
      <c r="U435" t="s">
        <v>41</v>
      </c>
      <c r="V435" s="2"/>
      <c r="W435" s="2"/>
      <c r="X435" t="s">
        <v>2142</v>
      </c>
      <c r="Y435">
        <v>6.75</v>
      </c>
      <c r="Z435">
        <v>3462.948</v>
      </c>
      <c r="AA435" s="2"/>
      <c r="AB435" s="2"/>
      <c r="AC435" t="s">
        <v>2069</v>
      </c>
      <c r="AD435">
        <v>5.84</v>
      </c>
      <c r="AE435">
        <v>3063.965</v>
      </c>
      <c r="AF435" s="2">
        <f t="shared" si="41"/>
        <v>-0.134814814814815</v>
      </c>
      <c r="AG435" s="2">
        <f t="shared" si="42"/>
        <v>-0.115214840072678</v>
      </c>
      <c r="AH435" t="s">
        <v>2143</v>
      </c>
      <c r="AI435" t="s">
        <v>41</v>
      </c>
      <c r="AJ435" t="s">
        <v>41</v>
      </c>
    </row>
    <row r="436" hidden="1" spans="1:36">
      <c r="A436">
        <v>123137</v>
      </c>
      <c r="B436" t="s">
        <v>2144</v>
      </c>
      <c r="C436">
        <v>300763</v>
      </c>
      <c r="D436" t="s">
        <v>395</v>
      </c>
      <c r="E436" t="s">
        <v>2145</v>
      </c>
      <c r="F436" t="s">
        <v>41</v>
      </c>
      <c r="G436" t="s">
        <v>2146</v>
      </c>
      <c r="H436" t="s">
        <v>621</v>
      </c>
      <c r="I436" t="s">
        <v>255</v>
      </c>
      <c r="J436" t="s">
        <v>255</v>
      </c>
      <c r="K436" t="s">
        <v>255</v>
      </c>
      <c r="L436" t="s">
        <v>41</v>
      </c>
      <c r="M436" t="s">
        <v>41</v>
      </c>
      <c r="N436" t="s">
        <v>255</v>
      </c>
      <c r="O436" t="s">
        <v>41</v>
      </c>
      <c r="P436" t="s">
        <v>41</v>
      </c>
      <c r="Q436" s="2"/>
      <c r="R436" s="2"/>
      <c r="S436" t="s">
        <v>255</v>
      </c>
      <c r="T436" t="s">
        <v>41</v>
      </c>
      <c r="U436" t="s">
        <v>41</v>
      </c>
      <c r="V436" s="2"/>
      <c r="W436" s="2"/>
      <c r="X436" t="s">
        <v>2146</v>
      </c>
      <c r="Y436">
        <v>137.07</v>
      </c>
      <c r="Z436">
        <v>3485.907</v>
      </c>
      <c r="AA436" s="2"/>
      <c r="AB436" s="2"/>
      <c r="AC436" t="s">
        <v>1919</v>
      </c>
      <c r="AD436">
        <v>165.53</v>
      </c>
      <c r="AE436">
        <v>3484.192</v>
      </c>
      <c r="AF436" s="2">
        <f t="shared" si="41"/>
        <v>0.207631137375064</v>
      </c>
      <c r="AG436" s="2">
        <f t="shared" si="42"/>
        <v>-0.00049198099662445</v>
      </c>
      <c r="AH436" t="s">
        <v>2147</v>
      </c>
      <c r="AI436" t="s">
        <v>1541</v>
      </c>
      <c r="AJ436" t="s">
        <v>625</v>
      </c>
    </row>
    <row r="437" spans="1:36">
      <c r="A437">
        <v>118005</v>
      </c>
      <c r="B437" t="s">
        <v>2148</v>
      </c>
      <c r="C437">
        <v>688116</v>
      </c>
      <c r="D437" t="s">
        <v>2149</v>
      </c>
      <c r="E437" t="s">
        <v>529</v>
      </c>
      <c r="F437" t="s">
        <v>56</v>
      </c>
      <c r="G437" t="s">
        <v>2150</v>
      </c>
      <c r="H437" t="s">
        <v>33</v>
      </c>
      <c r="I437" t="s">
        <v>255</v>
      </c>
      <c r="J437" t="s">
        <v>255</v>
      </c>
      <c r="K437" t="s">
        <v>2151</v>
      </c>
      <c r="L437">
        <v>62.3</v>
      </c>
      <c r="M437">
        <v>3525.604</v>
      </c>
      <c r="N437" t="s">
        <v>2078</v>
      </c>
      <c r="O437">
        <v>105.48</v>
      </c>
      <c r="P437">
        <v>3587.001</v>
      </c>
      <c r="Q437" s="1">
        <f>(O437-L437)/L437</f>
        <v>0.693097913322633</v>
      </c>
      <c r="R437" s="1">
        <f>(P437-M437)/M437</f>
        <v>0.0174146047031942</v>
      </c>
      <c r="S437" t="s">
        <v>1979</v>
      </c>
      <c r="T437">
        <v>104.83</v>
      </c>
      <c r="U437">
        <v>3520.711</v>
      </c>
      <c r="V437" s="1">
        <f>(T437-O437)/O437</f>
        <v>-0.00616230565036031</v>
      </c>
      <c r="W437" s="1">
        <f>(U437-P437)/P437</f>
        <v>-0.018480619325169</v>
      </c>
      <c r="X437" t="s">
        <v>2150</v>
      </c>
      <c r="Y437">
        <v>98.56</v>
      </c>
      <c r="Z437">
        <v>3394.247</v>
      </c>
      <c r="AA437" s="2">
        <f>(Y437-T437)/T437</f>
        <v>-0.0598111227701993</v>
      </c>
      <c r="AB437" s="2">
        <f>(Z437-U437)/U437</f>
        <v>-0.0359200172919618</v>
      </c>
      <c r="AC437" t="s">
        <v>2114</v>
      </c>
      <c r="AD437">
        <v>102.55</v>
      </c>
      <c r="AE437">
        <v>3488.835</v>
      </c>
      <c r="AF437" s="2">
        <f t="shared" si="41"/>
        <v>0.0404829545454545</v>
      </c>
      <c r="AG437" s="2">
        <f t="shared" si="42"/>
        <v>0.0278671528618867</v>
      </c>
      <c r="AH437" t="s">
        <v>2152</v>
      </c>
      <c r="AI437" t="s">
        <v>41</v>
      </c>
      <c r="AJ437" t="s">
        <v>41</v>
      </c>
    </row>
    <row r="438" hidden="1" spans="1:36">
      <c r="A438">
        <v>127053</v>
      </c>
      <c r="B438" t="s">
        <v>2153</v>
      </c>
      <c r="C438">
        <v>2988</v>
      </c>
      <c r="D438" t="s">
        <v>2154</v>
      </c>
      <c r="E438" t="s">
        <v>2155</v>
      </c>
      <c r="F438" t="s">
        <v>56</v>
      </c>
      <c r="G438" t="s">
        <v>2156</v>
      </c>
      <c r="H438" t="s">
        <v>33</v>
      </c>
      <c r="I438" t="s">
        <v>255</v>
      </c>
      <c r="J438" t="s">
        <v>255</v>
      </c>
      <c r="K438" t="s">
        <v>255</v>
      </c>
      <c r="L438" t="s">
        <v>41</v>
      </c>
      <c r="M438" t="s">
        <v>41</v>
      </c>
      <c r="N438" t="s">
        <v>255</v>
      </c>
      <c r="O438" t="s">
        <v>41</v>
      </c>
      <c r="P438" t="s">
        <v>41</v>
      </c>
      <c r="Q438" s="2"/>
      <c r="R438" s="2"/>
      <c r="S438" t="s">
        <v>255</v>
      </c>
      <c r="T438" t="s">
        <v>41</v>
      </c>
      <c r="U438" t="s">
        <v>41</v>
      </c>
      <c r="V438" s="2"/>
      <c r="W438" s="2"/>
      <c r="X438" t="s">
        <v>2156</v>
      </c>
      <c r="Y438">
        <v>17.98</v>
      </c>
      <c r="Z438">
        <v>3524.105</v>
      </c>
      <c r="AA438" s="2"/>
      <c r="AB438" s="2"/>
      <c r="AC438" t="s">
        <v>1563</v>
      </c>
      <c r="AD438">
        <v>17.24</v>
      </c>
      <c r="AE438">
        <v>3447.649</v>
      </c>
      <c r="AF438" s="2">
        <f t="shared" si="41"/>
        <v>-0.0411568409343716</v>
      </c>
      <c r="AG438" s="2">
        <f t="shared" si="42"/>
        <v>-0.0216951538050087</v>
      </c>
      <c r="AH438" t="s">
        <v>2157</v>
      </c>
      <c r="AI438" t="s">
        <v>41</v>
      </c>
      <c r="AJ438" t="s">
        <v>41</v>
      </c>
    </row>
    <row r="439" hidden="1" spans="1:36">
      <c r="A439">
        <v>113639</v>
      </c>
      <c r="B439" t="s">
        <v>2158</v>
      </c>
      <c r="C439">
        <v>603186</v>
      </c>
      <c r="D439" t="s">
        <v>2159</v>
      </c>
      <c r="E439" t="s">
        <v>1135</v>
      </c>
      <c r="F439" t="s">
        <v>98</v>
      </c>
      <c r="G439" t="s">
        <v>2156</v>
      </c>
      <c r="H439" t="s">
        <v>33</v>
      </c>
      <c r="I439" t="s">
        <v>255</v>
      </c>
      <c r="J439" t="s">
        <v>255</v>
      </c>
      <c r="K439" t="s">
        <v>255</v>
      </c>
      <c r="L439" t="s">
        <v>41</v>
      </c>
      <c r="M439" t="s">
        <v>41</v>
      </c>
      <c r="N439" t="s">
        <v>255</v>
      </c>
      <c r="O439" t="s">
        <v>41</v>
      </c>
      <c r="P439" t="s">
        <v>41</v>
      </c>
      <c r="Q439" s="2"/>
      <c r="R439" s="2"/>
      <c r="S439" t="s">
        <v>255</v>
      </c>
      <c r="T439" t="s">
        <v>41</v>
      </c>
      <c r="U439" t="s">
        <v>41</v>
      </c>
      <c r="V439" s="2"/>
      <c r="W439" s="2"/>
      <c r="X439" t="s">
        <v>2156</v>
      </c>
      <c r="Y439">
        <v>34.51</v>
      </c>
      <c r="Z439">
        <v>3524.105</v>
      </c>
      <c r="AA439" s="2"/>
      <c r="AB439" s="2"/>
      <c r="AC439" t="s">
        <v>1927</v>
      </c>
      <c r="AD439">
        <v>33.19</v>
      </c>
      <c r="AE439">
        <v>3457.146</v>
      </c>
      <c r="AF439" s="2">
        <f t="shared" si="41"/>
        <v>-0.0382497826716894</v>
      </c>
      <c r="AG439" s="2">
        <f t="shared" si="42"/>
        <v>-0.01900028517879</v>
      </c>
      <c r="AH439" t="s">
        <v>2157</v>
      </c>
      <c r="AI439" t="s">
        <v>41</v>
      </c>
      <c r="AJ439" t="s">
        <v>41</v>
      </c>
    </row>
    <row r="440" spans="1:36">
      <c r="A440">
        <v>123136</v>
      </c>
      <c r="B440" t="s">
        <v>2160</v>
      </c>
      <c r="C440">
        <v>300778</v>
      </c>
      <c r="D440" t="s">
        <v>2161</v>
      </c>
      <c r="E440" t="s">
        <v>476</v>
      </c>
      <c r="F440" t="s">
        <v>41</v>
      </c>
      <c r="G440" t="s">
        <v>1904</v>
      </c>
      <c r="H440" t="s">
        <v>621</v>
      </c>
      <c r="I440" t="s">
        <v>255</v>
      </c>
      <c r="J440" t="s">
        <v>255</v>
      </c>
      <c r="K440" t="s">
        <v>2162</v>
      </c>
      <c r="L440">
        <v>19.25</v>
      </c>
      <c r="M440">
        <v>3312.501</v>
      </c>
      <c r="N440" t="s">
        <v>2163</v>
      </c>
      <c r="O440">
        <v>13.09</v>
      </c>
      <c r="P440">
        <v>3569.429</v>
      </c>
      <c r="Q440" s="1">
        <f>(O440-L440)/L440</f>
        <v>-0.32</v>
      </c>
      <c r="R440" s="1">
        <f>(P440-M440)/M440</f>
        <v>0.0775631463960312</v>
      </c>
      <c r="S440" t="s">
        <v>2164</v>
      </c>
      <c r="T440">
        <v>12.49</v>
      </c>
      <c r="U440">
        <v>3398.988</v>
      </c>
      <c r="V440" s="1">
        <f>(T440-O440)/O440</f>
        <v>-0.0458365164247517</v>
      </c>
      <c r="W440" s="1">
        <f>(U440-P440)/P440</f>
        <v>-0.0477502143900328</v>
      </c>
      <c r="X440" t="s">
        <v>1904</v>
      </c>
      <c r="Y440">
        <v>13.64</v>
      </c>
      <c r="Z440">
        <v>3522.568</v>
      </c>
      <c r="AA440" s="2">
        <f>(Y440-T440)/T440</f>
        <v>0.0920736589271417</v>
      </c>
      <c r="AB440" s="2">
        <f>(Z440-U440)/U440</f>
        <v>0.036357880639767</v>
      </c>
      <c r="AC440" t="s">
        <v>2165</v>
      </c>
      <c r="AD440">
        <v>14.38</v>
      </c>
      <c r="AE440">
        <v>3446.089</v>
      </c>
      <c r="AF440" s="2">
        <f t="shared" si="41"/>
        <v>0.0542521994134898</v>
      </c>
      <c r="AG440" s="2">
        <f t="shared" si="42"/>
        <v>-0.0217111493660308</v>
      </c>
      <c r="AH440" t="s">
        <v>2166</v>
      </c>
      <c r="AI440" t="s">
        <v>749</v>
      </c>
      <c r="AJ440" t="s">
        <v>625</v>
      </c>
    </row>
    <row r="441" hidden="1" spans="1:36">
      <c r="A441">
        <v>113053</v>
      </c>
      <c r="B441" t="s">
        <v>2167</v>
      </c>
      <c r="C441">
        <v>601012</v>
      </c>
      <c r="D441" t="s">
        <v>2168</v>
      </c>
      <c r="E441" t="s">
        <v>1953</v>
      </c>
      <c r="F441" t="s">
        <v>444</v>
      </c>
      <c r="G441" t="s">
        <v>2169</v>
      </c>
      <c r="H441" t="s">
        <v>33</v>
      </c>
      <c r="I441" t="s">
        <v>255</v>
      </c>
      <c r="J441" t="s">
        <v>255</v>
      </c>
      <c r="K441" t="s">
        <v>255</v>
      </c>
      <c r="L441" t="s">
        <v>41</v>
      </c>
      <c r="M441" t="s">
        <v>41</v>
      </c>
      <c r="N441" t="s">
        <v>255</v>
      </c>
      <c r="O441" t="s">
        <v>41</v>
      </c>
      <c r="P441" t="s">
        <v>41</v>
      </c>
      <c r="Q441" s="2"/>
      <c r="R441" s="2"/>
      <c r="S441" t="s">
        <v>255</v>
      </c>
      <c r="T441" t="s">
        <v>41</v>
      </c>
      <c r="U441" t="s">
        <v>41</v>
      </c>
      <c r="V441" s="2"/>
      <c r="W441" s="2"/>
      <c r="X441" t="s">
        <v>2169</v>
      </c>
      <c r="Y441">
        <v>57.44</v>
      </c>
      <c r="Z441">
        <v>3595.176</v>
      </c>
      <c r="AA441" s="2"/>
      <c r="AB441" s="2"/>
      <c r="AC441" t="s">
        <v>1892</v>
      </c>
      <c r="AD441">
        <v>48.89</v>
      </c>
      <c r="AE441">
        <v>3468.035</v>
      </c>
      <c r="AF441" s="2">
        <f t="shared" si="41"/>
        <v>-0.148850974930362</v>
      </c>
      <c r="AG441" s="2">
        <f t="shared" si="42"/>
        <v>-0.0353643326501957</v>
      </c>
      <c r="AH441" t="s">
        <v>2170</v>
      </c>
      <c r="AI441" t="s">
        <v>41</v>
      </c>
      <c r="AJ441" t="s">
        <v>41</v>
      </c>
    </row>
    <row r="442" spans="1:36">
      <c r="A442">
        <v>118004</v>
      </c>
      <c r="B442" t="s">
        <v>2171</v>
      </c>
      <c r="C442">
        <v>688166</v>
      </c>
      <c r="D442" t="s">
        <v>2172</v>
      </c>
      <c r="E442" t="s">
        <v>2173</v>
      </c>
      <c r="F442" t="s">
        <v>56</v>
      </c>
      <c r="G442" t="s">
        <v>2174</v>
      </c>
      <c r="H442" t="s">
        <v>33</v>
      </c>
      <c r="I442" t="s">
        <v>255</v>
      </c>
      <c r="J442" t="s">
        <v>255</v>
      </c>
      <c r="K442" t="s">
        <v>2175</v>
      </c>
      <c r="L442">
        <v>39.65</v>
      </c>
      <c r="M442">
        <v>3534.322</v>
      </c>
      <c r="N442" t="s">
        <v>2176</v>
      </c>
      <c r="O442">
        <v>28.6</v>
      </c>
      <c r="P442">
        <v>3546.936</v>
      </c>
      <c r="Q442" s="1">
        <f>(O442-L442)/L442</f>
        <v>-0.278688524590164</v>
      </c>
      <c r="R442" s="1">
        <f>(P442-M442)/M442</f>
        <v>0.00356900135301765</v>
      </c>
      <c r="S442" t="s">
        <v>2177</v>
      </c>
      <c r="T442">
        <v>31.34</v>
      </c>
      <c r="U442">
        <v>3507.002</v>
      </c>
      <c r="V442" s="1">
        <f>(T442-O442)/O442</f>
        <v>0.0958041958041957</v>
      </c>
      <c r="W442" s="1">
        <f>(U442-P442)/P442</f>
        <v>-0.0112587314797899</v>
      </c>
      <c r="X442" t="s">
        <v>2174</v>
      </c>
      <c r="Y442">
        <v>34.39</v>
      </c>
      <c r="Z442">
        <v>3632.329</v>
      </c>
      <c r="AA442" s="2">
        <f>(Y442-T442)/T442</f>
        <v>0.097319719208679</v>
      </c>
      <c r="AB442" s="2">
        <f>(Z442-U442)/U442</f>
        <v>0.0357362214221721</v>
      </c>
      <c r="AC442" t="s">
        <v>2150</v>
      </c>
      <c r="AD442">
        <v>31.69</v>
      </c>
      <c r="AE442">
        <v>3394.247</v>
      </c>
      <c r="AF442" s="2">
        <f t="shared" si="41"/>
        <v>-0.0785111951148589</v>
      </c>
      <c r="AG442" s="2">
        <f t="shared" si="42"/>
        <v>-0.0655452741202684</v>
      </c>
      <c r="AH442" t="s">
        <v>2178</v>
      </c>
      <c r="AI442" t="s">
        <v>41</v>
      </c>
      <c r="AJ442" t="s">
        <v>41</v>
      </c>
    </row>
    <row r="443" hidden="1" spans="1:36">
      <c r="A443">
        <v>113638</v>
      </c>
      <c r="B443" t="s">
        <v>2179</v>
      </c>
      <c r="C443">
        <v>603055</v>
      </c>
      <c r="D443" t="s">
        <v>2180</v>
      </c>
      <c r="E443" t="s">
        <v>1114</v>
      </c>
      <c r="F443" t="s">
        <v>397</v>
      </c>
      <c r="G443" t="s">
        <v>1526</v>
      </c>
      <c r="H443" t="s">
        <v>33</v>
      </c>
      <c r="I443" t="s">
        <v>255</v>
      </c>
      <c r="J443" t="s">
        <v>255</v>
      </c>
      <c r="K443" t="s">
        <v>255</v>
      </c>
      <c r="L443" t="s">
        <v>41</v>
      </c>
      <c r="M443" t="s">
        <v>41</v>
      </c>
      <c r="N443" t="s">
        <v>255</v>
      </c>
      <c r="O443" t="s">
        <v>41</v>
      </c>
      <c r="P443" t="s">
        <v>41</v>
      </c>
      <c r="Q443" s="2"/>
      <c r="R443" s="2"/>
      <c r="S443" t="s">
        <v>255</v>
      </c>
      <c r="T443" t="s">
        <v>41</v>
      </c>
      <c r="U443" t="s">
        <v>41</v>
      </c>
      <c r="V443" s="2"/>
      <c r="W443" s="2"/>
      <c r="X443" t="s">
        <v>1526</v>
      </c>
      <c r="Y443">
        <v>14.61</v>
      </c>
      <c r="Z443">
        <v>3597</v>
      </c>
      <c r="AA443" s="2"/>
      <c r="AB443" s="2"/>
      <c r="AC443" t="s">
        <v>1904</v>
      </c>
      <c r="AD443">
        <v>15.46</v>
      </c>
      <c r="AE443">
        <v>3522.568</v>
      </c>
      <c r="AF443" s="2">
        <f t="shared" si="41"/>
        <v>0.0581793292265573</v>
      </c>
      <c r="AG443" s="2">
        <f t="shared" si="42"/>
        <v>-0.0206927995551848</v>
      </c>
      <c r="AH443" t="s">
        <v>2181</v>
      </c>
      <c r="AI443" t="s">
        <v>41</v>
      </c>
      <c r="AJ443" t="s">
        <v>41</v>
      </c>
    </row>
    <row r="444" spans="1:36">
      <c r="A444">
        <v>123135</v>
      </c>
      <c r="B444" t="s">
        <v>2182</v>
      </c>
      <c r="C444">
        <v>300813</v>
      </c>
      <c r="D444" t="s">
        <v>2183</v>
      </c>
      <c r="E444" t="s">
        <v>984</v>
      </c>
      <c r="F444" t="s">
        <v>41</v>
      </c>
      <c r="G444" t="s">
        <v>1958</v>
      </c>
      <c r="H444" t="s">
        <v>621</v>
      </c>
      <c r="I444" t="s">
        <v>255</v>
      </c>
      <c r="J444" t="s">
        <v>255</v>
      </c>
      <c r="K444" t="s">
        <v>2184</v>
      </c>
      <c r="L444">
        <v>19.75</v>
      </c>
      <c r="M444">
        <v>3533.685</v>
      </c>
      <c r="N444" t="s">
        <v>2185</v>
      </c>
      <c r="O444">
        <v>21.24</v>
      </c>
      <c r="P444">
        <v>3608.851</v>
      </c>
      <c r="Q444" s="1">
        <f>(O444-L444)/L444</f>
        <v>0.0754430379746835</v>
      </c>
      <c r="R444" s="1">
        <f>(P444-M444)/M444</f>
        <v>0.0212712791321242</v>
      </c>
      <c r="S444" t="s">
        <v>2186</v>
      </c>
      <c r="T444">
        <v>20.86</v>
      </c>
      <c r="U444">
        <v>3518.76</v>
      </c>
      <c r="V444" s="1">
        <f>(T444-O444)/O444</f>
        <v>-0.0178907721280602</v>
      </c>
      <c r="W444" s="1">
        <f>(U444-P444)/P444</f>
        <v>-0.024963901252781</v>
      </c>
      <c r="X444" t="s">
        <v>1958</v>
      </c>
      <c r="Y444">
        <v>43.56</v>
      </c>
      <c r="Z444">
        <v>3630.112</v>
      </c>
      <c r="AA444" s="2">
        <f>(Y444-T444)/T444</f>
        <v>1.0882070949185</v>
      </c>
      <c r="AB444" s="2">
        <f>(Z444-U444)/U444</f>
        <v>0.0316452386636201</v>
      </c>
      <c r="AC444" t="s">
        <v>2187</v>
      </c>
      <c r="AD444">
        <v>40.55</v>
      </c>
      <c r="AE444">
        <v>3558.18</v>
      </c>
      <c r="AF444" s="2">
        <f t="shared" si="41"/>
        <v>-0.0691000918273647</v>
      </c>
      <c r="AG444" s="2">
        <f t="shared" si="42"/>
        <v>-0.0198153665782213</v>
      </c>
      <c r="AH444" t="s">
        <v>2188</v>
      </c>
      <c r="AI444" t="s">
        <v>517</v>
      </c>
      <c r="AJ444" t="s">
        <v>625</v>
      </c>
    </row>
    <row r="445" hidden="1" spans="1:36">
      <c r="A445">
        <v>110084</v>
      </c>
      <c r="B445" t="s">
        <v>2189</v>
      </c>
      <c r="C445">
        <v>600903</v>
      </c>
      <c r="D445" t="s">
        <v>2190</v>
      </c>
      <c r="E445" t="s">
        <v>55</v>
      </c>
      <c r="F445" t="s">
        <v>397</v>
      </c>
      <c r="G445" t="s">
        <v>1824</v>
      </c>
      <c r="H445" t="s">
        <v>33</v>
      </c>
      <c r="I445" t="s">
        <v>255</v>
      </c>
      <c r="J445" t="s">
        <v>255</v>
      </c>
      <c r="K445" t="s">
        <v>255</v>
      </c>
      <c r="L445" t="s">
        <v>41</v>
      </c>
      <c r="M445" t="s">
        <v>41</v>
      </c>
      <c r="N445" t="s">
        <v>255</v>
      </c>
      <c r="O445" t="s">
        <v>41</v>
      </c>
      <c r="P445" t="s">
        <v>41</v>
      </c>
      <c r="Q445" s="2"/>
      <c r="R445" s="2"/>
      <c r="S445" t="s">
        <v>255</v>
      </c>
      <c r="T445" t="s">
        <v>41</v>
      </c>
      <c r="U445" t="s">
        <v>41</v>
      </c>
      <c r="V445" s="2"/>
      <c r="W445" s="2"/>
      <c r="X445" t="s">
        <v>1824</v>
      </c>
      <c r="Y445">
        <v>9.7</v>
      </c>
      <c r="Z445">
        <v>3615.974</v>
      </c>
      <c r="AA445" s="2"/>
      <c r="AB445" s="2"/>
      <c r="AC445" t="s">
        <v>1866</v>
      </c>
      <c r="AD445">
        <v>9.53</v>
      </c>
      <c r="AE445">
        <v>3569.914</v>
      </c>
      <c r="AF445" s="2">
        <f t="shared" si="41"/>
        <v>-0.0175257731958763</v>
      </c>
      <c r="AG445" s="2">
        <f t="shared" si="42"/>
        <v>-0.0127379234474584</v>
      </c>
      <c r="AH445" t="s">
        <v>2191</v>
      </c>
      <c r="AI445" t="s">
        <v>41</v>
      </c>
      <c r="AJ445" t="s">
        <v>41</v>
      </c>
    </row>
    <row r="446" hidden="1" spans="1:36">
      <c r="A446">
        <v>123134</v>
      </c>
      <c r="B446" t="s">
        <v>2192</v>
      </c>
      <c r="C446">
        <v>300863</v>
      </c>
      <c r="D446" t="s">
        <v>864</v>
      </c>
      <c r="E446" t="s">
        <v>2193</v>
      </c>
      <c r="F446" t="s">
        <v>41</v>
      </c>
      <c r="G446" t="s">
        <v>1824</v>
      </c>
      <c r="H446" t="s">
        <v>621</v>
      </c>
      <c r="I446" t="s">
        <v>255</v>
      </c>
      <c r="J446" t="s">
        <v>255</v>
      </c>
      <c r="K446" t="s">
        <v>255</v>
      </c>
      <c r="L446" t="s">
        <v>41</v>
      </c>
      <c r="M446" t="s">
        <v>41</v>
      </c>
      <c r="N446" t="s">
        <v>255</v>
      </c>
      <c r="O446" t="s">
        <v>41</v>
      </c>
      <c r="P446" t="s">
        <v>41</v>
      </c>
      <c r="Q446" s="2"/>
      <c r="R446" s="2"/>
      <c r="S446" t="s">
        <v>255</v>
      </c>
      <c r="T446" t="s">
        <v>41</v>
      </c>
      <c r="U446" t="s">
        <v>41</v>
      </c>
      <c r="V446" s="2"/>
      <c r="W446" s="2"/>
      <c r="X446" t="s">
        <v>1824</v>
      </c>
      <c r="Y446">
        <v>32.67</v>
      </c>
      <c r="Z446">
        <v>3615.974</v>
      </c>
      <c r="AA446" s="2"/>
      <c r="AB446" s="2"/>
      <c r="AC446" t="s">
        <v>1866</v>
      </c>
      <c r="AD446">
        <v>27.59</v>
      </c>
      <c r="AE446">
        <v>3569.914</v>
      </c>
      <c r="AF446" s="2">
        <f t="shared" si="41"/>
        <v>-0.155494337312519</v>
      </c>
      <c r="AG446" s="2">
        <f t="shared" si="42"/>
        <v>-0.0127379234474584</v>
      </c>
      <c r="AH446" t="s">
        <v>2191</v>
      </c>
      <c r="AI446" t="s">
        <v>1445</v>
      </c>
      <c r="AJ446" t="s">
        <v>625</v>
      </c>
    </row>
    <row r="447" hidden="1" spans="1:36">
      <c r="A447">
        <v>113052</v>
      </c>
      <c r="B447" t="s">
        <v>2194</v>
      </c>
      <c r="C447">
        <v>601166</v>
      </c>
      <c r="D447" t="s">
        <v>2195</v>
      </c>
      <c r="E447" t="s">
        <v>2196</v>
      </c>
      <c r="F447" t="s">
        <v>444</v>
      </c>
      <c r="G447" t="s">
        <v>1824</v>
      </c>
      <c r="H447" t="s">
        <v>33</v>
      </c>
      <c r="I447" t="s">
        <v>255</v>
      </c>
      <c r="J447" t="s">
        <v>255</v>
      </c>
      <c r="K447" t="s">
        <v>255</v>
      </c>
      <c r="L447" t="s">
        <v>41</v>
      </c>
      <c r="M447" t="s">
        <v>41</v>
      </c>
      <c r="N447" t="s">
        <v>255</v>
      </c>
      <c r="O447" t="s">
        <v>41</v>
      </c>
      <c r="P447" t="s">
        <v>41</v>
      </c>
      <c r="Q447" s="2"/>
      <c r="R447" s="2"/>
      <c r="S447" t="s">
        <v>255</v>
      </c>
      <c r="T447" t="s">
        <v>41</v>
      </c>
      <c r="U447" t="s">
        <v>41</v>
      </c>
      <c r="V447" s="2"/>
      <c r="W447" s="2"/>
      <c r="X447" t="s">
        <v>1824</v>
      </c>
      <c r="Y447">
        <v>14.53</v>
      </c>
      <c r="Z447">
        <v>3615.974</v>
      </c>
      <c r="AA447" s="2"/>
      <c r="AB447" s="2"/>
      <c r="AC447" t="s">
        <v>1980</v>
      </c>
      <c r="AD447">
        <v>16.34</v>
      </c>
      <c r="AE447">
        <v>3521.256</v>
      </c>
      <c r="AF447" s="2">
        <f t="shared" si="41"/>
        <v>0.124569855471438</v>
      </c>
      <c r="AG447" s="2">
        <f t="shared" si="42"/>
        <v>-0.0261943255122964</v>
      </c>
      <c r="AH447" t="s">
        <v>2191</v>
      </c>
      <c r="AI447" t="s">
        <v>41</v>
      </c>
      <c r="AJ447" t="s">
        <v>41</v>
      </c>
    </row>
    <row r="448" hidden="1" spans="1:36">
      <c r="A448">
        <v>127052</v>
      </c>
      <c r="B448" t="s">
        <v>2197</v>
      </c>
      <c r="C448">
        <v>2534</v>
      </c>
      <c r="D448" t="s">
        <v>2198</v>
      </c>
      <c r="E448" t="s">
        <v>2199</v>
      </c>
      <c r="F448" t="s">
        <v>41</v>
      </c>
      <c r="G448" t="s">
        <v>1858</v>
      </c>
      <c r="H448" t="s">
        <v>621</v>
      </c>
      <c r="I448" t="s">
        <v>255</v>
      </c>
      <c r="J448" t="s">
        <v>255</v>
      </c>
      <c r="K448" t="s">
        <v>255</v>
      </c>
      <c r="L448" t="s">
        <v>41</v>
      </c>
      <c r="M448" t="s">
        <v>41</v>
      </c>
      <c r="N448" t="s">
        <v>255</v>
      </c>
      <c r="O448" t="s">
        <v>41</v>
      </c>
      <c r="P448" t="s">
        <v>41</v>
      </c>
      <c r="Q448" s="2"/>
      <c r="R448" s="2"/>
      <c r="S448" t="s">
        <v>255</v>
      </c>
      <c r="T448" t="s">
        <v>41</v>
      </c>
      <c r="U448" t="s">
        <v>41</v>
      </c>
      <c r="V448" s="2"/>
      <c r="W448" s="2"/>
      <c r="X448" t="s">
        <v>1858</v>
      </c>
      <c r="Y448">
        <v>32.4</v>
      </c>
      <c r="Z448">
        <v>3618.054</v>
      </c>
      <c r="AA448" s="2"/>
      <c r="AB448" s="2"/>
      <c r="AC448" t="s">
        <v>2156</v>
      </c>
      <c r="AD448">
        <v>28.32</v>
      </c>
      <c r="AE448">
        <v>3524.105</v>
      </c>
      <c r="AF448" s="2">
        <f t="shared" si="41"/>
        <v>-0.125925925925926</v>
      </c>
      <c r="AG448" s="2">
        <f t="shared" si="42"/>
        <v>-0.0259667213369397</v>
      </c>
      <c r="AH448" t="s">
        <v>2200</v>
      </c>
      <c r="AI448" t="s">
        <v>173</v>
      </c>
      <c r="AJ448" t="s">
        <v>625</v>
      </c>
    </row>
    <row r="449" hidden="1" spans="1:36">
      <c r="A449">
        <v>113637</v>
      </c>
      <c r="B449" t="s">
        <v>2201</v>
      </c>
      <c r="C449">
        <v>603112</v>
      </c>
      <c r="D449" t="s">
        <v>291</v>
      </c>
      <c r="E449" t="s">
        <v>115</v>
      </c>
      <c r="F449" t="s">
        <v>41</v>
      </c>
      <c r="G449" t="s">
        <v>1840</v>
      </c>
      <c r="H449" t="s">
        <v>621</v>
      </c>
      <c r="I449" t="s">
        <v>255</v>
      </c>
      <c r="J449" t="s">
        <v>255</v>
      </c>
      <c r="K449" t="s">
        <v>255</v>
      </c>
      <c r="L449" t="s">
        <v>41</v>
      </c>
      <c r="M449" t="s">
        <v>41</v>
      </c>
      <c r="N449" t="s">
        <v>255</v>
      </c>
      <c r="O449" t="s">
        <v>41</v>
      </c>
      <c r="P449" t="s">
        <v>41</v>
      </c>
      <c r="Q449" s="2"/>
      <c r="R449" s="2"/>
      <c r="S449" t="s">
        <v>255</v>
      </c>
      <c r="T449" t="s">
        <v>41</v>
      </c>
      <c r="U449" t="s">
        <v>41</v>
      </c>
      <c r="V449" s="2"/>
      <c r="W449" s="2"/>
      <c r="X449" t="s">
        <v>1840</v>
      </c>
      <c r="Y449">
        <v>11.19</v>
      </c>
      <c r="Z449">
        <v>3622.618</v>
      </c>
      <c r="AA449" s="2"/>
      <c r="AB449" s="2"/>
      <c r="AC449" t="s">
        <v>2202</v>
      </c>
      <c r="AD449">
        <v>11.97</v>
      </c>
      <c r="AE449">
        <v>3555.063</v>
      </c>
      <c r="AF449" s="2">
        <f t="shared" si="41"/>
        <v>0.0697050938337803</v>
      </c>
      <c r="AG449" s="2">
        <f t="shared" si="42"/>
        <v>-0.0186481158101682</v>
      </c>
      <c r="AH449" t="s">
        <v>2203</v>
      </c>
      <c r="AI449" t="s">
        <v>2204</v>
      </c>
      <c r="AJ449" t="s">
        <v>625</v>
      </c>
    </row>
    <row r="450" spans="1:36">
      <c r="A450">
        <v>123133</v>
      </c>
      <c r="B450" t="s">
        <v>2205</v>
      </c>
      <c r="C450">
        <v>300673</v>
      </c>
      <c r="D450" t="s">
        <v>2206</v>
      </c>
      <c r="E450" t="s">
        <v>2207</v>
      </c>
      <c r="F450" t="s">
        <v>56</v>
      </c>
      <c r="G450" t="s">
        <v>1840</v>
      </c>
      <c r="H450" t="s">
        <v>33</v>
      </c>
      <c r="I450" t="s">
        <v>255</v>
      </c>
      <c r="J450" t="s">
        <v>255</v>
      </c>
      <c r="K450" t="s">
        <v>2208</v>
      </c>
      <c r="L450">
        <v>19.38</v>
      </c>
      <c r="M450">
        <v>3466.549</v>
      </c>
      <c r="N450" t="s">
        <v>2209</v>
      </c>
      <c r="O450">
        <v>16.48</v>
      </c>
      <c r="P450">
        <v>3582.604</v>
      </c>
      <c r="Q450" s="1">
        <f>(O450-L450)/L450</f>
        <v>-0.149638802889577</v>
      </c>
      <c r="R450" s="1">
        <f>(P450-M450)/M450</f>
        <v>0.0334785401850659</v>
      </c>
      <c r="S450" t="s">
        <v>1861</v>
      </c>
      <c r="T450">
        <v>17.82</v>
      </c>
      <c r="U450">
        <v>3576.885</v>
      </c>
      <c r="V450" s="1">
        <f>(T450-O450)/O450</f>
        <v>0.0813106796116505</v>
      </c>
      <c r="W450" s="1">
        <f>(U450-P450)/P450</f>
        <v>-0.00159632490780438</v>
      </c>
      <c r="X450" t="s">
        <v>1840</v>
      </c>
      <c r="Y450">
        <v>18.85</v>
      </c>
      <c r="Z450">
        <v>3622.618</v>
      </c>
      <c r="AA450" s="2">
        <f>(Y450-T450)/T450</f>
        <v>0.0578002244668912</v>
      </c>
      <c r="AB450" s="2">
        <f>(Z450-U450)/U450</f>
        <v>0.0127857059983756</v>
      </c>
      <c r="AC450" t="s">
        <v>1904</v>
      </c>
      <c r="AD450">
        <v>17.86</v>
      </c>
      <c r="AE450">
        <v>3522.568</v>
      </c>
      <c r="AF450" s="2">
        <f t="shared" si="41"/>
        <v>-0.0525198938992043</v>
      </c>
      <c r="AG450" s="2">
        <f t="shared" si="42"/>
        <v>-0.0276181479802728</v>
      </c>
      <c r="AH450" t="s">
        <v>2203</v>
      </c>
      <c r="AI450" t="s">
        <v>41</v>
      </c>
      <c r="AJ450" t="s">
        <v>41</v>
      </c>
    </row>
    <row r="451" spans="1:36">
      <c r="A451">
        <v>123132</v>
      </c>
      <c r="B451" t="s">
        <v>2210</v>
      </c>
      <c r="C451">
        <v>300871</v>
      </c>
      <c r="D451" t="s">
        <v>2211</v>
      </c>
      <c r="E451" t="s">
        <v>1015</v>
      </c>
      <c r="F451" t="s">
        <v>41</v>
      </c>
      <c r="G451" t="s">
        <v>2090</v>
      </c>
      <c r="H451" t="s">
        <v>621</v>
      </c>
      <c r="I451" t="s">
        <v>255</v>
      </c>
      <c r="J451" t="s">
        <v>255</v>
      </c>
      <c r="K451" t="s">
        <v>2212</v>
      </c>
      <c r="L451">
        <v>40.89</v>
      </c>
      <c r="M451">
        <v>3518.329</v>
      </c>
      <c r="N451" t="s">
        <v>2213</v>
      </c>
      <c r="O451">
        <v>33.12</v>
      </c>
      <c r="P451">
        <v>3465.555</v>
      </c>
      <c r="Q451" s="1">
        <f>(O451-L451)/L451</f>
        <v>-0.19002201027146</v>
      </c>
      <c r="R451" s="1">
        <f>(P451-M451)/M451</f>
        <v>-0.0149997342488438</v>
      </c>
      <c r="S451" t="s">
        <v>2214</v>
      </c>
      <c r="T451">
        <v>26.63</v>
      </c>
      <c r="U451">
        <v>3589.089</v>
      </c>
      <c r="V451" s="1">
        <f>(T451-O451)/O451</f>
        <v>-0.195954106280193</v>
      </c>
      <c r="W451" s="1">
        <f>(U451-P451)/P451</f>
        <v>0.0356462384812823</v>
      </c>
      <c r="X451" t="s">
        <v>2090</v>
      </c>
      <c r="Y451">
        <v>27.12</v>
      </c>
      <c r="Z451">
        <v>3632.364</v>
      </c>
      <c r="AA451" s="2">
        <f>(Y451-T451)/T451</f>
        <v>0.018400300413068</v>
      </c>
      <c r="AB451" s="2">
        <f>(Z451-U451)/U451</f>
        <v>0.0120573772341672</v>
      </c>
      <c r="AC451" t="s">
        <v>2215</v>
      </c>
      <c r="AD451">
        <v>27.7</v>
      </c>
      <c r="AE451">
        <v>3579.543</v>
      </c>
      <c r="AF451" s="2">
        <f t="shared" ref="AF451:AF514" si="43">(AD451-Y451)/Y451</f>
        <v>0.021386430678466</v>
      </c>
      <c r="AG451" s="2">
        <f t="shared" ref="AG451:AG514" si="44">(AE451-Z451)/Z451</f>
        <v>-0.0145417694922645</v>
      </c>
      <c r="AH451" t="s">
        <v>2216</v>
      </c>
      <c r="AI451" t="s">
        <v>216</v>
      </c>
      <c r="AJ451" t="s">
        <v>625</v>
      </c>
    </row>
    <row r="452" hidden="1" spans="1:36">
      <c r="A452">
        <v>113636</v>
      </c>
      <c r="B452" t="s">
        <v>2217</v>
      </c>
      <c r="C452">
        <v>603995</v>
      </c>
      <c r="D452" t="s">
        <v>2218</v>
      </c>
      <c r="E452" t="s">
        <v>55</v>
      </c>
      <c r="F452" t="s">
        <v>56</v>
      </c>
      <c r="G452" t="s">
        <v>2219</v>
      </c>
      <c r="H452" t="s">
        <v>33</v>
      </c>
      <c r="I452" t="s">
        <v>255</v>
      </c>
      <c r="J452" t="s">
        <v>255</v>
      </c>
      <c r="K452" t="s">
        <v>255</v>
      </c>
      <c r="L452" t="s">
        <v>41</v>
      </c>
      <c r="M452" t="s">
        <v>41</v>
      </c>
      <c r="N452" t="s">
        <v>255</v>
      </c>
      <c r="O452" t="s">
        <v>41</v>
      </c>
      <c r="P452" t="s">
        <v>41</v>
      </c>
      <c r="Q452" s="2"/>
      <c r="R452" s="2"/>
      <c r="S452" t="s">
        <v>255</v>
      </c>
      <c r="T452" t="s">
        <v>41</v>
      </c>
      <c r="U452" t="s">
        <v>41</v>
      </c>
      <c r="V452" s="2"/>
      <c r="W452" s="2"/>
      <c r="X452" t="s">
        <v>2219</v>
      </c>
      <c r="Y452">
        <v>35.38</v>
      </c>
      <c r="Z452">
        <v>3681.082</v>
      </c>
      <c r="AA452" s="2"/>
      <c r="AB452" s="2"/>
      <c r="AC452" t="s">
        <v>1896</v>
      </c>
      <c r="AD452">
        <v>37.56</v>
      </c>
      <c r="AE452">
        <v>3639.775</v>
      </c>
      <c r="AF452" s="2">
        <f t="shared" si="43"/>
        <v>0.0616167326172979</v>
      </c>
      <c r="AG452" s="2">
        <f t="shared" si="44"/>
        <v>-0.0112214289168239</v>
      </c>
      <c r="AH452" t="s">
        <v>2220</v>
      </c>
      <c r="AI452" t="s">
        <v>41</v>
      </c>
      <c r="AJ452" t="s">
        <v>41</v>
      </c>
    </row>
    <row r="453" hidden="1" spans="1:36">
      <c r="A453">
        <v>113635</v>
      </c>
      <c r="B453" t="s">
        <v>2221</v>
      </c>
      <c r="C453">
        <v>603305</v>
      </c>
      <c r="D453" t="s">
        <v>803</v>
      </c>
      <c r="E453" t="s">
        <v>2222</v>
      </c>
      <c r="F453" t="s">
        <v>41</v>
      </c>
      <c r="G453" t="s">
        <v>2109</v>
      </c>
      <c r="H453" t="s">
        <v>621</v>
      </c>
      <c r="I453" t="s">
        <v>255</v>
      </c>
      <c r="J453" t="s">
        <v>255</v>
      </c>
      <c r="K453" t="s">
        <v>255</v>
      </c>
      <c r="L453" t="s">
        <v>41</v>
      </c>
      <c r="M453" t="s">
        <v>41</v>
      </c>
      <c r="N453" t="s">
        <v>255</v>
      </c>
      <c r="O453" t="s">
        <v>41</v>
      </c>
      <c r="P453" t="s">
        <v>41</v>
      </c>
      <c r="Q453" s="2"/>
      <c r="R453" s="2"/>
      <c r="S453" t="s">
        <v>255</v>
      </c>
      <c r="T453" t="s">
        <v>41</v>
      </c>
      <c r="U453" t="s">
        <v>41</v>
      </c>
      <c r="V453" s="2"/>
      <c r="W453" s="2"/>
      <c r="X453" t="s">
        <v>2109</v>
      </c>
      <c r="Y453">
        <v>22.98</v>
      </c>
      <c r="Z453">
        <v>3666.348</v>
      </c>
      <c r="AA453" s="2"/>
      <c r="AB453" s="2"/>
      <c r="AC453" t="s">
        <v>2084</v>
      </c>
      <c r="AD453">
        <v>24.51</v>
      </c>
      <c r="AE453">
        <v>3619.189</v>
      </c>
      <c r="AF453" s="2">
        <f t="shared" si="43"/>
        <v>0.066579634464752</v>
      </c>
      <c r="AG453" s="2">
        <f t="shared" si="44"/>
        <v>-0.0128626633369228</v>
      </c>
      <c r="AH453" t="s">
        <v>2223</v>
      </c>
      <c r="AI453" t="s">
        <v>1741</v>
      </c>
      <c r="AJ453" t="s">
        <v>625</v>
      </c>
    </row>
    <row r="454" hidden="1" spans="1:36">
      <c r="A454">
        <v>111002</v>
      </c>
      <c r="B454" t="s">
        <v>2224</v>
      </c>
      <c r="C454">
        <v>605007</v>
      </c>
      <c r="D454" t="s">
        <v>2225</v>
      </c>
      <c r="E454" t="s">
        <v>566</v>
      </c>
      <c r="F454" t="s">
        <v>397</v>
      </c>
      <c r="G454" t="s">
        <v>2226</v>
      </c>
      <c r="H454" t="s">
        <v>33</v>
      </c>
      <c r="I454" t="s">
        <v>255</v>
      </c>
      <c r="J454" t="s">
        <v>255</v>
      </c>
      <c r="K454" t="s">
        <v>255</v>
      </c>
      <c r="L454" t="s">
        <v>41</v>
      </c>
      <c r="M454" t="s">
        <v>41</v>
      </c>
      <c r="N454" t="s">
        <v>255</v>
      </c>
      <c r="O454" t="s">
        <v>41</v>
      </c>
      <c r="P454" t="s">
        <v>41</v>
      </c>
      <c r="Q454" s="2"/>
      <c r="R454" s="2"/>
      <c r="S454" t="s">
        <v>255</v>
      </c>
      <c r="T454" t="s">
        <v>41</v>
      </c>
      <c r="U454" t="s">
        <v>41</v>
      </c>
      <c r="V454" s="2"/>
      <c r="W454" s="2"/>
      <c r="X454" t="s">
        <v>2226</v>
      </c>
      <c r="Y454">
        <v>17.29</v>
      </c>
      <c r="Z454">
        <v>3637.568</v>
      </c>
      <c r="AA454" s="2"/>
      <c r="AB454" s="2"/>
      <c r="AC454" t="s">
        <v>2084</v>
      </c>
      <c r="AD454">
        <v>22.58</v>
      </c>
      <c r="AE454">
        <v>3619.189</v>
      </c>
      <c r="AF454" s="2">
        <f t="shared" si="43"/>
        <v>0.305957200694043</v>
      </c>
      <c r="AG454" s="2">
        <f t="shared" si="44"/>
        <v>-0.00505255159491186</v>
      </c>
      <c r="AH454" t="s">
        <v>2227</v>
      </c>
      <c r="AI454" t="s">
        <v>41</v>
      </c>
      <c r="AJ454" t="s">
        <v>41</v>
      </c>
    </row>
    <row r="455" hidden="1" spans="1:36">
      <c r="A455">
        <v>113634</v>
      </c>
      <c r="B455" t="s">
        <v>2228</v>
      </c>
      <c r="C455">
        <v>603605</v>
      </c>
      <c r="D455" t="s">
        <v>2229</v>
      </c>
      <c r="E455" t="s">
        <v>2230</v>
      </c>
      <c r="F455" t="s">
        <v>397</v>
      </c>
      <c r="G455" t="s">
        <v>2226</v>
      </c>
      <c r="H455" t="s">
        <v>33</v>
      </c>
      <c r="I455" t="s">
        <v>255</v>
      </c>
      <c r="J455" t="s">
        <v>255</v>
      </c>
      <c r="K455" t="s">
        <v>255</v>
      </c>
      <c r="L455" t="s">
        <v>41</v>
      </c>
      <c r="M455" t="s">
        <v>41</v>
      </c>
      <c r="N455" t="s">
        <v>255</v>
      </c>
      <c r="O455" t="s">
        <v>41</v>
      </c>
      <c r="P455" t="s">
        <v>41</v>
      </c>
      <c r="Q455" s="2"/>
      <c r="R455" s="2"/>
      <c r="S455" t="s">
        <v>255</v>
      </c>
      <c r="T455" t="s">
        <v>41</v>
      </c>
      <c r="U455" t="s">
        <v>41</v>
      </c>
      <c r="V455" s="2"/>
      <c r="W455" s="2"/>
      <c r="X455" t="s">
        <v>2226</v>
      </c>
      <c r="Y455">
        <v>95.27</v>
      </c>
      <c r="Z455">
        <v>3637.568</v>
      </c>
      <c r="AA455" s="2"/>
      <c r="AB455" s="2"/>
      <c r="AC455" t="s">
        <v>2174</v>
      </c>
      <c r="AD455">
        <v>100.63</v>
      </c>
      <c r="AE455">
        <v>3632.329</v>
      </c>
      <c r="AF455" s="2">
        <f t="shared" si="43"/>
        <v>0.0562611525139078</v>
      </c>
      <c r="AG455" s="2">
        <f t="shared" si="44"/>
        <v>-0.00144024798986577</v>
      </c>
      <c r="AH455" t="s">
        <v>2227</v>
      </c>
      <c r="AI455" t="s">
        <v>41</v>
      </c>
      <c r="AJ455" t="s">
        <v>41</v>
      </c>
    </row>
    <row r="456" spans="1:36">
      <c r="A456">
        <v>123131</v>
      </c>
      <c r="B456" t="s">
        <v>2231</v>
      </c>
      <c r="C456">
        <v>300738</v>
      </c>
      <c r="D456" t="s">
        <v>2232</v>
      </c>
      <c r="E456" t="s">
        <v>2233</v>
      </c>
      <c r="F456" t="s">
        <v>31</v>
      </c>
      <c r="G456" t="s">
        <v>2234</v>
      </c>
      <c r="H456" t="s">
        <v>33</v>
      </c>
      <c r="I456" t="s">
        <v>255</v>
      </c>
      <c r="J456" t="s">
        <v>255</v>
      </c>
      <c r="K456" t="s">
        <v>2107</v>
      </c>
      <c r="L456">
        <v>10.86</v>
      </c>
      <c r="M456">
        <v>3479.626</v>
      </c>
      <c r="N456" t="s">
        <v>2235</v>
      </c>
      <c r="O456">
        <v>9.97</v>
      </c>
      <c r="P456">
        <v>3525.504</v>
      </c>
      <c r="Q456" s="1">
        <f>(O456-L456)/L456</f>
        <v>-0.08195211786372</v>
      </c>
      <c r="R456" s="1">
        <f>(P456-M456)/M456</f>
        <v>0.01318475031512</v>
      </c>
      <c r="S456" t="s">
        <v>2082</v>
      </c>
      <c r="T456">
        <v>9.74</v>
      </c>
      <c r="U456">
        <v>3477.132</v>
      </c>
      <c r="V456" s="1">
        <f>(T456-O456)/O456</f>
        <v>-0.0230692076228686</v>
      </c>
      <c r="W456" s="1">
        <f>(U456-P456)/P456</f>
        <v>-0.013720591438841</v>
      </c>
      <c r="X456" t="s">
        <v>2234</v>
      </c>
      <c r="Y456">
        <v>10.04</v>
      </c>
      <c r="Z456">
        <v>3607.432</v>
      </c>
      <c r="AA456" s="2">
        <f>(Y456-T456)/T456</f>
        <v>0.030800821355236</v>
      </c>
      <c r="AB456" s="2">
        <f>(Z456-U456)/U456</f>
        <v>0.0374734119958632</v>
      </c>
      <c r="AC456" t="s">
        <v>1840</v>
      </c>
      <c r="AD456">
        <v>10.66</v>
      </c>
      <c r="AE456">
        <v>3622.618</v>
      </c>
      <c r="AF456" s="2">
        <f t="shared" si="43"/>
        <v>0.0617529880478089</v>
      </c>
      <c r="AG456" s="2">
        <f t="shared" si="44"/>
        <v>0.00420964275972496</v>
      </c>
      <c r="AH456" t="s">
        <v>2236</v>
      </c>
      <c r="AI456" t="s">
        <v>41</v>
      </c>
      <c r="AJ456" t="s">
        <v>41</v>
      </c>
    </row>
    <row r="457" hidden="1" spans="1:36">
      <c r="A457">
        <v>113633</v>
      </c>
      <c r="B457" t="s">
        <v>2237</v>
      </c>
      <c r="C457">
        <v>603486</v>
      </c>
      <c r="D457" t="s">
        <v>2238</v>
      </c>
      <c r="E457" t="s">
        <v>2239</v>
      </c>
      <c r="F457" t="s">
        <v>397</v>
      </c>
      <c r="G457" t="s">
        <v>2240</v>
      </c>
      <c r="H457" t="s">
        <v>33</v>
      </c>
      <c r="I457" t="s">
        <v>255</v>
      </c>
      <c r="J457" t="s">
        <v>255</v>
      </c>
      <c r="K457" t="s">
        <v>255</v>
      </c>
      <c r="L457" t="s">
        <v>41</v>
      </c>
      <c r="M457" t="s">
        <v>41</v>
      </c>
      <c r="N457" t="s">
        <v>255</v>
      </c>
      <c r="O457" t="s">
        <v>41</v>
      </c>
      <c r="P457" t="s">
        <v>41</v>
      </c>
      <c r="Q457" s="2"/>
      <c r="R457" s="2"/>
      <c r="S457" t="s">
        <v>255</v>
      </c>
      <c r="T457" t="s">
        <v>41</v>
      </c>
      <c r="U457" t="s">
        <v>41</v>
      </c>
      <c r="V457" s="2"/>
      <c r="W457" s="2"/>
      <c r="X457" t="s">
        <v>2240</v>
      </c>
      <c r="Y457">
        <v>161.19</v>
      </c>
      <c r="Z457">
        <v>3563.887</v>
      </c>
      <c r="AA457" s="2"/>
      <c r="AB457" s="2"/>
      <c r="AC457" t="s">
        <v>1526</v>
      </c>
      <c r="AD457">
        <v>152.64</v>
      </c>
      <c r="AE457">
        <v>3597</v>
      </c>
      <c r="AF457" s="2">
        <f t="shared" si="43"/>
        <v>-0.0530429927414853</v>
      </c>
      <c r="AG457" s="2">
        <f t="shared" si="44"/>
        <v>0.00929125979583523</v>
      </c>
      <c r="AH457" t="s">
        <v>2241</v>
      </c>
      <c r="AI457" t="s">
        <v>41</v>
      </c>
      <c r="AJ457" t="s">
        <v>41</v>
      </c>
    </row>
    <row r="458" spans="1:36">
      <c r="A458">
        <v>118003</v>
      </c>
      <c r="B458" t="s">
        <v>2242</v>
      </c>
      <c r="C458">
        <v>688001</v>
      </c>
      <c r="D458" t="s">
        <v>2243</v>
      </c>
      <c r="E458" t="s">
        <v>115</v>
      </c>
      <c r="F458" t="s">
        <v>397</v>
      </c>
      <c r="G458" t="s">
        <v>2244</v>
      </c>
      <c r="H458" t="s">
        <v>33</v>
      </c>
      <c r="I458" t="s">
        <v>255</v>
      </c>
      <c r="J458" t="s">
        <v>255</v>
      </c>
      <c r="K458" t="s">
        <v>2245</v>
      </c>
      <c r="L458">
        <v>47.02</v>
      </c>
      <c r="M458">
        <v>3381.183</v>
      </c>
      <c r="N458" t="s">
        <v>2176</v>
      </c>
      <c r="O458">
        <v>34.07</v>
      </c>
      <c r="P458">
        <v>3546.936</v>
      </c>
      <c r="Q458" s="1">
        <f>(O458-L458)/L458</f>
        <v>-0.275414717141642</v>
      </c>
      <c r="R458" s="1">
        <f>(P458-M458)/M458</f>
        <v>0.0490221913454552</v>
      </c>
      <c r="S458" t="s">
        <v>2177</v>
      </c>
      <c r="T458">
        <v>36.33</v>
      </c>
      <c r="U458">
        <v>3507.002</v>
      </c>
      <c r="V458" s="1">
        <f>(T458-O458)/O458</f>
        <v>0.0663340181978279</v>
      </c>
      <c r="W458" s="1">
        <f>(U458-P458)/P458</f>
        <v>-0.0112587314797899</v>
      </c>
      <c r="X458" t="s">
        <v>2244</v>
      </c>
      <c r="Y458">
        <v>37.33</v>
      </c>
      <c r="Z458">
        <v>3562.697</v>
      </c>
      <c r="AA458" s="2">
        <f>(Y458-T458)/T458</f>
        <v>0.0275254610514726</v>
      </c>
      <c r="AB458" s="2">
        <f>(Z458-U458)/U458</f>
        <v>0.0158810858961586</v>
      </c>
      <c r="AC458" t="s">
        <v>2057</v>
      </c>
      <c r="AD458">
        <v>34.13</v>
      </c>
      <c r="AE458">
        <v>3593.602</v>
      </c>
      <c r="AF458" s="2">
        <f t="shared" si="43"/>
        <v>-0.0857219394588802</v>
      </c>
      <c r="AG458" s="2">
        <f t="shared" si="44"/>
        <v>0.0086746080286928</v>
      </c>
      <c r="AH458" t="s">
        <v>2246</v>
      </c>
      <c r="AI458" t="s">
        <v>41</v>
      </c>
      <c r="AJ458" t="s">
        <v>41</v>
      </c>
    </row>
    <row r="459" hidden="1" spans="1:36">
      <c r="A459">
        <v>113632</v>
      </c>
      <c r="B459" t="s">
        <v>2247</v>
      </c>
      <c r="C459">
        <v>603733</v>
      </c>
      <c r="D459" t="s">
        <v>2248</v>
      </c>
      <c r="E459" t="s">
        <v>2249</v>
      </c>
      <c r="F459" t="s">
        <v>397</v>
      </c>
      <c r="G459" t="s">
        <v>2250</v>
      </c>
      <c r="H459" t="s">
        <v>33</v>
      </c>
      <c r="I459" t="s">
        <v>255</v>
      </c>
      <c r="J459" t="s">
        <v>255</v>
      </c>
      <c r="K459" t="s">
        <v>255</v>
      </c>
      <c r="L459" t="s">
        <v>41</v>
      </c>
      <c r="M459" t="s">
        <v>41</v>
      </c>
      <c r="N459" t="s">
        <v>255</v>
      </c>
      <c r="O459" t="s">
        <v>41</v>
      </c>
      <c r="P459" t="s">
        <v>41</v>
      </c>
      <c r="Q459" s="2"/>
      <c r="R459" s="2"/>
      <c r="S459" t="s">
        <v>255</v>
      </c>
      <c r="T459" t="s">
        <v>41</v>
      </c>
      <c r="U459" t="s">
        <v>41</v>
      </c>
      <c r="V459" s="2"/>
      <c r="W459" s="2"/>
      <c r="X459" t="s">
        <v>2250</v>
      </c>
      <c r="Y459">
        <v>36.29</v>
      </c>
      <c r="Z459">
        <v>3537.366</v>
      </c>
      <c r="AA459" s="2"/>
      <c r="AB459" s="2"/>
      <c r="AC459" t="s">
        <v>1912</v>
      </c>
      <c r="AD459">
        <v>35.62</v>
      </c>
      <c r="AE459">
        <v>3673.041</v>
      </c>
      <c r="AF459" s="2">
        <f t="shared" si="43"/>
        <v>-0.018462386332323</v>
      </c>
      <c r="AG459" s="2">
        <f t="shared" si="44"/>
        <v>0.0383548097652321</v>
      </c>
      <c r="AH459" t="s">
        <v>2251</v>
      </c>
      <c r="AI459" t="s">
        <v>41</v>
      </c>
      <c r="AJ459" t="s">
        <v>41</v>
      </c>
    </row>
    <row r="460" hidden="1" spans="1:36">
      <c r="A460">
        <v>127051</v>
      </c>
      <c r="B460" t="s">
        <v>2252</v>
      </c>
      <c r="C460">
        <v>2975</v>
      </c>
      <c r="D460" t="s">
        <v>2253</v>
      </c>
      <c r="E460" t="s">
        <v>2254</v>
      </c>
      <c r="F460" t="s">
        <v>41</v>
      </c>
      <c r="G460" t="s">
        <v>2250</v>
      </c>
      <c r="H460" t="s">
        <v>621</v>
      </c>
      <c r="I460" t="s">
        <v>255</v>
      </c>
      <c r="J460" t="s">
        <v>255</v>
      </c>
      <c r="K460" t="s">
        <v>255</v>
      </c>
      <c r="L460" t="s">
        <v>41</v>
      </c>
      <c r="M460" t="s">
        <v>41</v>
      </c>
      <c r="N460" t="s">
        <v>255</v>
      </c>
      <c r="O460" t="s">
        <v>41</v>
      </c>
      <c r="P460" t="s">
        <v>41</v>
      </c>
      <c r="Q460" s="2"/>
      <c r="R460" s="2"/>
      <c r="S460" t="s">
        <v>255</v>
      </c>
      <c r="T460" t="s">
        <v>41</v>
      </c>
      <c r="U460" t="s">
        <v>41</v>
      </c>
      <c r="V460" s="2"/>
      <c r="W460" s="2"/>
      <c r="X460" t="s">
        <v>2250</v>
      </c>
      <c r="Y460">
        <v>63.73</v>
      </c>
      <c r="Z460">
        <v>3537.366</v>
      </c>
      <c r="AA460" s="2"/>
      <c r="AB460" s="2"/>
      <c r="AC460" t="s">
        <v>2090</v>
      </c>
      <c r="AD460">
        <v>56.78</v>
      </c>
      <c r="AE460">
        <v>3632.364</v>
      </c>
      <c r="AF460" s="2">
        <f t="shared" si="43"/>
        <v>-0.109053820806527</v>
      </c>
      <c r="AG460" s="2">
        <f t="shared" si="44"/>
        <v>0.0268555755892944</v>
      </c>
      <c r="AH460" t="s">
        <v>2251</v>
      </c>
      <c r="AI460" t="s">
        <v>453</v>
      </c>
      <c r="AJ460" t="s">
        <v>625</v>
      </c>
    </row>
    <row r="461" spans="1:36">
      <c r="A461">
        <v>123130</v>
      </c>
      <c r="B461" t="s">
        <v>2255</v>
      </c>
      <c r="C461">
        <v>300732</v>
      </c>
      <c r="D461" t="s">
        <v>2256</v>
      </c>
      <c r="E461" t="s">
        <v>2257</v>
      </c>
      <c r="F461" t="s">
        <v>41</v>
      </c>
      <c r="G461" t="s">
        <v>2258</v>
      </c>
      <c r="H461" t="s">
        <v>621</v>
      </c>
      <c r="I461" t="s">
        <v>255</v>
      </c>
      <c r="J461" t="s">
        <v>255</v>
      </c>
      <c r="K461" t="s">
        <v>2259</v>
      </c>
      <c r="L461">
        <v>8.7</v>
      </c>
      <c r="M461">
        <v>3472.93</v>
      </c>
      <c r="N461" t="s">
        <v>2260</v>
      </c>
      <c r="O461">
        <v>7.73</v>
      </c>
      <c r="P461">
        <v>3361.59</v>
      </c>
      <c r="Q461" s="1">
        <f>(O461-L461)/L461</f>
        <v>-0.111494252873563</v>
      </c>
      <c r="R461" s="1">
        <f>(P461-M461)/M461</f>
        <v>-0.0320593850149585</v>
      </c>
      <c r="S461" t="s">
        <v>2078</v>
      </c>
      <c r="T461">
        <v>8.69</v>
      </c>
      <c r="U461">
        <v>3587.001</v>
      </c>
      <c r="V461" s="1">
        <f>(T461-O461)/O461</f>
        <v>0.124191461836999</v>
      </c>
      <c r="W461" s="1">
        <f>(U461-P461)/P461</f>
        <v>0.0670548758176934</v>
      </c>
      <c r="X461" t="s">
        <v>2258</v>
      </c>
      <c r="Y461">
        <v>8.58</v>
      </c>
      <c r="Z461">
        <v>3532.786</v>
      </c>
      <c r="AA461" s="2">
        <f>(Y461-T461)/T461</f>
        <v>-0.0126582278481012</v>
      </c>
      <c r="AB461" s="2">
        <f>(Z461-U461)/U461</f>
        <v>-0.0151142974311967</v>
      </c>
      <c r="AC461" t="s">
        <v>1562</v>
      </c>
      <c r="AD461">
        <v>9.25</v>
      </c>
      <c r="AE461">
        <v>3573.836</v>
      </c>
      <c r="AF461" s="2">
        <f t="shared" si="43"/>
        <v>0.0780885780885781</v>
      </c>
      <c r="AG461" s="2">
        <f t="shared" si="44"/>
        <v>0.0116197244893972</v>
      </c>
      <c r="AH461" t="s">
        <v>2261</v>
      </c>
      <c r="AI461" t="s">
        <v>298</v>
      </c>
      <c r="AJ461" t="s">
        <v>625</v>
      </c>
    </row>
    <row r="462" hidden="1" spans="1:36">
      <c r="A462">
        <v>110083</v>
      </c>
      <c r="B462" t="s">
        <v>2262</v>
      </c>
      <c r="C462">
        <v>600901</v>
      </c>
      <c r="D462" t="s">
        <v>2263</v>
      </c>
      <c r="E462" t="s">
        <v>237</v>
      </c>
      <c r="F462" t="s">
        <v>41</v>
      </c>
      <c r="G462" t="s">
        <v>2258</v>
      </c>
      <c r="H462" t="s">
        <v>621</v>
      </c>
      <c r="I462" t="s">
        <v>255</v>
      </c>
      <c r="J462" t="s">
        <v>255</v>
      </c>
      <c r="K462" t="s">
        <v>255</v>
      </c>
      <c r="L462" t="s">
        <v>41</v>
      </c>
      <c r="M462" t="s">
        <v>41</v>
      </c>
      <c r="N462" t="s">
        <v>255</v>
      </c>
      <c r="O462" t="s">
        <v>41</v>
      </c>
      <c r="P462" t="s">
        <v>41</v>
      </c>
      <c r="Q462" s="2"/>
      <c r="R462" s="2"/>
      <c r="S462" t="s">
        <v>255</v>
      </c>
      <c r="T462" t="s">
        <v>41</v>
      </c>
      <c r="U462" t="s">
        <v>41</v>
      </c>
      <c r="V462" s="2"/>
      <c r="W462" s="2"/>
      <c r="X462" t="s">
        <v>2258</v>
      </c>
      <c r="Y462">
        <v>2.49</v>
      </c>
      <c r="Z462">
        <v>3532.786</v>
      </c>
      <c r="AA462" s="2"/>
      <c r="AB462" s="2"/>
      <c r="AC462" t="s">
        <v>2109</v>
      </c>
      <c r="AD462">
        <v>2.44</v>
      </c>
      <c r="AE462">
        <v>3666.348</v>
      </c>
      <c r="AF462" s="2">
        <f t="shared" si="43"/>
        <v>-0.0200803212851407</v>
      </c>
      <c r="AG462" s="2">
        <f t="shared" si="44"/>
        <v>0.0378064224665745</v>
      </c>
      <c r="AH462" t="s">
        <v>2261</v>
      </c>
      <c r="AI462" t="s">
        <v>2264</v>
      </c>
      <c r="AJ462" t="s">
        <v>625</v>
      </c>
    </row>
    <row r="463" hidden="1" spans="1:36">
      <c r="A463">
        <v>127050</v>
      </c>
      <c r="B463" t="s">
        <v>2265</v>
      </c>
      <c r="C463">
        <v>2984</v>
      </c>
      <c r="D463" t="s">
        <v>2266</v>
      </c>
      <c r="E463" t="s">
        <v>2267</v>
      </c>
      <c r="F463" t="s">
        <v>397</v>
      </c>
      <c r="G463" t="s">
        <v>2258</v>
      </c>
      <c r="H463" t="s">
        <v>33</v>
      </c>
      <c r="I463" t="s">
        <v>255</v>
      </c>
      <c r="J463" t="s">
        <v>255</v>
      </c>
      <c r="K463" t="s">
        <v>255</v>
      </c>
      <c r="L463" t="s">
        <v>41</v>
      </c>
      <c r="M463" t="s">
        <v>41</v>
      </c>
      <c r="N463" t="s">
        <v>255</v>
      </c>
      <c r="O463" t="s">
        <v>41</v>
      </c>
      <c r="P463" t="s">
        <v>41</v>
      </c>
      <c r="Q463" s="2"/>
      <c r="R463" s="2"/>
      <c r="S463" t="s">
        <v>255</v>
      </c>
      <c r="T463" t="s">
        <v>41</v>
      </c>
      <c r="U463" t="s">
        <v>41</v>
      </c>
      <c r="V463" s="2"/>
      <c r="W463" s="2"/>
      <c r="X463" t="s">
        <v>2258</v>
      </c>
      <c r="Y463">
        <v>24.61</v>
      </c>
      <c r="Z463">
        <v>3532.786</v>
      </c>
      <c r="AA463" s="2"/>
      <c r="AB463" s="2"/>
      <c r="AC463" t="s">
        <v>2268</v>
      </c>
      <c r="AD463">
        <v>25.01</v>
      </c>
      <c r="AE463">
        <v>3589.306</v>
      </c>
      <c r="AF463" s="2">
        <f t="shared" si="43"/>
        <v>0.0162535554652581</v>
      </c>
      <c r="AG463" s="2">
        <f t="shared" si="44"/>
        <v>0.0159987047050118</v>
      </c>
      <c r="AH463" t="s">
        <v>2261</v>
      </c>
      <c r="AI463" t="s">
        <v>41</v>
      </c>
      <c r="AJ463" t="s">
        <v>41</v>
      </c>
    </row>
    <row r="464" hidden="1" spans="1:36">
      <c r="A464">
        <v>111001</v>
      </c>
      <c r="B464" t="s">
        <v>2269</v>
      </c>
      <c r="C464">
        <v>605006</v>
      </c>
      <c r="D464" t="s">
        <v>2270</v>
      </c>
      <c r="E464" t="s">
        <v>1114</v>
      </c>
      <c r="F464" t="s">
        <v>56</v>
      </c>
      <c r="G464" t="s">
        <v>2271</v>
      </c>
      <c r="H464" t="s">
        <v>33</v>
      </c>
      <c r="I464" t="s">
        <v>255</v>
      </c>
      <c r="J464" t="s">
        <v>255</v>
      </c>
      <c r="K464" t="s">
        <v>255</v>
      </c>
      <c r="L464" t="s">
        <v>41</v>
      </c>
      <c r="M464" t="s">
        <v>41</v>
      </c>
      <c r="N464" t="s">
        <v>255</v>
      </c>
      <c r="O464" t="s">
        <v>41</v>
      </c>
      <c r="P464" t="s">
        <v>41</v>
      </c>
      <c r="Q464" s="2"/>
      <c r="R464" s="2"/>
      <c r="S464" t="s">
        <v>255</v>
      </c>
      <c r="T464" t="s">
        <v>41</v>
      </c>
      <c r="U464" t="s">
        <v>41</v>
      </c>
      <c r="V464" s="2"/>
      <c r="W464" s="2"/>
      <c r="X464" t="s">
        <v>2271</v>
      </c>
      <c r="Y464">
        <v>11.03</v>
      </c>
      <c r="Z464">
        <v>3498.631</v>
      </c>
      <c r="AA464" s="2"/>
      <c r="AB464" s="2"/>
      <c r="AC464" t="s">
        <v>2268</v>
      </c>
      <c r="AD464">
        <v>11.97</v>
      </c>
      <c r="AE464">
        <v>3589.306</v>
      </c>
      <c r="AF464" s="2">
        <f t="shared" si="43"/>
        <v>0.0852221214868542</v>
      </c>
      <c r="AG464" s="2">
        <f t="shared" si="44"/>
        <v>0.025917280216176</v>
      </c>
      <c r="AH464" t="s">
        <v>2272</v>
      </c>
      <c r="AI464" t="s">
        <v>41</v>
      </c>
      <c r="AJ464" t="s">
        <v>41</v>
      </c>
    </row>
    <row r="465" hidden="1" spans="1:36">
      <c r="A465">
        <v>113631</v>
      </c>
      <c r="B465" t="s">
        <v>2273</v>
      </c>
      <c r="C465">
        <v>603689</v>
      </c>
      <c r="D465" t="s">
        <v>2274</v>
      </c>
      <c r="E465" t="s">
        <v>2275</v>
      </c>
      <c r="F465" t="s">
        <v>98</v>
      </c>
      <c r="G465" t="s">
        <v>2271</v>
      </c>
      <c r="H465" t="s">
        <v>33</v>
      </c>
      <c r="I465" t="s">
        <v>255</v>
      </c>
      <c r="J465" t="s">
        <v>255</v>
      </c>
      <c r="K465" t="s">
        <v>255</v>
      </c>
      <c r="L465" t="s">
        <v>41</v>
      </c>
      <c r="M465" t="s">
        <v>41</v>
      </c>
      <c r="N465" t="s">
        <v>255</v>
      </c>
      <c r="O465" t="s">
        <v>41</v>
      </c>
      <c r="P465" t="s">
        <v>41</v>
      </c>
      <c r="Q465" s="2"/>
      <c r="R465" s="2"/>
      <c r="S465" t="s">
        <v>255</v>
      </c>
      <c r="T465" t="s">
        <v>41</v>
      </c>
      <c r="U465" t="s">
        <v>41</v>
      </c>
      <c r="V465" s="2"/>
      <c r="W465" s="2"/>
      <c r="X465" t="s">
        <v>2271</v>
      </c>
      <c r="Y465">
        <v>6.46</v>
      </c>
      <c r="Z465">
        <v>3498.631</v>
      </c>
      <c r="AA465" s="2"/>
      <c r="AB465" s="2"/>
      <c r="AC465" t="s">
        <v>2109</v>
      </c>
      <c r="AD465">
        <v>6.31</v>
      </c>
      <c r="AE465">
        <v>3666.348</v>
      </c>
      <c r="AF465" s="2">
        <f t="shared" si="43"/>
        <v>-0.0232198142414861</v>
      </c>
      <c r="AG465" s="2">
        <f t="shared" si="44"/>
        <v>0.0479378934217413</v>
      </c>
      <c r="AH465" t="s">
        <v>2272</v>
      </c>
      <c r="AI465" t="s">
        <v>41</v>
      </c>
      <c r="AJ465" t="s">
        <v>41</v>
      </c>
    </row>
    <row r="466" spans="1:36">
      <c r="A466">
        <v>123129</v>
      </c>
      <c r="B466" t="s">
        <v>2276</v>
      </c>
      <c r="C466">
        <v>300798</v>
      </c>
      <c r="D466" t="s">
        <v>2277</v>
      </c>
      <c r="E466" t="s">
        <v>1114</v>
      </c>
      <c r="F466" t="s">
        <v>31</v>
      </c>
      <c r="G466" t="s">
        <v>2278</v>
      </c>
      <c r="H466" t="s">
        <v>33</v>
      </c>
      <c r="I466" t="s">
        <v>255</v>
      </c>
      <c r="J466" t="s">
        <v>255</v>
      </c>
      <c r="K466" t="s">
        <v>2279</v>
      </c>
      <c r="L466">
        <v>9.06</v>
      </c>
      <c r="M466">
        <v>3615.477</v>
      </c>
      <c r="N466" t="s">
        <v>2280</v>
      </c>
      <c r="O466">
        <v>10.37</v>
      </c>
      <c r="P466">
        <v>3485.286</v>
      </c>
      <c r="Q466" s="1">
        <f>(O466-L466)/L466</f>
        <v>0.144591611479029</v>
      </c>
      <c r="R466" s="1">
        <f>(P466-M466)/M466</f>
        <v>-0.0360093564417641</v>
      </c>
      <c r="S466" t="s">
        <v>1963</v>
      </c>
      <c r="T466">
        <v>11.37</v>
      </c>
      <c r="U466">
        <v>3656.223</v>
      </c>
      <c r="V466" s="1">
        <f>(T466-O466)/O466</f>
        <v>0.0964320154291225</v>
      </c>
      <c r="W466" s="1">
        <f>(U466-P466)/P466</f>
        <v>0.0490453294220331</v>
      </c>
      <c r="X466" t="s">
        <v>2278</v>
      </c>
      <c r="Y466">
        <v>9.22</v>
      </c>
      <c r="Z466">
        <v>3526.866</v>
      </c>
      <c r="AA466" s="2">
        <f>(Y466-T466)/T466</f>
        <v>-0.189094107299912</v>
      </c>
      <c r="AB466" s="2">
        <f>(Z466-U466)/U466</f>
        <v>-0.0353799535750418</v>
      </c>
      <c r="AC466" t="s">
        <v>2281</v>
      </c>
      <c r="AD466">
        <v>9.67</v>
      </c>
      <c r="AE466">
        <v>3592.703</v>
      </c>
      <c r="AF466" s="2">
        <f t="shared" si="43"/>
        <v>0.0488069414316702</v>
      </c>
      <c r="AG466" s="2">
        <f t="shared" si="44"/>
        <v>0.0186672813767237</v>
      </c>
      <c r="AH466" t="s">
        <v>2282</v>
      </c>
      <c r="AI466" t="s">
        <v>41</v>
      </c>
      <c r="AJ466" t="s">
        <v>41</v>
      </c>
    </row>
    <row r="467" hidden="1" spans="1:36">
      <c r="A467">
        <v>127049</v>
      </c>
      <c r="B467" t="s">
        <v>2283</v>
      </c>
      <c r="C467">
        <v>876</v>
      </c>
      <c r="D467" t="s">
        <v>2284</v>
      </c>
      <c r="E467" t="s">
        <v>2285</v>
      </c>
      <c r="F467" t="s">
        <v>444</v>
      </c>
      <c r="G467" t="s">
        <v>2286</v>
      </c>
      <c r="H467" t="s">
        <v>33</v>
      </c>
      <c r="I467" t="s">
        <v>255</v>
      </c>
      <c r="J467" t="s">
        <v>255</v>
      </c>
      <c r="K467" t="s">
        <v>255</v>
      </c>
      <c r="L467" t="s">
        <v>41</v>
      </c>
      <c r="M467" t="s">
        <v>41</v>
      </c>
      <c r="N467" t="s">
        <v>255</v>
      </c>
      <c r="O467" t="s">
        <v>41</v>
      </c>
      <c r="P467" t="s">
        <v>41</v>
      </c>
      <c r="Q467" s="2"/>
      <c r="R467" s="2"/>
      <c r="S467" t="s">
        <v>255</v>
      </c>
      <c r="T467" t="s">
        <v>41</v>
      </c>
      <c r="U467" t="s">
        <v>41</v>
      </c>
      <c r="V467" s="2"/>
      <c r="W467" s="2"/>
      <c r="X467" t="s">
        <v>2286</v>
      </c>
      <c r="Y467">
        <v>14.17</v>
      </c>
      <c r="Z467">
        <v>3505.628</v>
      </c>
      <c r="AA467" s="2"/>
      <c r="AB467" s="2"/>
      <c r="AC467" t="s">
        <v>2244</v>
      </c>
      <c r="AD467">
        <v>14.61</v>
      </c>
      <c r="AE467">
        <v>3562.697</v>
      </c>
      <c r="AF467" s="2">
        <f t="shared" si="43"/>
        <v>0.0310515172900494</v>
      </c>
      <c r="AG467" s="2">
        <f t="shared" si="44"/>
        <v>0.0162792515349603</v>
      </c>
      <c r="AH467" t="s">
        <v>2287</v>
      </c>
      <c r="AI467" t="s">
        <v>41</v>
      </c>
      <c r="AJ467" t="s">
        <v>41</v>
      </c>
    </row>
    <row r="468" spans="1:36">
      <c r="A468">
        <v>123128</v>
      </c>
      <c r="B468" t="s">
        <v>2288</v>
      </c>
      <c r="C468">
        <v>300483</v>
      </c>
      <c r="D468" t="s">
        <v>2289</v>
      </c>
      <c r="E468" t="s">
        <v>2290</v>
      </c>
      <c r="F468" t="s">
        <v>56</v>
      </c>
      <c r="G468" t="s">
        <v>2291</v>
      </c>
      <c r="H468" t="s">
        <v>33</v>
      </c>
      <c r="I468" t="s">
        <v>255</v>
      </c>
      <c r="J468" t="s">
        <v>255</v>
      </c>
      <c r="K468" t="s">
        <v>2292</v>
      </c>
      <c r="L468">
        <v>17.37</v>
      </c>
      <c r="M468">
        <v>3416.721</v>
      </c>
      <c r="N468" t="s">
        <v>2151</v>
      </c>
      <c r="O468">
        <v>14.43</v>
      </c>
      <c r="P468">
        <v>3525.604</v>
      </c>
      <c r="Q468" s="1">
        <f>(O468-L468)/L468</f>
        <v>-0.169257340241796</v>
      </c>
      <c r="R468" s="1">
        <f>(P468-M468)/M468</f>
        <v>0.0318676883479804</v>
      </c>
      <c r="S468" t="s">
        <v>1963</v>
      </c>
      <c r="T468">
        <v>27.45</v>
      </c>
      <c r="U468">
        <v>3656.223</v>
      </c>
      <c r="V468" s="1">
        <f>(T468-O468)/O468</f>
        <v>0.902286902286902</v>
      </c>
      <c r="W468" s="1">
        <f>(U468-P468)/P468</f>
        <v>0.0370486872603957</v>
      </c>
      <c r="X468" t="s">
        <v>2291</v>
      </c>
      <c r="Y468">
        <v>19.39</v>
      </c>
      <c r="Z468">
        <v>3544.48</v>
      </c>
      <c r="AA468" s="2">
        <f>(Y468-T468)/T468</f>
        <v>-0.293624772313297</v>
      </c>
      <c r="AB468" s="2">
        <f>(Z468-U468)/U468</f>
        <v>-0.0305624137258586</v>
      </c>
      <c r="AC468" t="s">
        <v>1979</v>
      </c>
      <c r="AD468">
        <v>18.95</v>
      </c>
      <c r="AE468">
        <v>3520.711</v>
      </c>
      <c r="AF468" s="2">
        <f t="shared" si="43"/>
        <v>-0.0226921093347087</v>
      </c>
      <c r="AG468" s="2">
        <f t="shared" si="44"/>
        <v>-0.00670592019139626</v>
      </c>
      <c r="AH468" t="s">
        <v>2293</v>
      </c>
      <c r="AI468" t="s">
        <v>41</v>
      </c>
      <c r="AJ468" t="s">
        <v>41</v>
      </c>
    </row>
    <row r="469" spans="1:36">
      <c r="A469">
        <v>123127</v>
      </c>
      <c r="B469" t="s">
        <v>2294</v>
      </c>
      <c r="C469">
        <v>300818</v>
      </c>
      <c r="D469" t="s">
        <v>222</v>
      </c>
      <c r="E469" t="s">
        <v>140</v>
      </c>
      <c r="F469" t="s">
        <v>41</v>
      </c>
      <c r="G469" t="s">
        <v>1891</v>
      </c>
      <c r="H469" t="s">
        <v>621</v>
      </c>
      <c r="I469" t="s">
        <v>255</v>
      </c>
      <c r="J469" t="s">
        <v>255</v>
      </c>
      <c r="K469" t="s">
        <v>2295</v>
      </c>
      <c r="L469">
        <v>12.93</v>
      </c>
      <c r="M469">
        <v>3599.541</v>
      </c>
      <c r="N469" t="s">
        <v>2296</v>
      </c>
      <c r="O469">
        <v>12.85</v>
      </c>
      <c r="P469">
        <v>3574.734</v>
      </c>
      <c r="Q469" s="1">
        <f>(O469-L469)/L469</f>
        <v>-0.00618716163959784</v>
      </c>
      <c r="R469" s="1">
        <f>(P469-M469)/M469</f>
        <v>-0.00689171202661679</v>
      </c>
      <c r="S469" t="s">
        <v>2002</v>
      </c>
      <c r="T469">
        <v>15.95</v>
      </c>
      <c r="U469">
        <v>3567.101</v>
      </c>
      <c r="V469" s="1">
        <f>(T469-O469)/O469</f>
        <v>0.24124513618677</v>
      </c>
      <c r="W469" s="1">
        <f>(U469-P469)/P469</f>
        <v>-0.00213526377067491</v>
      </c>
      <c r="X469" t="s">
        <v>1891</v>
      </c>
      <c r="Y469">
        <v>14.84</v>
      </c>
      <c r="Z469">
        <v>3547.336</v>
      </c>
      <c r="AA469" s="2">
        <f>(Y469-T469)/T469</f>
        <v>-0.0695924764890282</v>
      </c>
      <c r="AB469" s="2">
        <f>(Z469-U469)/U469</f>
        <v>-0.00554091403635623</v>
      </c>
      <c r="AC469" t="s">
        <v>2297</v>
      </c>
      <c r="AD469">
        <v>17.61</v>
      </c>
      <c r="AE469">
        <v>3560.373</v>
      </c>
      <c r="AF469" s="2">
        <f t="shared" si="43"/>
        <v>0.186657681940701</v>
      </c>
      <c r="AG469" s="2">
        <f t="shared" si="44"/>
        <v>0.00367515228329097</v>
      </c>
      <c r="AH469" t="s">
        <v>2298</v>
      </c>
      <c r="AI469" t="s">
        <v>2299</v>
      </c>
      <c r="AJ469" t="s">
        <v>625</v>
      </c>
    </row>
    <row r="470" hidden="1" spans="1:36">
      <c r="A470">
        <v>110082</v>
      </c>
      <c r="B470" t="s">
        <v>2300</v>
      </c>
      <c r="C470">
        <v>600885</v>
      </c>
      <c r="D470" t="s">
        <v>2301</v>
      </c>
      <c r="E470" t="s">
        <v>194</v>
      </c>
      <c r="F470" t="s">
        <v>397</v>
      </c>
      <c r="G470" t="s">
        <v>1874</v>
      </c>
      <c r="H470" t="s">
        <v>33</v>
      </c>
      <c r="I470" t="s">
        <v>255</v>
      </c>
      <c r="J470" t="s">
        <v>255</v>
      </c>
      <c r="K470" t="s">
        <v>255</v>
      </c>
      <c r="L470" t="s">
        <v>41</v>
      </c>
      <c r="M470" t="s">
        <v>41</v>
      </c>
      <c r="N470" t="s">
        <v>255</v>
      </c>
      <c r="O470" t="s">
        <v>41</v>
      </c>
      <c r="P470" t="s">
        <v>41</v>
      </c>
      <c r="Q470" s="2"/>
      <c r="R470" s="2"/>
      <c r="S470" t="s">
        <v>255</v>
      </c>
      <c r="T470" t="s">
        <v>41</v>
      </c>
      <c r="U470" t="s">
        <v>41</v>
      </c>
      <c r="V470" s="2"/>
      <c r="W470" s="2"/>
      <c r="X470" t="s">
        <v>1874</v>
      </c>
      <c r="Y470">
        <v>36.22</v>
      </c>
      <c r="Z470">
        <v>3518.417</v>
      </c>
      <c r="AA470" s="2"/>
      <c r="AB470" s="2"/>
      <c r="AC470" t="s">
        <v>2214</v>
      </c>
      <c r="AD470">
        <v>37.04</v>
      </c>
      <c r="AE470">
        <v>3589.089</v>
      </c>
      <c r="AF470" s="2">
        <f t="shared" si="43"/>
        <v>0.02263942573164</v>
      </c>
      <c r="AG470" s="2">
        <f t="shared" si="44"/>
        <v>0.0200863058585722</v>
      </c>
      <c r="AH470" t="s">
        <v>2302</v>
      </c>
      <c r="AI470" t="s">
        <v>121</v>
      </c>
      <c r="AJ470" t="s">
        <v>625</v>
      </c>
    </row>
    <row r="471" hidden="1" spans="1:36">
      <c r="A471">
        <v>113630</v>
      </c>
      <c r="B471" t="s">
        <v>2303</v>
      </c>
      <c r="C471">
        <v>603212</v>
      </c>
      <c r="D471" t="s">
        <v>2304</v>
      </c>
      <c r="E471" t="s">
        <v>1015</v>
      </c>
      <c r="F471" t="s">
        <v>41</v>
      </c>
      <c r="G471" t="s">
        <v>2305</v>
      </c>
      <c r="H471" t="s">
        <v>621</v>
      </c>
      <c r="I471" t="s">
        <v>255</v>
      </c>
      <c r="J471" t="s">
        <v>255</v>
      </c>
      <c r="K471" t="s">
        <v>255</v>
      </c>
      <c r="L471" t="s">
        <v>41</v>
      </c>
      <c r="M471" t="s">
        <v>41</v>
      </c>
      <c r="N471" t="s">
        <v>255</v>
      </c>
      <c r="O471" t="s">
        <v>41</v>
      </c>
      <c r="P471" t="s">
        <v>41</v>
      </c>
      <c r="Q471" s="2"/>
      <c r="R471" s="2"/>
      <c r="S471" t="s">
        <v>255</v>
      </c>
      <c r="T471" t="s">
        <v>41</v>
      </c>
      <c r="U471" t="s">
        <v>41</v>
      </c>
      <c r="V471" s="2"/>
      <c r="W471" s="2"/>
      <c r="X471" t="s">
        <v>2305</v>
      </c>
      <c r="Y471">
        <v>30.02</v>
      </c>
      <c r="Z471">
        <v>3562.305</v>
      </c>
      <c r="AA471" s="2"/>
      <c r="AB471" s="2"/>
      <c r="AC471" t="s">
        <v>2214</v>
      </c>
      <c r="AD471">
        <v>35.29</v>
      </c>
      <c r="AE471">
        <v>3589.089</v>
      </c>
      <c r="AF471" s="2">
        <f t="shared" si="43"/>
        <v>0.175549633577615</v>
      </c>
      <c r="AG471" s="2">
        <f t="shared" si="44"/>
        <v>0.007518727340865</v>
      </c>
      <c r="AH471" t="s">
        <v>2306</v>
      </c>
      <c r="AI471" t="s">
        <v>1497</v>
      </c>
      <c r="AJ471" t="s">
        <v>625</v>
      </c>
    </row>
    <row r="472" hidden="1" spans="1:36">
      <c r="A472">
        <v>127048</v>
      </c>
      <c r="B472" t="s">
        <v>2307</v>
      </c>
      <c r="C472">
        <v>2896</v>
      </c>
      <c r="D472" t="s">
        <v>2308</v>
      </c>
      <c r="E472" t="s">
        <v>722</v>
      </c>
      <c r="F472" t="s">
        <v>41</v>
      </c>
      <c r="G472" t="s">
        <v>1918</v>
      </c>
      <c r="H472" t="s">
        <v>621</v>
      </c>
      <c r="I472" t="s">
        <v>255</v>
      </c>
      <c r="J472" t="s">
        <v>255</v>
      </c>
      <c r="K472" t="s">
        <v>255</v>
      </c>
      <c r="L472" t="s">
        <v>41</v>
      </c>
      <c r="M472" t="s">
        <v>41</v>
      </c>
      <c r="N472" t="s">
        <v>255</v>
      </c>
      <c r="O472" t="s">
        <v>41</v>
      </c>
      <c r="P472" t="s">
        <v>41</v>
      </c>
      <c r="Q472" s="2"/>
      <c r="R472" s="2"/>
      <c r="S472" t="s">
        <v>255</v>
      </c>
      <c r="T472" t="s">
        <v>41</v>
      </c>
      <c r="U472" t="s">
        <v>41</v>
      </c>
      <c r="V472" s="2"/>
      <c r="W472" s="2"/>
      <c r="X472" t="s">
        <v>1918</v>
      </c>
      <c r="Y472">
        <v>12.03</v>
      </c>
      <c r="Z472">
        <v>3597.638</v>
      </c>
      <c r="AA472" s="2"/>
      <c r="AB472" s="2"/>
      <c r="AC472" t="s">
        <v>2281</v>
      </c>
      <c r="AD472">
        <v>13.26</v>
      </c>
      <c r="AE472">
        <v>3592.703</v>
      </c>
      <c r="AF472" s="2">
        <f t="shared" si="43"/>
        <v>0.102244389027431</v>
      </c>
      <c r="AG472" s="2">
        <f t="shared" si="44"/>
        <v>-0.00137173334282102</v>
      </c>
      <c r="AH472" t="s">
        <v>2309</v>
      </c>
      <c r="AI472" t="s">
        <v>1827</v>
      </c>
      <c r="AJ472" t="s">
        <v>625</v>
      </c>
    </row>
    <row r="473" hidden="1" spans="1:36">
      <c r="A473">
        <v>127047</v>
      </c>
      <c r="B473" t="s">
        <v>2310</v>
      </c>
      <c r="C473">
        <v>2798</v>
      </c>
      <c r="D473" t="s">
        <v>2311</v>
      </c>
      <c r="E473" t="s">
        <v>155</v>
      </c>
      <c r="F473" t="s">
        <v>1208</v>
      </c>
      <c r="G473" t="s">
        <v>1903</v>
      </c>
      <c r="H473" t="s">
        <v>33</v>
      </c>
      <c r="I473" t="s">
        <v>255</v>
      </c>
      <c r="J473" t="s">
        <v>255</v>
      </c>
      <c r="K473" t="s">
        <v>255</v>
      </c>
      <c r="L473" t="s">
        <v>41</v>
      </c>
      <c r="M473" t="s">
        <v>41</v>
      </c>
      <c r="N473" t="s">
        <v>255</v>
      </c>
      <c r="O473" t="s">
        <v>41</v>
      </c>
      <c r="P473" t="s">
        <v>41</v>
      </c>
      <c r="Q473" s="2"/>
      <c r="R473" s="2"/>
      <c r="S473" t="s">
        <v>255</v>
      </c>
      <c r="T473" t="s">
        <v>41</v>
      </c>
      <c r="U473" t="s">
        <v>41</v>
      </c>
      <c r="V473" s="2"/>
      <c r="W473" s="2"/>
      <c r="X473" t="s">
        <v>1903</v>
      </c>
      <c r="Y473">
        <v>13.91</v>
      </c>
      <c r="Z473">
        <v>3609.863</v>
      </c>
      <c r="AA473" s="2"/>
      <c r="AB473" s="2"/>
      <c r="AC473" t="s">
        <v>2312</v>
      </c>
      <c r="AD473">
        <v>13.88</v>
      </c>
      <c r="AE473">
        <v>3564.089</v>
      </c>
      <c r="AF473" s="2">
        <f t="shared" si="43"/>
        <v>-0.00215672178288996</v>
      </c>
      <c r="AG473" s="2">
        <f t="shared" si="44"/>
        <v>-0.0126802596109603</v>
      </c>
      <c r="AH473" t="s">
        <v>2313</v>
      </c>
      <c r="AI473" t="s">
        <v>41</v>
      </c>
      <c r="AJ473" t="s">
        <v>41</v>
      </c>
    </row>
    <row r="474" hidden="1" spans="1:36">
      <c r="A474">
        <v>127046</v>
      </c>
      <c r="B474" t="s">
        <v>2314</v>
      </c>
      <c r="C474">
        <v>2568</v>
      </c>
      <c r="D474" t="s">
        <v>2315</v>
      </c>
      <c r="E474" t="s">
        <v>2316</v>
      </c>
      <c r="F474" t="s">
        <v>397</v>
      </c>
      <c r="G474" t="s">
        <v>2317</v>
      </c>
      <c r="H474" t="s">
        <v>33</v>
      </c>
      <c r="I474" t="s">
        <v>255</v>
      </c>
      <c r="J474" t="s">
        <v>255</v>
      </c>
      <c r="K474" t="s">
        <v>255</v>
      </c>
      <c r="L474" t="s">
        <v>41</v>
      </c>
      <c r="M474" t="s">
        <v>41</v>
      </c>
      <c r="N474" t="s">
        <v>255</v>
      </c>
      <c r="O474" t="s">
        <v>41</v>
      </c>
      <c r="P474" t="s">
        <v>41</v>
      </c>
      <c r="Q474" s="2"/>
      <c r="R474" s="2"/>
      <c r="S474" t="s">
        <v>255</v>
      </c>
      <c r="T474" t="s">
        <v>41</v>
      </c>
      <c r="U474" t="s">
        <v>41</v>
      </c>
      <c r="V474" s="2"/>
      <c r="W474" s="2"/>
      <c r="X474" t="s">
        <v>2317</v>
      </c>
      <c r="Y474">
        <v>48.13</v>
      </c>
      <c r="Z474">
        <v>3536.294</v>
      </c>
      <c r="AA474" s="2"/>
      <c r="AB474" s="2"/>
      <c r="AC474" t="s">
        <v>2318</v>
      </c>
      <c r="AD474">
        <v>46.71</v>
      </c>
      <c r="AE474">
        <v>3498.537</v>
      </c>
      <c r="AF474" s="2">
        <f t="shared" si="43"/>
        <v>-0.0295034282152504</v>
      </c>
      <c r="AG474" s="2">
        <f t="shared" si="44"/>
        <v>-0.0106769968786532</v>
      </c>
      <c r="AH474" t="s">
        <v>2319</v>
      </c>
      <c r="AI474" t="s">
        <v>41</v>
      </c>
      <c r="AJ474" t="s">
        <v>41</v>
      </c>
    </row>
    <row r="475" hidden="1" spans="1:36">
      <c r="A475">
        <v>113629</v>
      </c>
      <c r="B475" t="s">
        <v>2320</v>
      </c>
      <c r="C475">
        <v>603982</v>
      </c>
      <c r="D475" t="s">
        <v>2321</v>
      </c>
      <c r="E475" t="s">
        <v>859</v>
      </c>
      <c r="F475" t="s">
        <v>41</v>
      </c>
      <c r="G475" t="s">
        <v>2322</v>
      </c>
      <c r="H475" t="s">
        <v>621</v>
      </c>
      <c r="I475" t="s">
        <v>255</v>
      </c>
      <c r="J475" t="s">
        <v>255</v>
      </c>
      <c r="K475" t="s">
        <v>255</v>
      </c>
      <c r="L475" t="s">
        <v>41</v>
      </c>
      <c r="M475" t="s">
        <v>41</v>
      </c>
      <c r="N475" t="s">
        <v>255</v>
      </c>
      <c r="O475" t="s">
        <v>41</v>
      </c>
      <c r="P475" t="s">
        <v>41</v>
      </c>
      <c r="Q475" s="2"/>
      <c r="R475" s="2"/>
      <c r="S475" t="s">
        <v>255</v>
      </c>
      <c r="T475" t="s">
        <v>41</v>
      </c>
      <c r="U475" t="s">
        <v>41</v>
      </c>
      <c r="V475" s="2"/>
      <c r="W475" s="2"/>
      <c r="X475" t="s">
        <v>2322</v>
      </c>
      <c r="Y475">
        <v>22.06</v>
      </c>
      <c r="Z475">
        <v>3662.602</v>
      </c>
      <c r="AA475" s="2"/>
      <c r="AB475" s="2"/>
      <c r="AC475" t="s">
        <v>2323</v>
      </c>
      <c r="AD475">
        <v>27.07</v>
      </c>
      <c r="AE475">
        <v>3594.783</v>
      </c>
      <c r="AF475" s="2">
        <f t="shared" si="43"/>
        <v>0.227107887579329</v>
      </c>
      <c r="AG475" s="2">
        <f t="shared" si="44"/>
        <v>-0.0185166174211667</v>
      </c>
      <c r="AH475" t="s">
        <v>2324</v>
      </c>
      <c r="AI475" t="s">
        <v>412</v>
      </c>
      <c r="AJ475" t="s">
        <v>625</v>
      </c>
    </row>
    <row r="476" spans="1:36">
      <c r="A476">
        <v>123126</v>
      </c>
      <c r="B476" t="s">
        <v>2325</v>
      </c>
      <c r="C476">
        <v>300243</v>
      </c>
      <c r="D476" t="s">
        <v>2326</v>
      </c>
      <c r="E476" t="s">
        <v>1531</v>
      </c>
      <c r="F476" t="s">
        <v>708</v>
      </c>
      <c r="G476" t="s">
        <v>2327</v>
      </c>
      <c r="H476" t="s">
        <v>33</v>
      </c>
      <c r="I476" t="s">
        <v>255</v>
      </c>
      <c r="J476" t="s">
        <v>255</v>
      </c>
      <c r="K476" t="s">
        <v>2328</v>
      </c>
      <c r="L476">
        <v>12.06</v>
      </c>
      <c r="M476">
        <v>3312.667</v>
      </c>
      <c r="N476" t="s">
        <v>2329</v>
      </c>
      <c r="O476">
        <v>16.6</v>
      </c>
      <c r="P476">
        <v>3621.264</v>
      </c>
      <c r="Q476" s="1">
        <f>(O476-L476)/L476</f>
        <v>0.376451077943615</v>
      </c>
      <c r="R476" s="1">
        <f>(P476-M476)/M476</f>
        <v>0.0931566619886636</v>
      </c>
      <c r="S476" t="s">
        <v>2330</v>
      </c>
      <c r="T476">
        <v>13.26</v>
      </c>
      <c r="U476">
        <v>3357.737</v>
      </c>
      <c r="V476" s="1">
        <f>(T476-O476)/O476</f>
        <v>-0.201204819277109</v>
      </c>
      <c r="W476" s="1">
        <f>(U476-P476)/P476</f>
        <v>-0.0727721038841686</v>
      </c>
      <c r="X476" t="s">
        <v>2327</v>
      </c>
      <c r="Y476">
        <v>16.76</v>
      </c>
      <c r="Z476">
        <v>3703.11</v>
      </c>
      <c r="AA476" s="2">
        <f>(Y476-T476)/T476</f>
        <v>0.26395173453997</v>
      </c>
      <c r="AB476" s="2">
        <f>(Z476-U476)/U476</f>
        <v>0.102858860000054</v>
      </c>
      <c r="AC476" t="s">
        <v>1926</v>
      </c>
      <c r="AD476">
        <v>14.55</v>
      </c>
      <c r="AE476">
        <v>3568.138</v>
      </c>
      <c r="AF476" s="2">
        <f t="shared" si="43"/>
        <v>-0.131861575178998</v>
      </c>
      <c r="AG476" s="2">
        <f t="shared" si="44"/>
        <v>-0.0364482826597104</v>
      </c>
      <c r="AH476" t="s">
        <v>2331</v>
      </c>
      <c r="AI476" t="s">
        <v>41</v>
      </c>
      <c r="AJ476" t="s">
        <v>41</v>
      </c>
    </row>
    <row r="477" spans="1:36">
      <c r="A477">
        <v>123125</v>
      </c>
      <c r="B477" t="s">
        <v>2332</v>
      </c>
      <c r="C477">
        <v>300174</v>
      </c>
      <c r="D477" t="s">
        <v>2333</v>
      </c>
      <c r="E477" t="s">
        <v>1183</v>
      </c>
      <c r="F477" t="s">
        <v>41</v>
      </c>
      <c r="G477" t="s">
        <v>2334</v>
      </c>
      <c r="H477" t="s">
        <v>621</v>
      </c>
      <c r="I477" t="s">
        <v>255</v>
      </c>
      <c r="J477" t="s">
        <v>255</v>
      </c>
      <c r="K477" t="s">
        <v>2335</v>
      </c>
      <c r="L477">
        <v>13.73</v>
      </c>
      <c r="M477">
        <v>3581.342</v>
      </c>
      <c r="N477" t="s">
        <v>2336</v>
      </c>
      <c r="O477">
        <v>15.22</v>
      </c>
      <c r="P477">
        <v>3539.304</v>
      </c>
      <c r="Q477" s="1">
        <f>(O477-L477)/L477</f>
        <v>0.108521485797524</v>
      </c>
      <c r="R477" s="1">
        <f>(P477-M477)/M477</f>
        <v>-0.0117380579682142</v>
      </c>
      <c r="S477" t="s">
        <v>2082</v>
      </c>
      <c r="T477">
        <v>16.92</v>
      </c>
      <c r="U477">
        <v>3477.132</v>
      </c>
      <c r="V477" s="1">
        <f>(T477-O477)/O477</f>
        <v>0.111695137976347</v>
      </c>
      <c r="W477" s="1">
        <f>(U477-P477)/P477</f>
        <v>-0.0175661655511931</v>
      </c>
      <c r="X477" t="s">
        <v>2334</v>
      </c>
      <c r="Y477">
        <v>16.22</v>
      </c>
      <c r="Z477">
        <v>3621.859</v>
      </c>
      <c r="AA477" s="2">
        <f>(Y477-T477)/T477</f>
        <v>-0.0413711583924352</v>
      </c>
      <c r="AB477" s="2">
        <f>(Z477-U477)/U477</f>
        <v>0.0416225210892195</v>
      </c>
      <c r="AC477" t="s">
        <v>2337</v>
      </c>
      <c r="AD477">
        <v>15.47</v>
      </c>
      <c r="AE477">
        <v>3568.167</v>
      </c>
      <c r="AF477" s="2">
        <f t="shared" si="43"/>
        <v>-0.0462392108508014</v>
      </c>
      <c r="AG477" s="2">
        <f t="shared" si="44"/>
        <v>-0.0148244313210426</v>
      </c>
      <c r="AH477" t="s">
        <v>2338</v>
      </c>
      <c r="AI477" t="s">
        <v>1511</v>
      </c>
      <c r="AJ477" t="s">
        <v>625</v>
      </c>
    </row>
    <row r="478" hidden="1" spans="1:36">
      <c r="A478">
        <v>113628</v>
      </c>
      <c r="B478" t="s">
        <v>2339</v>
      </c>
      <c r="C478">
        <v>603685</v>
      </c>
      <c r="D478" t="s">
        <v>2340</v>
      </c>
      <c r="E478" t="s">
        <v>2341</v>
      </c>
      <c r="F478" t="s">
        <v>41</v>
      </c>
      <c r="G478" t="s">
        <v>2082</v>
      </c>
      <c r="H478" t="s">
        <v>621</v>
      </c>
      <c r="I478" t="s">
        <v>255</v>
      </c>
      <c r="J478" t="s">
        <v>255</v>
      </c>
      <c r="K478" t="s">
        <v>255</v>
      </c>
      <c r="L478" t="s">
        <v>41</v>
      </c>
      <c r="M478" t="s">
        <v>41</v>
      </c>
      <c r="N478" t="s">
        <v>255</v>
      </c>
      <c r="O478" t="s">
        <v>41</v>
      </c>
      <c r="P478" t="s">
        <v>41</v>
      </c>
      <c r="Q478" s="2"/>
      <c r="R478" s="2"/>
      <c r="S478" t="s">
        <v>255</v>
      </c>
      <c r="T478" t="s">
        <v>41</v>
      </c>
      <c r="U478" t="s">
        <v>41</v>
      </c>
      <c r="V478" s="2"/>
      <c r="W478" s="2"/>
      <c r="X478" t="s">
        <v>2082</v>
      </c>
      <c r="Y478">
        <v>13.63</v>
      </c>
      <c r="Z478">
        <v>3477.132</v>
      </c>
      <c r="AA478" s="2"/>
      <c r="AB478" s="2"/>
      <c r="AC478" t="s">
        <v>2342</v>
      </c>
      <c r="AD478">
        <v>12.22</v>
      </c>
      <c r="AE478">
        <v>3613.966</v>
      </c>
      <c r="AF478" s="2">
        <f t="shared" si="43"/>
        <v>-0.103448275862069</v>
      </c>
      <c r="AG478" s="2">
        <f t="shared" si="44"/>
        <v>0.0393525468690863</v>
      </c>
      <c r="AH478" t="s">
        <v>2343</v>
      </c>
      <c r="AI478" t="s">
        <v>684</v>
      </c>
      <c r="AJ478" t="s">
        <v>625</v>
      </c>
    </row>
    <row r="479" hidden="1" spans="1:36">
      <c r="A479">
        <v>127045</v>
      </c>
      <c r="B479" t="s">
        <v>2344</v>
      </c>
      <c r="C479">
        <v>2714</v>
      </c>
      <c r="D479" t="s">
        <v>2345</v>
      </c>
      <c r="E479" t="s">
        <v>2346</v>
      </c>
      <c r="F479" t="s">
        <v>98</v>
      </c>
      <c r="G479" t="s">
        <v>2347</v>
      </c>
      <c r="H479" t="s">
        <v>33</v>
      </c>
      <c r="I479" t="s">
        <v>255</v>
      </c>
      <c r="J479" t="s">
        <v>255</v>
      </c>
      <c r="K479" t="s">
        <v>255</v>
      </c>
      <c r="L479" t="s">
        <v>41</v>
      </c>
      <c r="M479" t="s">
        <v>41</v>
      </c>
      <c r="N479" t="s">
        <v>255</v>
      </c>
      <c r="O479" t="s">
        <v>41</v>
      </c>
      <c r="P479" t="s">
        <v>41</v>
      </c>
      <c r="Q479" s="2"/>
      <c r="R479" s="2"/>
      <c r="S479" t="s">
        <v>255</v>
      </c>
      <c r="T479" t="s">
        <v>41</v>
      </c>
      <c r="U479" t="s">
        <v>41</v>
      </c>
      <c r="V479" s="2"/>
      <c r="W479" s="2"/>
      <c r="X479" t="s">
        <v>2347</v>
      </c>
      <c r="Y479">
        <v>44.11</v>
      </c>
      <c r="Z479">
        <v>3517.345</v>
      </c>
      <c r="AA479" s="2"/>
      <c r="AB479" s="2"/>
      <c r="AC479" t="s">
        <v>2327</v>
      </c>
      <c r="AD479">
        <v>42.16</v>
      </c>
      <c r="AE479">
        <v>3703.11</v>
      </c>
      <c r="AF479" s="2">
        <f t="shared" si="43"/>
        <v>-0.0442076626615281</v>
      </c>
      <c r="AG479" s="2">
        <f t="shared" si="44"/>
        <v>0.0528139832743164</v>
      </c>
      <c r="AH479" t="s">
        <v>2348</v>
      </c>
      <c r="AI479" t="s">
        <v>41</v>
      </c>
      <c r="AJ479" t="s">
        <v>41</v>
      </c>
    </row>
    <row r="480" spans="1:36">
      <c r="A480">
        <v>123124</v>
      </c>
      <c r="B480" t="s">
        <v>2349</v>
      </c>
      <c r="C480">
        <v>300655</v>
      </c>
      <c r="D480" t="s">
        <v>2350</v>
      </c>
      <c r="E480" t="s">
        <v>2351</v>
      </c>
      <c r="F480" t="s">
        <v>31</v>
      </c>
      <c r="G480" t="s">
        <v>2347</v>
      </c>
      <c r="H480" t="s">
        <v>33</v>
      </c>
      <c r="I480" t="s">
        <v>255</v>
      </c>
      <c r="J480" t="s">
        <v>255</v>
      </c>
      <c r="K480" t="s">
        <v>2352</v>
      </c>
      <c r="L480">
        <v>5.69</v>
      </c>
      <c r="M480">
        <v>3564.08</v>
      </c>
      <c r="N480" t="s">
        <v>2185</v>
      </c>
      <c r="O480">
        <v>8.5</v>
      </c>
      <c r="P480">
        <v>3608.851</v>
      </c>
      <c r="Q480" s="1">
        <f>(O480-L480)/L480</f>
        <v>0.493848857644991</v>
      </c>
      <c r="R480" s="1">
        <f>(P480-M480)/M480</f>
        <v>0.0125617270094948</v>
      </c>
      <c r="S480" t="s">
        <v>2353</v>
      </c>
      <c r="T480">
        <v>20.9</v>
      </c>
      <c r="U480">
        <v>3397.357</v>
      </c>
      <c r="V480" s="1">
        <f>(T480-O480)/O480</f>
        <v>1.45882352941176</v>
      </c>
      <c r="W480" s="1">
        <f>(U480-P480)/P480</f>
        <v>-0.0586042482773603</v>
      </c>
      <c r="X480" t="s">
        <v>2347</v>
      </c>
      <c r="Y480">
        <v>17.58</v>
      </c>
      <c r="Z480">
        <v>3517.345</v>
      </c>
      <c r="AA480" s="2">
        <f>(Y480-T480)/T480</f>
        <v>-0.158851674641148</v>
      </c>
      <c r="AB480" s="2">
        <f>(Z480-U480)/U480</f>
        <v>0.0353180428197566</v>
      </c>
      <c r="AC480" t="s">
        <v>2056</v>
      </c>
      <c r="AD480">
        <v>16.58</v>
      </c>
      <c r="AE480">
        <v>3676.587</v>
      </c>
      <c r="AF480" s="2">
        <f t="shared" si="43"/>
        <v>-0.0568828213879408</v>
      </c>
      <c r="AG480" s="2">
        <f t="shared" si="44"/>
        <v>0.0452733524860371</v>
      </c>
      <c r="AH480" t="s">
        <v>2348</v>
      </c>
      <c r="AI480" t="s">
        <v>41</v>
      </c>
      <c r="AJ480" t="s">
        <v>41</v>
      </c>
    </row>
    <row r="481" hidden="1" spans="1:36">
      <c r="A481">
        <v>127044</v>
      </c>
      <c r="B481" t="s">
        <v>2354</v>
      </c>
      <c r="C481">
        <v>2918</v>
      </c>
      <c r="D481" t="s">
        <v>2355</v>
      </c>
      <c r="E481" t="s">
        <v>2356</v>
      </c>
      <c r="F481" t="s">
        <v>56</v>
      </c>
      <c r="G481" t="s">
        <v>2347</v>
      </c>
      <c r="H481" t="s">
        <v>33</v>
      </c>
      <c r="I481" t="s">
        <v>255</v>
      </c>
      <c r="J481" t="s">
        <v>255</v>
      </c>
      <c r="K481" t="s">
        <v>255</v>
      </c>
      <c r="L481" t="s">
        <v>41</v>
      </c>
      <c r="M481" t="s">
        <v>41</v>
      </c>
      <c r="N481" t="s">
        <v>255</v>
      </c>
      <c r="O481" t="s">
        <v>41</v>
      </c>
      <c r="P481" t="s">
        <v>41</v>
      </c>
      <c r="Q481" s="2"/>
      <c r="R481" s="2"/>
      <c r="S481" t="s">
        <v>255</v>
      </c>
      <c r="T481" t="s">
        <v>41</v>
      </c>
      <c r="U481" t="s">
        <v>41</v>
      </c>
      <c r="V481" s="2"/>
      <c r="W481" s="2"/>
      <c r="X481" t="s">
        <v>2347</v>
      </c>
      <c r="Y481">
        <v>26.83</v>
      </c>
      <c r="Z481">
        <v>3517.345</v>
      </c>
      <c r="AA481" s="2"/>
      <c r="AB481" s="2"/>
      <c r="AC481" t="s">
        <v>2357</v>
      </c>
      <c r="AD481">
        <v>22.02</v>
      </c>
      <c r="AE481">
        <v>3607.092</v>
      </c>
      <c r="AF481" s="2">
        <f t="shared" si="43"/>
        <v>-0.179276928811032</v>
      </c>
      <c r="AG481" s="2">
        <f t="shared" si="44"/>
        <v>0.0255155522133883</v>
      </c>
      <c r="AH481" t="s">
        <v>2348</v>
      </c>
      <c r="AI481" t="s">
        <v>41</v>
      </c>
      <c r="AJ481" t="s">
        <v>41</v>
      </c>
    </row>
    <row r="482" hidden="1" spans="1:36">
      <c r="A482">
        <v>118002</v>
      </c>
      <c r="B482" t="s">
        <v>2358</v>
      </c>
      <c r="C482">
        <v>688599</v>
      </c>
      <c r="D482" t="s">
        <v>1495</v>
      </c>
      <c r="E482" t="s">
        <v>2359</v>
      </c>
      <c r="F482" t="s">
        <v>41</v>
      </c>
      <c r="G482" t="s">
        <v>2061</v>
      </c>
      <c r="H482" t="s">
        <v>621</v>
      </c>
      <c r="I482" t="s">
        <v>255</v>
      </c>
      <c r="J482" t="s">
        <v>255</v>
      </c>
      <c r="K482" t="s">
        <v>255</v>
      </c>
      <c r="L482" t="s">
        <v>41</v>
      </c>
      <c r="M482" t="s">
        <v>41</v>
      </c>
      <c r="N482" t="s">
        <v>255</v>
      </c>
      <c r="O482" t="s">
        <v>41</v>
      </c>
      <c r="P482" t="s">
        <v>41</v>
      </c>
      <c r="Q482" s="2"/>
      <c r="R482" s="2"/>
      <c r="S482" t="s">
        <v>255</v>
      </c>
      <c r="T482" t="s">
        <v>41</v>
      </c>
      <c r="U482" t="s">
        <v>41</v>
      </c>
      <c r="V482" s="2"/>
      <c r="W482" s="2"/>
      <c r="X482" t="s">
        <v>2061</v>
      </c>
      <c r="Y482">
        <v>43.96</v>
      </c>
      <c r="Z482">
        <v>3516.299</v>
      </c>
      <c r="AA482" s="2"/>
      <c r="AB482" s="2"/>
      <c r="AC482" t="s">
        <v>2002</v>
      </c>
      <c r="AD482">
        <v>56</v>
      </c>
      <c r="AE482">
        <v>3567.101</v>
      </c>
      <c r="AF482" s="2">
        <f t="shared" si="43"/>
        <v>0.273885350318471</v>
      </c>
      <c r="AG482" s="2">
        <f t="shared" si="44"/>
        <v>0.0144475768414461</v>
      </c>
      <c r="AH482" t="s">
        <v>2360</v>
      </c>
      <c r="AI482" t="s">
        <v>2073</v>
      </c>
      <c r="AJ482" t="s">
        <v>625</v>
      </c>
    </row>
    <row r="483" hidden="1" spans="1:36">
      <c r="A483">
        <v>127043</v>
      </c>
      <c r="B483" t="s">
        <v>2361</v>
      </c>
      <c r="C483">
        <v>2895</v>
      </c>
      <c r="D483" t="s">
        <v>2362</v>
      </c>
      <c r="E483" t="s">
        <v>1120</v>
      </c>
      <c r="F483" t="s">
        <v>41</v>
      </c>
      <c r="G483" t="s">
        <v>2108</v>
      </c>
      <c r="H483" t="s">
        <v>621</v>
      </c>
      <c r="I483" t="s">
        <v>255</v>
      </c>
      <c r="J483" t="s">
        <v>255</v>
      </c>
      <c r="K483" t="s">
        <v>255</v>
      </c>
      <c r="L483" t="s">
        <v>41</v>
      </c>
      <c r="M483" t="s">
        <v>41</v>
      </c>
      <c r="N483" t="s">
        <v>255</v>
      </c>
      <c r="O483" t="s">
        <v>41</v>
      </c>
      <c r="P483" t="s">
        <v>41</v>
      </c>
      <c r="Q483" s="2"/>
      <c r="R483" s="2"/>
      <c r="S483" t="s">
        <v>255</v>
      </c>
      <c r="T483" t="s">
        <v>41</v>
      </c>
      <c r="U483" t="s">
        <v>41</v>
      </c>
      <c r="V483" s="2"/>
      <c r="W483" s="2"/>
      <c r="X483" t="s">
        <v>2108</v>
      </c>
      <c r="Y483">
        <v>20.34</v>
      </c>
      <c r="Z483">
        <v>3524.737</v>
      </c>
      <c r="AA483" s="2"/>
      <c r="AB483" s="2"/>
      <c r="AC483" t="s">
        <v>2363</v>
      </c>
      <c r="AD483">
        <v>37.56</v>
      </c>
      <c r="AE483">
        <v>3642.22</v>
      </c>
      <c r="AF483" s="2">
        <f t="shared" si="43"/>
        <v>0.846607669616519</v>
      </c>
      <c r="AG483" s="2">
        <f t="shared" si="44"/>
        <v>0.0333309974616545</v>
      </c>
      <c r="AH483" t="s">
        <v>2360</v>
      </c>
      <c r="AI483" t="s">
        <v>486</v>
      </c>
      <c r="AJ483" t="s">
        <v>625</v>
      </c>
    </row>
    <row r="484" spans="1:36">
      <c r="A484">
        <v>123123</v>
      </c>
      <c r="B484" t="s">
        <v>2364</v>
      </c>
      <c r="C484">
        <v>300666</v>
      </c>
      <c r="D484" t="s">
        <v>2365</v>
      </c>
      <c r="E484" t="s">
        <v>1009</v>
      </c>
      <c r="F484" t="s">
        <v>41</v>
      </c>
      <c r="G484" t="s">
        <v>2108</v>
      </c>
      <c r="H484" t="s">
        <v>621</v>
      </c>
      <c r="I484" t="s">
        <v>255</v>
      </c>
      <c r="J484" t="s">
        <v>255</v>
      </c>
      <c r="K484" t="s">
        <v>2366</v>
      </c>
      <c r="L484">
        <v>48.33</v>
      </c>
      <c r="M484">
        <v>3573.341</v>
      </c>
      <c r="N484" t="s">
        <v>2367</v>
      </c>
      <c r="O484">
        <v>44.2</v>
      </c>
      <c r="P484">
        <v>3450.677</v>
      </c>
      <c r="Q484" s="1">
        <f>(O484-L484)/L484</f>
        <v>-0.0854541692530518</v>
      </c>
      <c r="R484" s="1">
        <f>(P484-M484)/M484</f>
        <v>-0.0343275382897965</v>
      </c>
      <c r="S484" t="s">
        <v>2368</v>
      </c>
      <c r="T484">
        <v>46.75</v>
      </c>
      <c r="U484">
        <v>3528.501</v>
      </c>
      <c r="V484" s="1">
        <f>(T484-O484)/O484</f>
        <v>0.0576923076923076</v>
      </c>
      <c r="W484" s="1">
        <f>(U484-P484)/P484</f>
        <v>0.0225532554916036</v>
      </c>
      <c r="X484" t="s">
        <v>2108</v>
      </c>
      <c r="Y484">
        <v>53.14</v>
      </c>
      <c r="Z484">
        <v>3524.737</v>
      </c>
      <c r="AA484" s="2">
        <f>(Y484-T484)/T484</f>
        <v>0.13668449197861</v>
      </c>
      <c r="AB484" s="2">
        <f>(Z484-U484)/U484</f>
        <v>-0.00106674193942417</v>
      </c>
      <c r="AC484" t="s">
        <v>2002</v>
      </c>
      <c r="AD484">
        <v>48.14</v>
      </c>
      <c r="AE484">
        <v>3567.101</v>
      </c>
      <c r="AF484" s="2">
        <f t="shared" si="43"/>
        <v>-0.0940910801656003</v>
      </c>
      <c r="AG484" s="2">
        <f t="shared" si="44"/>
        <v>0.0120190527690435</v>
      </c>
      <c r="AH484" t="s">
        <v>2369</v>
      </c>
      <c r="AI484" t="s">
        <v>1370</v>
      </c>
      <c r="AJ484" t="s">
        <v>625</v>
      </c>
    </row>
    <row r="485" hidden="1" spans="1:36">
      <c r="A485">
        <v>127042</v>
      </c>
      <c r="B485" t="s">
        <v>2370</v>
      </c>
      <c r="C485">
        <v>2969</v>
      </c>
      <c r="D485" t="s">
        <v>2371</v>
      </c>
      <c r="E485" t="s">
        <v>145</v>
      </c>
      <c r="F485" t="s">
        <v>397</v>
      </c>
      <c r="G485" t="s">
        <v>2089</v>
      </c>
      <c r="H485" t="s">
        <v>33</v>
      </c>
      <c r="I485" t="s">
        <v>255</v>
      </c>
      <c r="J485" t="s">
        <v>255</v>
      </c>
      <c r="K485" t="s">
        <v>255</v>
      </c>
      <c r="L485" t="s">
        <v>41</v>
      </c>
      <c r="M485" t="s">
        <v>41</v>
      </c>
      <c r="N485" t="s">
        <v>255</v>
      </c>
      <c r="O485" t="s">
        <v>41</v>
      </c>
      <c r="P485" t="s">
        <v>41</v>
      </c>
      <c r="Q485" s="2"/>
      <c r="R485" s="2"/>
      <c r="S485" t="s">
        <v>255</v>
      </c>
      <c r="T485" t="s">
        <v>41</v>
      </c>
      <c r="U485" t="s">
        <v>41</v>
      </c>
      <c r="V485" s="2"/>
      <c r="W485" s="2"/>
      <c r="X485" t="s">
        <v>2089</v>
      </c>
      <c r="Y485">
        <v>4.84</v>
      </c>
      <c r="Z485">
        <v>3494.635</v>
      </c>
      <c r="AA485" s="2"/>
      <c r="AB485" s="2"/>
      <c r="AC485" t="s">
        <v>2372</v>
      </c>
      <c r="AD485">
        <v>5.26</v>
      </c>
      <c r="AE485">
        <v>3675.187</v>
      </c>
      <c r="AF485" s="2">
        <f t="shared" si="43"/>
        <v>0.0867768595041322</v>
      </c>
      <c r="AG485" s="2">
        <f t="shared" si="44"/>
        <v>0.0516654815166676</v>
      </c>
      <c r="AH485" t="s">
        <v>2373</v>
      </c>
      <c r="AI485" t="s">
        <v>41</v>
      </c>
      <c r="AJ485" t="s">
        <v>41</v>
      </c>
    </row>
    <row r="486" spans="1:36">
      <c r="A486">
        <v>123122</v>
      </c>
      <c r="B486" t="s">
        <v>2374</v>
      </c>
      <c r="C486">
        <v>300613</v>
      </c>
      <c r="D486" t="s">
        <v>2375</v>
      </c>
      <c r="E486" t="s">
        <v>2376</v>
      </c>
      <c r="F486" t="s">
        <v>31</v>
      </c>
      <c r="G486" t="s">
        <v>1561</v>
      </c>
      <c r="H486" t="s">
        <v>33</v>
      </c>
      <c r="I486" t="s">
        <v>255</v>
      </c>
      <c r="J486" t="s">
        <v>255</v>
      </c>
      <c r="K486" t="s">
        <v>2377</v>
      </c>
      <c r="L486">
        <v>43.51</v>
      </c>
      <c r="M486">
        <v>3502.958</v>
      </c>
      <c r="N486" t="s">
        <v>2378</v>
      </c>
      <c r="O486">
        <v>47.71</v>
      </c>
      <c r="P486">
        <v>3474.901</v>
      </c>
      <c r="Q486" s="1">
        <f>(O486-L486)/L486</f>
        <v>0.0965295334405884</v>
      </c>
      <c r="R486" s="1">
        <f>(P486-M486)/M486</f>
        <v>-0.00800951652860247</v>
      </c>
      <c r="S486" t="s">
        <v>2186</v>
      </c>
      <c r="T486">
        <v>82.37</v>
      </c>
      <c r="U486">
        <v>3518.76</v>
      </c>
      <c r="V486" s="1">
        <f>(T486-O486)/O486</f>
        <v>0.7264724376441</v>
      </c>
      <c r="W486" s="1">
        <f>(U486-P486)/P486</f>
        <v>0.0126216545449785</v>
      </c>
      <c r="X486" t="s">
        <v>1561</v>
      </c>
      <c r="Y486">
        <v>94.95</v>
      </c>
      <c r="Z486">
        <v>3458.228</v>
      </c>
      <c r="AA486" s="2">
        <f>(Y486-T486)/T486</f>
        <v>0.152725506859293</v>
      </c>
      <c r="AB486" s="2">
        <f>(Z486-U486)/U486</f>
        <v>-0.0172026509338517</v>
      </c>
      <c r="AC486" t="s">
        <v>1857</v>
      </c>
      <c r="AD486">
        <v>98.11</v>
      </c>
      <c r="AE486">
        <v>3514.471</v>
      </c>
      <c r="AF486" s="2">
        <f t="shared" si="43"/>
        <v>0.0332806740389678</v>
      </c>
      <c r="AG486" s="2">
        <f t="shared" si="44"/>
        <v>0.0162635314964774</v>
      </c>
      <c r="AH486" t="s">
        <v>2379</v>
      </c>
      <c r="AI486" t="s">
        <v>41</v>
      </c>
      <c r="AJ486" t="s">
        <v>41</v>
      </c>
    </row>
    <row r="487" spans="1:36">
      <c r="A487">
        <v>123121</v>
      </c>
      <c r="B487" t="s">
        <v>2380</v>
      </c>
      <c r="C487">
        <v>300776</v>
      </c>
      <c r="D487" t="s">
        <v>2381</v>
      </c>
      <c r="E487" t="s">
        <v>2382</v>
      </c>
      <c r="F487" t="s">
        <v>56</v>
      </c>
      <c r="G487" t="s">
        <v>2208</v>
      </c>
      <c r="H487" t="s">
        <v>33</v>
      </c>
      <c r="I487" t="s">
        <v>255</v>
      </c>
      <c r="J487" t="s">
        <v>255</v>
      </c>
      <c r="K487" t="s">
        <v>2383</v>
      </c>
      <c r="L487">
        <v>46.63</v>
      </c>
      <c r="M487">
        <v>3696.168</v>
      </c>
      <c r="N487" t="s">
        <v>2384</v>
      </c>
      <c r="O487">
        <v>49.34</v>
      </c>
      <c r="P487">
        <v>3584.212</v>
      </c>
      <c r="Q487" s="1">
        <f>(O487-L487)/L487</f>
        <v>0.0581170920008578</v>
      </c>
      <c r="R487" s="1">
        <f>(P487-M487)/M487</f>
        <v>-0.0302897487343649</v>
      </c>
      <c r="S487" t="s">
        <v>2385</v>
      </c>
      <c r="T487">
        <v>69.38</v>
      </c>
      <c r="U487">
        <v>3539.123</v>
      </c>
      <c r="V487" s="1">
        <f>(T487-O487)/O487</f>
        <v>0.406161329550061</v>
      </c>
      <c r="W487" s="1">
        <f>(U487-P487)/P487</f>
        <v>-0.0125798920376361</v>
      </c>
      <c r="X487" t="s">
        <v>2208</v>
      </c>
      <c r="Y487">
        <v>67.43</v>
      </c>
      <c r="Z487">
        <v>3466.549</v>
      </c>
      <c r="AA487" s="2">
        <f>(Y487-T487)/T487</f>
        <v>-0.0281060824445083</v>
      </c>
      <c r="AB487" s="2">
        <f>(Z487-U487)/U487</f>
        <v>-0.0205062101543236</v>
      </c>
      <c r="AC487" t="s">
        <v>2386</v>
      </c>
      <c r="AD487">
        <v>70.28</v>
      </c>
      <c r="AE487">
        <v>3522.157</v>
      </c>
      <c r="AF487" s="2">
        <f t="shared" si="43"/>
        <v>0.0422660536853032</v>
      </c>
      <c r="AG487" s="2">
        <f t="shared" si="44"/>
        <v>0.016041313709975</v>
      </c>
      <c r="AH487" t="s">
        <v>2387</v>
      </c>
      <c r="AI487" t="s">
        <v>41</v>
      </c>
      <c r="AJ487" t="s">
        <v>41</v>
      </c>
    </row>
    <row r="488" spans="1:36">
      <c r="A488">
        <v>123120</v>
      </c>
      <c r="B488" t="s">
        <v>2388</v>
      </c>
      <c r="C488">
        <v>300263</v>
      </c>
      <c r="D488" t="s">
        <v>2389</v>
      </c>
      <c r="E488" t="s">
        <v>2390</v>
      </c>
      <c r="F488" t="s">
        <v>41</v>
      </c>
      <c r="G488" t="s">
        <v>2353</v>
      </c>
      <c r="H488" t="s">
        <v>621</v>
      </c>
      <c r="I488" t="s">
        <v>255</v>
      </c>
      <c r="J488" t="s">
        <v>255</v>
      </c>
      <c r="K488" t="s">
        <v>2391</v>
      </c>
      <c r="L488">
        <v>8.02</v>
      </c>
      <c r="M488">
        <v>3416.604</v>
      </c>
      <c r="N488" t="s">
        <v>2392</v>
      </c>
      <c r="O488">
        <v>6.56</v>
      </c>
      <c r="P488">
        <v>3503.492</v>
      </c>
      <c r="Q488" s="1">
        <f>(O488-L488)/L488</f>
        <v>-0.182044887780549</v>
      </c>
      <c r="R488" s="1">
        <f>(P488-M488)/M488</f>
        <v>0.0254311005899426</v>
      </c>
      <c r="S488" t="s">
        <v>2393</v>
      </c>
      <c r="T488">
        <v>5.9</v>
      </c>
      <c r="U488">
        <v>3427.991</v>
      </c>
      <c r="V488" s="1">
        <f>(T488-O488)/O488</f>
        <v>-0.100609756097561</v>
      </c>
      <c r="W488" s="1">
        <f>(U488-P488)/P488</f>
        <v>-0.0215502133300148</v>
      </c>
      <c r="X488" t="s">
        <v>2353</v>
      </c>
      <c r="Y488">
        <v>8.19</v>
      </c>
      <c r="Z488">
        <v>3397.357</v>
      </c>
      <c r="AA488" s="2">
        <f>(Y488-T488)/T488</f>
        <v>0.388135593220339</v>
      </c>
      <c r="AB488" s="2">
        <f>(Z488-U488)/U488</f>
        <v>-0.00893642952971581</v>
      </c>
      <c r="AC488" t="s">
        <v>2082</v>
      </c>
      <c r="AD488">
        <v>12.03</v>
      </c>
      <c r="AE488">
        <v>3477.132</v>
      </c>
      <c r="AF488" s="2">
        <f t="shared" si="43"/>
        <v>0.468864468864469</v>
      </c>
      <c r="AG488" s="2">
        <f t="shared" si="44"/>
        <v>0.0234814886984206</v>
      </c>
      <c r="AH488" t="s">
        <v>2394</v>
      </c>
      <c r="AI488" t="s">
        <v>83</v>
      </c>
      <c r="AJ488" t="s">
        <v>625</v>
      </c>
    </row>
    <row r="489" hidden="1" spans="1:36">
      <c r="A489">
        <v>110081</v>
      </c>
      <c r="B489" t="s">
        <v>2395</v>
      </c>
      <c r="C489">
        <v>600745</v>
      </c>
      <c r="D489" t="s">
        <v>2396</v>
      </c>
      <c r="E489" t="s">
        <v>2397</v>
      </c>
      <c r="F489" t="s">
        <v>56</v>
      </c>
      <c r="G489" t="s">
        <v>2260</v>
      </c>
      <c r="H489" t="s">
        <v>33</v>
      </c>
      <c r="I489" t="s">
        <v>255</v>
      </c>
      <c r="J489" t="s">
        <v>255</v>
      </c>
      <c r="K489" t="s">
        <v>255</v>
      </c>
      <c r="L489" t="s">
        <v>41</v>
      </c>
      <c r="M489" t="s">
        <v>41</v>
      </c>
      <c r="N489" t="s">
        <v>255</v>
      </c>
      <c r="O489" t="s">
        <v>41</v>
      </c>
      <c r="P489" t="s">
        <v>41</v>
      </c>
      <c r="Q489" s="2"/>
      <c r="R489" s="2"/>
      <c r="S489" t="s">
        <v>255</v>
      </c>
      <c r="T489" t="s">
        <v>41</v>
      </c>
      <c r="U489" t="s">
        <v>41</v>
      </c>
      <c r="V489" s="2"/>
      <c r="W489" s="2"/>
      <c r="X489" t="s">
        <v>2260</v>
      </c>
      <c r="Y489">
        <v>91.92</v>
      </c>
      <c r="Z489">
        <v>3361.59</v>
      </c>
      <c r="AA489" s="2"/>
      <c r="AB489" s="2"/>
      <c r="AC489" t="s">
        <v>2070</v>
      </c>
      <c r="AD489">
        <v>101.47</v>
      </c>
      <c r="AE489">
        <v>3427.334</v>
      </c>
      <c r="AF489" s="2">
        <f t="shared" si="43"/>
        <v>0.103894691035683</v>
      </c>
      <c r="AG489" s="2">
        <f t="shared" si="44"/>
        <v>0.0195574118200018</v>
      </c>
      <c r="AH489" t="s">
        <v>2398</v>
      </c>
      <c r="AI489" t="s">
        <v>41</v>
      </c>
      <c r="AJ489" t="s">
        <v>41</v>
      </c>
    </row>
    <row r="490" spans="1:36">
      <c r="A490">
        <v>118001</v>
      </c>
      <c r="B490" t="s">
        <v>2399</v>
      </c>
      <c r="C490">
        <v>688598</v>
      </c>
      <c r="D490" t="s">
        <v>2400</v>
      </c>
      <c r="E490" t="s">
        <v>1114</v>
      </c>
      <c r="F490" t="s">
        <v>41</v>
      </c>
      <c r="G490" t="s">
        <v>2401</v>
      </c>
      <c r="H490" t="s">
        <v>621</v>
      </c>
      <c r="I490" t="s">
        <v>255</v>
      </c>
      <c r="J490" t="s">
        <v>255</v>
      </c>
      <c r="K490" t="s">
        <v>2402</v>
      </c>
      <c r="L490">
        <v>94.62</v>
      </c>
      <c r="M490">
        <v>3528.677</v>
      </c>
      <c r="N490" t="s">
        <v>2403</v>
      </c>
      <c r="O490">
        <v>75.52</v>
      </c>
      <c r="P490">
        <v>3457.068</v>
      </c>
      <c r="Q490" s="1">
        <f>(O490-L490)/L490</f>
        <v>-0.201860071866413</v>
      </c>
      <c r="R490" s="1">
        <f>(P490-M490)/M490</f>
        <v>-0.0202934414229469</v>
      </c>
      <c r="S490" t="s">
        <v>2404</v>
      </c>
      <c r="T490">
        <v>86.63</v>
      </c>
      <c r="U490">
        <v>3591.397</v>
      </c>
      <c r="V490" s="1">
        <f>(T490-O490)/O490</f>
        <v>0.147113347457627</v>
      </c>
      <c r="W490" s="1">
        <f>(U490-P490)/P490</f>
        <v>0.0388563372198637</v>
      </c>
      <c r="X490" t="s">
        <v>2401</v>
      </c>
      <c r="Y490">
        <v>133.06</v>
      </c>
      <c r="Z490">
        <v>3550.396</v>
      </c>
      <c r="AA490" s="2">
        <f>(Y490-T490)/T490</f>
        <v>0.535957520489438</v>
      </c>
      <c r="AB490" s="2">
        <f>(Z490-U490)/U490</f>
        <v>-0.0114164488080821</v>
      </c>
      <c r="AC490" t="s">
        <v>2280</v>
      </c>
      <c r="AD490">
        <v>128.46</v>
      </c>
      <c r="AE490">
        <v>3485.286</v>
      </c>
      <c r="AF490" s="2">
        <f t="shared" si="43"/>
        <v>-0.0345708702840823</v>
      </c>
      <c r="AG490" s="2">
        <f t="shared" si="44"/>
        <v>-0.0183387993902652</v>
      </c>
      <c r="AH490" t="s">
        <v>2405</v>
      </c>
      <c r="AI490" t="s">
        <v>1786</v>
      </c>
      <c r="AJ490" t="s">
        <v>625</v>
      </c>
    </row>
    <row r="491" spans="1:36">
      <c r="A491">
        <v>123119</v>
      </c>
      <c r="B491" t="s">
        <v>2406</v>
      </c>
      <c r="C491">
        <v>300601</v>
      </c>
      <c r="D491" t="s">
        <v>2407</v>
      </c>
      <c r="E491" t="s">
        <v>194</v>
      </c>
      <c r="F491" t="s">
        <v>397</v>
      </c>
      <c r="G491" t="s">
        <v>2408</v>
      </c>
      <c r="H491" t="s">
        <v>33</v>
      </c>
      <c r="I491" t="s">
        <v>255</v>
      </c>
      <c r="J491" t="s">
        <v>255</v>
      </c>
      <c r="K491" t="s">
        <v>2409</v>
      </c>
      <c r="L491">
        <v>83.53</v>
      </c>
      <c r="M491">
        <v>3367.061</v>
      </c>
      <c r="N491" t="s">
        <v>2378</v>
      </c>
      <c r="O491">
        <v>102.98</v>
      </c>
      <c r="P491">
        <v>3474.901</v>
      </c>
      <c r="Q491" s="1">
        <f>(O491-L491)/L491</f>
        <v>0.232850472883994</v>
      </c>
      <c r="R491" s="1">
        <f>(P491-M491)/M491</f>
        <v>0.0320279317778917</v>
      </c>
      <c r="S491" t="s">
        <v>2295</v>
      </c>
      <c r="T491">
        <v>104.62</v>
      </c>
      <c r="U491">
        <v>3599.541</v>
      </c>
      <c r="V491" s="1">
        <f>(T491-O491)/O491</f>
        <v>0.0159254224121189</v>
      </c>
      <c r="W491" s="1">
        <f>(U491-P491)/P491</f>
        <v>0.0358686477686703</v>
      </c>
      <c r="X491" t="s">
        <v>2408</v>
      </c>
      <c r="Y491">
        <v>92.29</v>
      </c>
      <c r="Z491">
        <v>3564.59</v>
      </c>
      <c r="AA491" s="2">
        <f>(Y491-T491)/T491</f>
        <v>-0.117855094628178</v>
      </c>
      <c r="AB491" s="2">
        <f>(Z491-U491)/U491</f>
        <v>-0.00970984911687352</v>
      </c>
      <c r="AC491" t="s">
        <v>2208</v>
      </c>
      <c r="AD491">
        <v>96.56</v>
      </c>
      <c r="AE491">
        <v>3466.549</v>
      </c>
      <c r="AF491" s="2">
        <f t="shared" si="43"/>
        <v>0.0462672012135659</v>
      </c>
      <c r="AG491" s="2">
        <f t="shared" si="44"/>
        <v>-0.0275041449367249</v>
      </c>
      <c r="AH491" t="s">
        <v>2410</v>
      </c>
      <c r="AI491" t="s">
        <v>41</v>
      </c>
      <c r="AJ491" t="s">
        <v>41</v>
      </c>
    </row>
    <row r="492" hidden="1" spans="1:36">
      <c r="A492">
        <v>113627</v>
      </c>
      <c r="B492" t="s">
        <v>2411</v>
      </c>
      <c r="C492">
        <v>603877</v>
      </c>
      <c r="D492" t="s">
        <v>2412</v>
      </c>
      <c r="E492" t="s">
        <v>115</v>
      </c>
      <c r="F492" t="s">
        <v>397</v>
      </c>
      <c r="G492" t="s">
        <v>2408</v>
      </c>
      <c r="H492" t="s">
        <v>33</v>
      </c>
      <c r="I492" t="s">
        <v>255</v>
      </c>
      <c r="J492" t="s">
        <v>255</v>
      </c>
      <c r="K492" t="s">
        <v>255</v>
      </c>
      <c r="L492" t="s">
        <v>41</v>
      </c>
      <c r="M492" t="s">
        <v>41</v>
      </c>
      <c r="N492" t="s">
        <v>255</v>
      </c>
      <c r="O492" t="s">
        <v>41</v>
      </c>
      <c r="P492" t="s">
        <v>41</v>
      </c>
      <c r="Q492" s="2"/>
      <c r="R492" s="2"/>
      <c r="S492" t="s">
        <v>255</v>
      </c>
      <c r="T492" t="s">
        <v>41</v>
      </c>
      <c r="U492" t="s">
        <v>41</v>
      </c>
      <c r="V492" s="2"/>
      <c r="W492" s="2"/>
      <c r="X492" t="s">
        <v>2408</v>
      </c>
      <c r="Y492">
        <v>57.02</v>
      </c>
      <c r="Z492">
        <v>3564.59</v>
      </c>
      <c r="AA492" s="2"/>
      <c r="AB492" s="2"/>
      <c r="AC492" t="s">
        <v>1561</v>
      </c>
      <c r="AD492">
        <v>51.13</v>
      </c>
      <c r="AE492">
        <v>3458.228</v>
      </c>
      <c r="AF492" s="2">
        <f t="shared" si="43"/>
        <v>-0.103297088740793</v>
      </c>
      <c r="AG492" s="2">
        <f t="shared" si="44"/>
        <v>-0.0298384947497468</v>
      </c>
      <c r="AH492" t="s">
        <v>2410</v>
      </c>
      <c r="AI492" t="s">
        <v>41</v>
      </c>
      <c r="AJ492" t="s">
        <v>41</v>
      </c>
    </row>
    <row r="493" hidden="1" spans="1:36">
      <c r="A493">
        <v>127041</v>
      </c>
      <c r="B493" t="s">
        <v>2413</v>
      </c>
      <c r="C493">
        <v>2833</v>
      </c>
      <c r="D493" t="s">
        <v>2414</v>
      </c>
      <c r="E493" t="s">
        <v>1114</v>
      </c>
      <c r="F493" t="s">
        <v>56</v>
      </c>
      <c r="G493" t="s">
        <v>2415</v>
      </c>
      <c r="H493" t="s">
        <v>33</v>
      </c>
      <c r="I493" t="s">
        <v>255</v>
      </c>
      <c r="J493" t="s">
        <v>255</v>
      </c>
      <c r="K493" t="s">
        <v>255</v>
      </c>
      <c r="L493" t="s">
        <v>41</v>
      </c>
      <c r="M493" t="s">
        <v>41</v>
      </c>
      <c r="N493" t="s">
        <v>255</v>
      </c>
      <c r="O493" t="s">
        <v>41</v>
      </c>
      <c r="P493" t="s">
        <v>41</v>
      </c>
      <c r="Q493" s="2"/>
      <c r="R493" s="2"/>
      <c r="S493" t="s">
        <v>255</v>
      </c>
      <c r="T493" t="s">
        <v>41</v>
      </c>
      <c r="U493" t="s">
        <v>41</v>
      </c>
      <c r="V493" s="2"/>
      <c r="W493" s="2"/>
      <c r="X493" t="s">
        <v>2415</v>
      </c>
      <c r="Y493">
        <v>22.81</v>
      </c>
      <c r="Z493">
        <v>3547.836</v>
      </c>
      <c r="AA493" s="2"/>
      <c r="AB493" s="2"/>
      <c r="AC493" t="s">
        <v>2416</v>
      </c>
      <c r="AD493">
        <v>21.81</v>
      </c>
      <c r="AE493">
        <v>3529.931</v>
      </c>
      <c r="AF493" s="2">
        <f t="shared" si="43"/>
        <v>-0.0438404208680403</v>
      </c>
      <c r="AG493" s="2">
        <f t="shared" si="44"/>
        <v>-0.00504673834979964</v>
      </c>
      <c r="AH493" t="s">
        <v>2417</v>
      </c>
      <c r="AI493" t="s">
        <v>41</v>
      </c>
      <c r="AJ493" t="s">
        <v>41</v>
      </c>
    </row>
    <row r="494" spans="1:36">
      <c r="A494">
        <v>123118</v>
      </c>
      <c r="B494" t="s">
        <v>2418</v>
      </c>
      <c r="C494">
        <v>300779</v>
      </c>
      <c r="D494" t="s">
        <v>2419</v>
      </c>
      <c r="E494" t="s">
        <v>1308</v>
      </c>
      <c r="F494" t="s">
        <v>31</v>
      </c>
      <c r="G494" t="s">
        <v>2420</v>
      </c>
      <c r="H494" t="s">
        <v>33</v>
      </c>
      <c r="I494" t="s">
        <v>255</v>
      </c>
      <c r="J494" t="s">
        <v>255</v>
      </c>
      <c r="K494" t="s">
        <v>2421</v>
      </c>
      <c r="L494">
        <v>15.17</v>
      </c>
      <c r="M494">
        <v>3414.49</v>
      </c>
      <c r="N494" t="s">
        <v>2055</v>
      </c>
      <c r="O494">
        <v>10.22</v>
      </c>
      <c r="P494">
        <v>3532.447</v>
      </c>
      <c r="Q494" s="1">
        <f>(O494-L494)/L494</f>
        <v>-0.326301911667765</v>
      </c>
      <c r="R494" s="1">
        <f>(P494-M494)/M494</f>
        <v>0.0345460083350662</v>
      </c>
      <c r="S494" t="s">
        <v>2164</v>
      </c>
      <c r="T494">
        <v>12.31</v>
      </c>
      <c r="U494">
        <v>3398.988</v>
      </c>
      <c r="V494" s="1">
        <f>(T494-O494)/O494</f>
        <v>0.204500978473581</v>
      </c>
      <c r="W494" s="1">
        <f>(U494-P494)/P494</f>
        <v>-0.0377808923955548</v>
      </c>
      <c r="X494" t="s">
        <v>2420</v>
      </c>
      <c r="Y494">
        <v>12.49</v>
      </c>
      <c r="Z494">
        <v>3553.716</v>
      </c>
      <c r="AA494" s="2">
        <f>(Y494-T494)/T494</f>
        <v>0.0146222583265637</v>
      </c>
      <c r="AB494" s="2">
        <f>(Z494-U494)/U494</f>
        <v>0.0455217847194518</v>
      </c>
      <c r="AC494" t="s">
        <v>2422</v>
      </c>
      <c r="AD494">
        <v>12.83</v>
      </c>
      <c r="AE494">
        <v>3467.441</v>
      </c>
      <c r="AF494" s="2">
        <f t="shared" si="43"/>
        <v>0.0272217774219375</v>
      </c>
      <c r="AG494" s="2">
        <f t="shared" si="44"/>
        <v>-0.0242774042720353</v>
      </c>
      <c r="AH494" t="s">
        <v>2423</v>
      </c>
      <c r="AI494" t="s">
        <v>41</v>
      </c>
      <c r="AJ494" t="s">
        <v>41</v>
      </c>
    </row>
    <row r="495" hidden="1" spans="1:36">
      <c r="A495">
        <v>127040</v>
      </c>
      <c r="B495" t="s">
        <v>2424</v>
      </c>
      <c r="C495">
        <v>2091</v>
      </c>
      <c r="D495" t="s">
        <v>2425</v>
      </c>
      <c r="E495" t="s">
        <v>2426</v>
      </c>
      <c r="F495" t="s">
        <v>98</v>
      </c>
      <c r="G495" t="s">
        <v>2420</v>
      </c>
      <c r="H495" t="s">
        <v>33</v>
      </c>
      <c r="I495" t="s">
        <v>255</v>
      </c>
      <c r="J495" t="s">
        <v>255</v>
      </c>
      <c r="K495" t="s">
        <v>255</v>
      </c>
      <c r="L495" t="s">
        <v>41</v>
      </c>
      <c r="M495" t="s">
        <v>41</v>
      </c>
      <c r="N495" t="s">
        <v>255</v>
      </c>
      <c r="O495" t="s">
        <v>41</v>
      </c>
      <c r="P495" t="s">
        <v>41</v>
      </c>
      <c r="Q495" s="2"/>
      <c r="R495" s="2"/>
      <c r="S495" t="s">
        <v>255</v>
      </c>
      <c r="T495" t="s">
        <v>41</v>
      </c>
      <c r="U495" t="s">
        <v>41</v>
      </c>
      <c r="V495" s="2"/>
      <c r="W495" s="2"/>
      <c r="X495" t="s">
        <v>2420</v>
      </c>
      <c r="Y495">
        <v>8.32</v>
      </c>
      <c r="Z495">
        <v>3553.716</v>
      </c>
      <c r="AA495" s="2"/>
      <c r="AB495" s="2"/>
      <c r="AC495" t="s">
        <v>2416</v>
      </c>
      <c r="AD495">
        <v>11.88</v>
      </c>
      <c r="AE495">
        <v>3529.931</v>
      </c>
      <c r="AF495" s="2">
        <f t="shared" si="43"/>
        <v>0.427884615384615</v>
      </c>
      <c r="AG495" s="2">
        <f t="shared" si="44"/>
        <v>-0.00669299403779026</v>
      </c>
      <c r="AH495" t="s">
        <v>2423</v>
      </c>
      <c r="AI495" t="s">
        <v>41</v>
      </c>
      <c r="AJ495" t="s">
        <v>41</v>
      </c>
    </row>
    <row r="496" hidden="1" spans="1:36">
      <c r="A496">
        <v>113626</v>
      </c>
      <c r="B496" t="s">
        <v>2427</v>
      </c>
      <c r="C496">
        <v>603596</v>
      </c>
      <c r="D496" t="s">
        <v>458</v>
      </c>
      <c r="E496" t="s">
        <v>2428</v>
      </c>
      <c r="F496" t="s">
        <v>41</v>
      </c>
      <c r="G496" t="s">
        <v>2429</v>
      </c>
      <c r="H496" t="s">
        <v>621</v>
      </c>
      <c r="I496" t="s">
        <v>255</v>
      </c>
      <c r="J496" t="s">
        <v>255</v>
      </c>
      <c r="K496" t="s">
        <v>255</v>
      </c>
      <c r="L496" t="s">
        <v>41</v>
      </c>
      <c r="M496" t="s">
        <v>41</v>
      </c>
      <c r="N496" t="s">
        <v>255</v>
      </c>
      <c r="O496" t="s">
        <v>41</v>
      </c>
      <c r="P496" t="s">
        <v>41</v>
      </c>
      <c r="Q496" s="2"/>
      <c r="R496" s="2"/>
      <c r="S496" t="s">
        <v>255</v>
      </c>
      <c r="T496" t="s">
        <v>41</v>
      </c>
      <c r="U496" t="s">
        <v>41</v>
      </c>
      <c r="V496" s="2"/>
      <c r="W496" s="2"/>
      <c r="X496" t="s">
        <v>2429</v>
      </c>
      <c r="Y496">
        <v>23.54</v>
      </c>
      <c r="Z496">
        <v>3573.178</v>
      </c>
      <c r="AA496" s="2"/>
      <c r="AB496" s="2"/>
      <c r="AC496" t="s">
        <v>2430</v>
      </c>
      <c r="AD496">
        <v>26.33</v>
      </c>
      <c r="AE496">
        <v>3562.661</v>
      </c>
      <c r="AF496" s="2">
        <f t="shared" si="43"/>
        <v>0.118521665250637</v>
      </c>
      <c r="AG496" s="2">
        <f t="shared" si="44"/>
        <v>-0.00294331824499082</v>
      </c>
      <c r="AH496" t="s">
        <v>2431</v>
      </c>
      <c r="AI496" t="s">
        <v>989</v>
      </c>
      <c r="AJ496" t="s">
        <v>625</v>
      </c>
    </row>
    <row r="497" hidden="1" spans="1:36">
      <c r="A497">
        <v>127039</v>
      </c>
      <c r="B497" t="s">
        <v>2432</v>
      </c>
      <c r="C497">
        <v>582</v>
      </c>
      <c r="D497" t="s">
        <v>2433</v>
      </c>
      <c r="E497" t="s">
        <v>325</v>
      </c>
      <c r="F497" t="s">
        <v>444</v>
      </c>
      <c r="G497" t="s">
        <v>2429</v>
      </c>
      <c r="H497" t="s">
        <v>33</v>
      </c>
      <c r="I497" t="s">
        <v>255</v>
      </c>
      <c r="J497" t="s">
        <v>255</v>
      </c>
      <c r="K497" t="s">
        <v>255</v>
      </c>
      <c r="L497" t="s">
        <v>41</v>
      </c>
      <c r="M497" t="s">
        <v>41</v>
      </c>
      <c r="N497" t="s">
        <v>255</v>
      </c>
      <c r="O497" t="s">
        <v>41</v>
      </c>
      <c r="P497" t="s">
        <v>41</v>
      </c>
      <c r="Q497" s="2"/>
      <c r="R497" s="2"/>
      <c r="S497" t="s">
        <v>255</v>
      </c>
      <c r="T497" t="s">
        <v>41</v>
      </c>
      <c r="U497" t="s">
        <v>41</v>
      </c>
      <c r="V497" s="2"/>
      <c r="W497" s="2"/>
      <c r="X497" t="s">
        <v>2429</v>
      </c>
      <c r="Y497">
        <v>7.46</v>
      </c>
      <c r="Z497">
        <v>3573.178</v>
      </c>
      <c r="AA497" s="2"/>
      <c r="AB497" s="2"/>
      <c r="AC497" t="s">
        <v>2401</v>
      </c>
      <c r="AD497">
        <v>7.51</v>
      </c>
      <c r="AE497">
        <v>3550.396</v>
      </c>
      <c r="AF497" s="2">
        <f t="shared" si="43"/>
        <v>0.00670241286863268</v>
      </c>
      <c r="AG497" s="2">
        <f t="shared" si="44"/>
        <v>-0.00637583686007238</v>
      </c>
      <c r="AH497" t="s">
        <v>2431</v>
      </c>
      <c r="AI497" t="s">
        <v>41</v>
      </c>
      <c r="AJ497" t="s">
        <v>41</v>
      </c>
    </row>
    <row r="498" spans="1:36">
      <c r="A498">
        <v>123117</v>
      </c>
      <c r="B498" t="s">
        <v>2434</v>
      </c>
      <c r="C498">
        <v>300529</v>
      </c>
      <c r="D498" t="s">
        <v>2435</v>
      </c>
      <c r="E498" t="s">
        <v>55</v>
      </c>
      <c r="F498" t="s">
        <v>397</v>
      </c>
      <c r="G498" t="s">
        <v>2436</v>
      </c>
      <c r="H498" t="s">
        <v>33</v>
      </c>
      <c r="I498" t="s">
        <v>255</v>
      </c>
      <c r="J498" t="s">
        <v>255</v>
      </c>
      <c r="K498" t="s">
        <v>2437</v>
      </c>
      <c r="L498">
        <v>64.42</v>
      </c>
      <c r="M498">
        <v>3385.638</v>
      </c>
      <c r="N498" t="s">
        <v>2438</v>
      </c>
      <c r="O498">
        <v>62.51</v>
      </c>
      <c r="P498">
        <v>3402.823</v>
      </c>
      <c r="Q498" s="1">
        <f>(O498-L498)/L498</f>
        <v>-0.0296491772741385</v>
      </c>
      <c r="R498" s="1">
        <f>(P498-M498)/M498</f>
        <v>0.0050758527639399</v>
      </c>
      <c r="S498" t="s">
        <v>2439</v>
      </c>
      <c r="T498">
        <v>67.67</v>
      </c>
      <c r="U498">
        <v>3397.285</v>
      </c>
      <c r="V498" s="1">
        <f>(T498-O498)/O498</f>
        <v>0.0825467925131979</v>
      </c>
      <c r="W498" s="1">
        <f>(U498-P498)/P498</f>
        <v>-0.00162747224877697</v>
      </c>
      <c r="X498" t="s">
        <v>2436</v>
      </c>
      <c r="Y498">
        <v>80.62</v>
      </c>
      <c r="Z498">
        <v>3566.22</v>
      </c>
      <c r="AA498" s="2">
        <f>(Y498-T498)/T498</f>
        <v>0.191369883256982</v>
      </c>
      <c r="AB498" s="2">
        <f>(Z498-U498)/U498</f>
        <v>0.0497264727569221</v>
      </c>
      <c r="AC498" t="s">
        <v>2415</v>
      </c>
      <c r="AD498">
        <v>83.14</v>
      </c>
      <c r="AE498">
        <v>3547.836</v>
      </c>
      <c r="AF498" s="2">
        <f t="shared" si="43"/>
        <v>0.0312577524187546</v>
      </c>
      <c r="AG498" s="2">
        <f t="shared" si="44"/>
        <v>-0.00515503810757609</v>
      </c>
      <c r="AH498" t="s">
        <v>2440</v>
      </c>
      <c r="AI498" t="s">
        <v>41</v>
      </c>
      <c r="AJ498" t="s">
        <v>41</v>
      </c>
    </row>
    <row r="499" hidden="1" spans="1:36">
      <c r="A499">
        <v>113051</v>
      </c>
      <c r="B499" t="s">
        <v>2441</v>
      </c>
      <c r="C499">
        <v>601016</v>
      </c>
      <c r="D499" t="s">
        <v>2442</v>
      </c>
      <c r="E499" t="s">
        <v>325</v>
      </c>
      <c r="F499" t="s">
        <v>98</v>
      </c>
      <c r="G499" t="s">
        <v>2443</v>
      </c>
      <c r="H499" t="s">
        <v>33</v>
      </c>
      <c r="I499" t="s">
        <v>255</v>
      </c>
      <c r="J499" t="s">
        <v>255</v>
      </c>
      <c r="K499" t="s">
        <v>255</v>
      </c>
      <c r="L499" t="s">
        <v>41</v>
      </c>
      <c r="M499" t="s">
        <v>41</v>
      </c>
      <c r="N499" t="s">
        <v>255</v>
      </c>
      <c r="O499" t="s">
        <v>41</v>
      </c>
      <c r="P499" t="s">
        <v>41</v>
      </c>
      <c r="Q499" s="2"/>
      <c r="R499" s="2"/>
      <c r="S499" t="s">
        <v>255</v>
      </c>
      <c r="T499" t="s">
        <v>41</v>
      </c>
      <c r="U499" t="s">
        <v>41</v>
      </c>
      <c r="V499" s="2"/>
      <c r="W499" s="2"/>
      <c r="X499" t="s">
        <v>2443</v>
      </c>
      <c r="Y499">
        <v>3.12</v>
      </c>
      <c r="Z499">
        <v>3529.183</v>
      </c>
      <c r="AA499" s="2"/>
      <c r="AB499" s="2"/>
      <c r="AC499" t="s">
        <v>2296</v>
      </c>
      <c r="AD499">
        <v>3.31</v>
      </c>
      <c r="AE499">
        <v>3574.734</v>
      </c>
      <c r="AF499" s="2">
        <f t="shared" si="43"/>
        <v>0.0608974358974359</v>
      </c>
      <c r="AG499" s="2">
        <f t="shared" si="44"/>
        <v>0.0129069532523533</v>
      </c>
      <c r="AH499" t="s">
        <v>2444</v>
      </c>
      <c r="AI499" t="s">
        <v>41</v>
      </c>
      <c r="AJ499" t="s">
        <v>41</v>
      </c>
    </row>
    <row r="500" hidden="1" spans="1:36">
      <c r="A500">
        <v>113050</v>
      </c>
      <c r="B500" t="s">
        <v>2445</v>
      </c>
      <c r="C500">
        <v>601009</v>
      </c>
      <c r="D500" t="s">
        <v>2446</v>
      </c>
      <c r="E500" t="s">
        <v>2447</v>
      </c>
      <c r="F500" t="s">
        <v>41</v>
      </c>
      <c r="G500" t="s">
        <v>2448</v>
      </c>
      <c r="H500" t="s">
        <v>621</v>
      </c>
      <c r="I500" t="s">
        <v>255</v>
      </c>
      <c r="J500" t="s">
        <v>255</v>
      </c>
      <c r="K500" t="s">
        <v>255</v>
      </c>
      <c r="L500" t="s">
        <v>41</v>
      </c>
      <c r="M500" t="s">
        <v>41</v>
      </c>
      <c r="N500" t="s">
        <v>255</v>
      </c>
      <c r="O500" t="s">
        <v>41</v>
      </c>
      <c r="P500" t="s">
        <v>41</v>
      </c>
      <c r="Q500" s="2"/>
      <c r="R500" s="2"/>
      <c r="S500" t="s">
        <v>255</v>
      </c>
      <c r="T500" t="s">
        <v>41</v>
      </c>
      <c r="U500" t="s">
        <v>41</v>
      </c>
      <c r="V500" s="2"/>
      <c r="W500" s="2"/>
      <c r="X500" t="s">
        <v>2448</v>
      </c>
      <c r="Y500">
        <v>7.64</v>
      </c>
      <c r="Z500">
        <v>3556.559</v>
      </c>
      <c r="AA500" s="2"/>
      <c r="AB500" s="2"/>
      <c r="AC500" t="s">
        <v>2449</v>
      </c>
      <c r="AD500">
        <v>8.59</v>
      </c>
      <c r="AE500">
        <v>3588.782</v>
      </c>
      <c r="AF500" s="2">
        <f t="shared" si="43"/>
        <v>0.12434554973822</v>
      </c>
      <c r="AG500" s="2">
        <f t="shared" si="44"/>
        <v>0.0090601618024613</v>
      </c>
      <c r="AH500" t="s">
        <v>2450</v>
      </c>
      <c r="AI500" t="s">
        <v>486</v>
      </c>
      <c r="AJ500" t="s">
        <v>625</v>
      </c>
    </row>
    <row r="501" hidden="1" spans="1:36">
      <c r="A501">
        <v>113625</v>
      </c>
      <c r="B501" t="s">
        <v>2451</v>
      </c>
      <c r="C501">
        <v>603208</v>
      </c>
      <c r="D501" t="s">
        <v>2452</v>
      </c>
      <c r="E501" t="s">
        <v>850</v>
      </c>
      <c r="F501" t="s">
        <v>56</v>
      </c>
      <c r="G501" t="s">
        <v>2453</v>
      </c>
      <c r="H501" t="s">
        <v>33</v>
      </c>
      <c r="I501" t="s">
        <v>255</v>
      </c>
      <c r="J501" t="s">
        <v>255</v>
      </c>
      <c r="K501" t="s">
        <v>255</v>
      </c>
      <c r="L501" t="s">
        <v>41</v>
      </c>
      <c r="M501" t="s">
        <v>41</v>
      </c>
      <c r="N501" t="s">
        <v>255</v>
      </c>
      <c r="O501" t="s">
        <v>41</v>
      </c>
      <c r="P501" t="s">
        <v>41</v>
      </c>
      <c r="Q501" s="2"/>
      <c r="R501" s="2"/>
      <c r="S501" t="s">
        <v>255</v>
      </c>
      <c r="T501" t="s">
        <v>41</v>
      </c>
      <c r="U501" t="s">
        <v>41</v>
      </c>
      <c r="V501" s="2"/>
      <c r="W501" s="2"/>
      <c r="X501" t="s">
        <v>2453</v>
      </c>
      <c r="Y501">
        <v>53.17</v>
      </c>
      <c r="Z501">
        <v>3589.748</v>
      </c>
      <c r="AA501" s="2"/>
      <c r="AB501" s="2"/>
      <c r="AC501" t="s">
        <v>2449</v>
      </c>
      <c r="AD501">
        <v>50.18</v>
      </c>
      <c r="AE501">
        <v>3588.782</v>
      </c>
      <c r="AF501" s="2">
        <f t="shared" si="43"/>
        <v>-0.0562347188264059</v>
      </c>
      <c r="AG501" s="2">
        <f t="shared" si="44"/>
        <v>-0.000269099669391805</v>
      </c>
      <c r="AH501" t="s">
        <v>2454</v>
      </c>
      <c r="AI501" t="s">
        <v>41</v>
      </c>
      <c r="AJ501" t="s">
        <v>41</v>
      </c>
    </row>
    <row r="502" hidden="1" spans="1:36">
      <c r="A502">
        <v>127038</v>
      </c>
      <c r="B502" t="s">
        <v>2455</v>
      </c>
      <c r="C502">
        <v>2049</v>
      </c>
      <c r="D502" t="s">
        <v>2456</v>
      </c>
      <c r="E502" t="s">
        <v>155</v>
      </c>
      <c r="F502" t="s">
        <v>98</v>
      </c>
      <c r="G502" t="s">
        <v>2457</v>
      </c>
      <c r="H502" t="s">
        <v>33</v>
      </c>
      <c r="I502" t="s">
        <v>255</v>
      </c>
      <c r="J502" t="s">
        <v>255</v>
      </c>
      <c r="K502" t="s">
        <v>255</v>
      </c>
      <c r="L502" t="s">
        <v>41</v>
      </c>
      <c r="M502" t="s">
        <v>41</v>
      </c>
      <c r="N502" t="s">
        <v>255</v>
      </c>
      <c r="O502" t="s">
        <v>41</v>
      </c>
      <c r="P502" t="s">
        <v>41</v>
      </c>
      <c r="Q502" s="2"/>
      <c r="R502" s="2"/>
      <c r="S502" t="s">
        <v>255</v>
      </c>
      <c r="T502" t="s">
        <v>41</v>
      </c>
      <c r="U502" t="s">
        <v>41</v>
      </c>
      <c r="V502" s="2"/>
      <c r="W502" s="2"/>
      <c r="X502" t="s">
        <v>2457</v>
      </c>
      <c r="Y502">
        <v>100.53</v>
      </c>
      <c r="Z502">
        <v>3610.859</v>
      </c>
      <c r="AA502" s="2"/>
      <c r="AB502" s="2"/>
      <c r="AC502" t="s">
        <v>2368</v>
      </c>
      <c r="AD502">
        <v>111.79</v>
      </c>
      <c r="AE502">
        <v>3528.501</v>
      </c>
      <c r="AF502" s="2">
        <f t="shared" si="43"/>
        <v>0.112006366258828</v>
      </c>
      <c r="AG502" s="2">
        <f t="shared" si="44"/>
        <v>-0.0228084231480652</v>
      </c>
      <c r="AH502" t="s">
        <v>2458</v>
      </c>
      <c r="AI502" t="s">
        <v>41</v>
      </c>
      <c r="AJ502" t="s">
        <v>41</v>
      </c>
    </row>
    <row r="503" hidden="1" spans="1:36">
      <c r="A503">
        <v>113049</v>
      </c>
      <c r="B503" t="s">
        <v>2459</v>
      </c>
      <c r="C503">
        <v>601633</v>
      </c>
      <c r="D503" t="s">
        <v>2460</v>
      </c>
      <c r="E503" t="s">
        <v>312</v>
      </c>
      <c r="F503" t="s">
        <v>444</v>
      </c>
      <c r="G503" t="s">
        <v>2457</v>
      </c>
      <c r="H503" t="s">
        <v>33</v>
      </c>
      <c r="I503" t="s">
        <v>255</v>
      </c>
      <c r="J503" t="s">
        <v>255</v>
      </c>
      <c r="K503" t="s">
        <v>255</v>
      </c>
      <c r="L503" t="s">
        <v>41</v>
      </c>
      <c r="M503" t="s">
        <v>41</v>
      </c>
      <c r="N503" t="s">
        <v>255</v>
      </c>
      <c r="O503" t="s">
        <v>41</v>
      </c>
      <c r="P503" t="s">
        <v>41</v>
      </c>
      <c r="Q503" s="2"/>
      <c r="R503" s="2"/>
      <c r="S503" t="s">
        <v>255</v>
      </c>
      <c r="T503" t="s">
        <v>41</v>
      </c>
      <c r="U503" t="s">
        <v>41</v>
      </c>
      <c r="V503" s="2"/>
      <c r="W503" s="2"/>
      <c r="X503" t="s">
        <v>2457</v>
      </c>
      <c r="Y503">
        <v>41.04</v>
      </c>
      <c r="Z503">
        <v>3610.859</v>
      </c>
      <c r="AA503" s="2"/>
      <c r="AB503" s="2"/>
      <c r="AC503" t="s">
        <v>2235</v>
      </c>
      <c r="AD503">
        <v>43.97</v>
      </c>
      <c r="AE503">
        <v>3525.504</v>
      </c>
      <c r="AF503" s="2">
        <f t="shared" si="43"/>
        <v>0.0713937621832359</v>
      </c>
      <c r="AG503" s="2">
        <f t="shared" si="44"/>
        <v>-0.0236384195561222</v>
      </c>
      <c r="AH503" t="s">
        <v>2458</v>
      </c>
      <c r="AI503" t="s">
        <v>41</v>
      </c>
      <c r="AJ503" t="s">
        <v>41</v>
      </c>
    </row>
    <row r="504" spans="1:36">
      <c r="A504">
        <v>123116</v>
      </c>
      <c r="B504" t="s">
        <v>2461</v>
      </c>
      <c r="C504">
        <v>300624</v>
      </c>
      <c r="D504" t="s">
        <v>2462</v>
      </c>
      <c r="E504" t="s">
        <v>2463</v>
      </c>
      <c r="F504" t="s">
        <v>41</v>
      </c>
      <c r="G504" t="s">
        <v>2404</v>
      </c>
      <c r="H504" t="s">
        <v>621</v>
      </c>
      <c r="I504" t="s">
        <v>255</v>
      </c>
      <c r="J504" t="s">
        <v>255</v>
      </c>
      <c r="K504" t="s">
        <v>2464</v>
      </c>
      <c r="L504">
        <v>47.71</v>
      </c>
      <c r="M504">
        <v>3223.176</v>
      </c>
      <c r="N504" t="s">
        <v>2465</v>
      </c>
      <c r="O504">
        <v>36.99</v>
      </c>
      <c r="P504">
        <v>3382.32</v>
      </c>
      <c r="Q504" s="1">
        <f>(O504-L504)/L504</f>
        <v>-0.224690840494655</v>
      </c>
      <c r="R504" s="1">
        <f>(P504-M504)/M504</f>
        <v>0.0493749022703074</v>
      </c>
      <c r="S504" t="s">
        <v>2466</v>
      </c>
      <c r="T504">
        <v>38.84</v>
      </c>
      <c r="U504">
        <v>3483.069</v>
      </c>
      <c r="V504" s="1">
        <f>(T504-O504)/O504</f>
        <v>0.0500135171668019</v>
      </c>
      <c r="W504" s="1">
        <f>(U504-P504)/P504</f>
        <v>0.0297869509685659</v>
      </c>
      <c r="X504" t="s">
        <v>2404</v>
      </c>
      <c r="Y504">
        <v>43.33</v>
      </c>
      <c r="Z504">
        <v>3591.397</v>
      </c>
      <c r="AA504" s="2">
        <f>(Y504-T504)/T504</f>
        <v>0.115602471678682</v>
      </c>
      <c r="AB504" s="2">
        <f>(Z504-U504)/U504</f>
        <v>0.0311013074963488</v>
      </c>
      <c r="AC504" t="s">
        <v>2449</v>
      </c>
      <c r="AD504">
        <v>40.11</v>
      </c>
      <c r="AE504">
        <v>3588.782</v>
      </c>
      <c r="AF504" s="2">
        <f t="shared" si="43"/>
        <v>-0.074313408723748</v>
      </c>
      <c r="AG504" s="2">
        <f t="shared" si="44"/>
        <v>-0.000728128914737018</v>
      </c>
      <c r="AH504" t="s">
        <v>2467</v>
      </c>
      <c r="AI504" t="s">
        <v>1280</v>
      </c>
      <c r="AJ504" t="s">
        <v>625</v>
      </c>
    </row>
    <row r="505" spans="1:36">
      <c r="A505">
        <v>123115</v>
      </c>
      <c r="B505" t="s">
        <v>2468</v>
      </c>
      <c r="C505">
        <v>300623</v>
      </c>
      <c r="D505" t="s">
        <v>2469</v>
      </c>
      <c r="E505" t="s">
        <v>998</v>
      </c>
      <c r="F505" t="s">
        <v>41</v>
      </c>
      <c r="G505" t="s">
        <v>2470</v>
      </c>
      <c r="H505" t="s">
        <v>621</v>
      </c>
      <c r="I505" t="s">
        <v>255</v>
      </c>
      <c r="J505" t="s">
        <v>255</v>
      </c>
      <c r="K505" t="s">
        <v>2471</v>
      </c>
      <c r="L505">
        <v>34.26</v>
      </c>
      <c r="M505">
        <v>3451.938</v>
      </c>
      <c r="N505" t="s">
        <v>2472</v>
      </c>
      <c r="O505">
        <v>25.78</v>
      </c>
      <c r="P505">
        <v>3636.357</v>
      </c>
      <c r="Q505" s="1">
        <f>(O505-L505)/L505</f>
        <v>-0.247518972562755</v>
      </c>
      <c r="R505" s="1">
        <f>(P505-M505)/M505</f>
        <v>0.0534247718238276</v>
      </c>
      <c r="S505" t="s">
        <v>2473</v>
      </c>
      <c r="T505">
        <v>26.3</v>
      </c>
      <c r="U505">
        <v>3486.557</v>
      </c>
      <c r="V505" s="1">
        <f>(T505-O505)/O505</f>
        <v>0.0201706749418153</v>
      </c>
      <c r="W505" s="1">
        <f>(U505-P505)/P505</f>
        <v>-0.0411950751810123</v>
      </c>
      <c r="X505" t="s">
        <v>2470</v>
      </c>
      <c r="Y505">
        <v>30.64</v>
      </c>
      <c r="Z505">
        <v>3580.106</v>
      </c>
      <c r="AA505" s="2">
        <f>(Y505-T505)/T505</f>
        <v>0.165019011406844</v>
      </c>
      <c r="AB505" s="2">
        <f>(Z505-U505)/U505</f>
        <v>0.0268313410622572</v>
      </c>
      <c r="AC505" t="s">
        <v>2429</v>
      </c>
      <c r="AD505">
        <v>36.42</v>
      </c>
      <c r="AE505">
        <v>3573.178</v>
      </c>
      <c r="AF505" s="2">
        <f t="shared" si="43"/>
        <v>0.188642297650131</v>
      </c>
      <c r="AG505" s="2">
        <f t="shared" si="44"/>
        <v>-0.00193513823333732</v>
      </c>
      <c r="AH505" t="s">
        <v>2467</v>
      </c>
      <c r="AI505" t="s">
        <v>334</v>
      </c>
      <c r="AJ505" t="s">
        <v>625</v>
      </c>
    </row>
    <row r="506" hidden="1" spans="1:36">
      <c r="A506">
        <v>127037</v>
      </c>
      <c r="B506" t="s">
        <v>2474</v>
      </c>
      <c r="C506">
        <v>2126</v>
      </c>
      <c r="D506" t="s">
        <v>2475</v>
      </c>
      <c r="E506" t="s">
        <v>1015</v>
      </c>
      <c r="F506" t="s">
        <v>397</v>
      </c>
      <c r="G506" t="s">
        <v>2295</v>
      </c>
      <c r="H506" t="s">
        <v>33</v>
      </c>
      <c r="I506" t="s">
        <v>255</v>
      </c>
      <c r="J506" t="s">
        <v>255</v>
      </c>
      <c r="K506" t="s">
        <v>255</v>
      </c>
      <c r="L506" t="s">
        <v>41</v>
      </c>
      <c r="M506" t="s">
        <v>41</v>
      </c>
      <c r="N506" t="s">
        <v>255</v>
      </c>
      <c r="O506" t="s">
        <v>41</v>
      </c>
      <c r="P506" t="s">
        <v>41</v>
      </c>
      <c r="Q506" s="2"/>
      <c r="R506" s="2"/>
      <c r="S506" t="s">
        <v>255</v>
      </c>
      <c r="T506" t="s">
        <v>41</v>
      </c>
      <c r="U506" t="s">
        <v>41</v>
      </c>
      <c r="V506" s="2"/>
      <c r="W506" s="2"/>
      <c r="X506" t="s">
        <v>2295</v>
      </c>
      <c r="Y506">
        <v>10.19</v>
      </c>
      <c r="Z506">
        <v>3599.541</v>
      </c>
      <c r="AA506" s="2"/>
      <c r="AB506" s="2"/>
      <c r="AC506" t="s">
        <v>2476</v>
      </c>
      <c r="AD506">
        <v>9.72</v>
      </c>
      <c r="AE506">
        <v>3524.088</v>
      </c>
      <c r="AF506" s="2">
        <f t="shared" si="43"/>
        <v>-0.0461236506378802</v>
      </c>
      <c r="AG506" s="2">
        <f t="shared" si="44"/>
        <v>-0.0209618393011776</v>
      </c>
      <c r="AH506" t="s">
        <v>2477</v>
      </c>
      <c r="AI506" t="s">
        <v>41</v>
      </c>
      <c r="AJ506" t="s">
        <v>41</v>
      </c>
    </row>
    <row r="507" hidden="1" spans="1:36">
      <c r="A507">
        <v>127036</v>
      </c>
      <c r="B507" t="s">
        <v>2478</v>
      </c>
      <c r="C507">
        <v>2050</v>
      </c>
      <c r="D507" t="s">
        <v>2479</v>
      </c>
      <c r="E507" t="s">
        <v>325</v>
      </c>
      <c r="F507" t="s">
        <v>41</v>
      </c>
      <c r="G507" t="s">
        <v>2480</v>
      </c>
      <c r="H507" t="s">
        <v>621</v>
      </c>
      <c r="I507" t="s">
        <v>255</v>
      </c>
      <c r="J507" t="s">
        <v>255</v>
      </c>
      <c r="K507" t="s">
        <v>255</v>
      </c>
      <c r="L507" t="s">
        <v>41</v>
      </c>
      <c r="M507" t="s">
        <v>41</v>
      </c>
      <c r="N507" t="s">
        <v>255</v>
      </c>
      <c r="O507" t="s">
        <v>41</v>
      </c>
      <c r="P507" t="s">
        <v>41</v>
      </c>
      <c r="Q507" s="2"/>
      <c r="R507" s="2"/>
      <c r="S507" t="s">
        <v>255</v>
      </c>
      <c r="T507" t="s">
        <v>41</v>
      </c>
      <c r="U507" t="s">
        <v>41</v>
      </c>
      <c r="V507" s="2"/>
      <c r="W507" s="2"/>
      <c r="X507" t="s">
        <v>2480</v>
      </c>
      <c r="Y507">
        <v>20.77</v>
      </c>
      <c r="Z507">
        <v>3624.714</v>
      </c>
      <c r="AA507" s="2"/>
      <c r="AB507" s="2"/>
      <c r="AC507" t="s">
        <v>2481</v>
      </c>
      <c r="AD507">
        <v>22.88</v>
      </c>
      <c r="AE507">
        <v>3591.197</v>
      </c>
      <c r="AF507" s="2">
        <f t="shared" si="43"/>
        <v>0.101588830043332</v>
      </c>
      <c r="AG507" s="2">
        <f t="shared" si="44"/>
        <v>-0.00924679850603381</v>
      </c>
      <c r="AH507" t="s">
        <v>2482</v>
      </c>
      <c r="AI507" t="s">
        <v>1104</v>
      </c>
      <c r="AJ507" t="s">
        <v>625</v>
      </c>
    </row>
    <row r="508" hidden="1" spans="1:36">
      <c r="A508">
        <v>127035</v>
      </c>
      <c r="B508" t="s">
        <v>2483</v>
      </c>
      <c r="C508">
        <v>2225</v>
      </c>
      <c r="D508" t="s">
        <v>2484</v>
      </c>
      <c r="E508" t="s">
        <v>2485</v>
      </c>
      <c r="F508" t="s">
        <v>41</v>
      </c>
      <c r="G508" t="s">
        <v>2486</v>
      </c>
      <c r="H508" t="s">
        <v>621</v>
      </c>
      <c r="I508" t="s">
        <v>255</v>
      </c>
      <c r="J508" t="s">
        <v>255</v>
      </c>
      <c r="K508" t="s">
        <v>255</v>
      </c>
      <c r="L508" t="s">
        <v>41</v>
      </c>
      <c r="M508" t="s">
        <v>41</v>
      </c>
      <c r="N508" t="s">
        <v>255</v>
      </c>
      <c r="O508" t="s">
        <v>41</v>
      </c>
      <c r="P508" t="s">
        <v>41</v>
      </c>
      <c r="Q508" s="2"/>
      <c r="R508" s="2"/>
      <c r="S508" t="s">
        <v>255</v>
      </c>
      <c r="T508" t="s">
        <v>41</v>
      </c>
      <c r="U508" t="s">
        <v>41</v>
      </c>
      <c r="V508" s="2"/>
      <c r="W508" s="2"/>
      <c r="X508" t="s">
        <v>2486</v>
      </c>
      <c r="Y508">
        <v>4.16</v>
      </c>
      <c r="Z508">
        <v>3593.357</v>
      </c>
      <c r="AA508" s="2"/>
      <c r="AB508" s="2"/>
      <c r="AC508" t="s">
        <v>2487</v>
      </c>
      <c r="AD508">
        <v>4.03</v>
      </c>
      <c r="AE508">
        <v>3525.097</v>
      </c>
      <c r="AF508" s="2">
        <f t="shared" si="43"/>
        <v>-0.03125</v>
      </c>
      <c r="AG508" s="2">
        <f t="shared" si="44"/>
        <v>-0.0189961643109771</v>
      </c>
      <c r="AH508" t="s">
        <v>2488</v>
      </c>
      <c r="AI508" t="s">
        <v>191</v>
      </c>
      <c r="AJ508" t="s">
        <v>625</v>
      </c>
    </row>
    <row r="509" spans="1:36">
      <c r="A509">
        <v>123114</v>
      </c>
      <c r="B509" t="s">
        <v>2489</v>
      </c>
      <c r="C509">
        <v>300775</v>
      </c>
      <c r="D509" t="s">
        <v>2490</v>
      </c>
      <c r="E509" t="s">
        <v>2491</v>
      </c>
      <c r="F509" t="s">
        <v>56</v>
      </c>
      <c r="G509" t="s">
        <v>2335</v>
      </c>
      <c r="H509" t="s">
        <v>33</v>
      </c>
      <c r="I509" t="s">
        <v>255</v>
      </c>
      <c r="J509" t="s">
        <v>255</v>
      </c>
      <c r="K509" t="s">
        <v>2492</v>
      </c>
      <c r="L509">
        <v>30.27</v>
      </c>
      <c r="M509">
        <v>3205.227</v>
      </c>
      <c r="N509" t="s">
        <v>2493</v>
      </c>
      <c r="O509">
        <v>33</v>
      </c>
      <c r="P509">
        <v>3269.238</v>
      </c>
      <c r="Q509" s="1">
        <f>(O509-L509)/L509</f>
        <v>0.0901883052527255</v>
      </c>
      <c r="R509" s="1">
        <f>(P509-M509)/M509</f>
        <v>0.0199708164195547</v>
      </c>
      <c r="S509" t="s">
        <v>2494</v>
      </c>
      <c r="T509">
        <v>29.87</v>
      </c>
      <c r="U509">
        <v>3472.943</v>
      </c>
      <c r="V509" s="1">
        <f>(T509-O509)/O509</f>
        <v>-0.0948484848484848</v>
      </c>
      <c r="W509" s="1">
        <f>(U509-P509)/P509</f>
        <v>0.0623096268916489</v>
      </c>
      <c r="X509" t="s">
        <v>2335</v>
      </c>
      <c r="Y509">
        <v>33.41</v>
      </c>
      <c r="Z509">
        <v>3581.342</v>
      </c>
      <c r="AA509" s="2">
        <f>(Y509-T509)/T509</f>
        <v>0.118513558754603</v>
      </c>
      <c r="AB509" s="2">
        <f>(Z509-U509)/U509</f>
        <v>0.03121243279835</v>
      </c>
      <c r="AC509" t="s">
        <v>2453</v>
      </c>
      <c r="AD509">
        <v>36.03</v>
      </c>
      <c r="AE509">
        <v>3589.748</v>
      </c>
      <c r="AF509" s="2">
        <f t="shared" si="43"/>
        <v>0.0784196348398684</v>
      </c>
      <c r="AG509" s="2">
        <f t="shared" si="44"/>
        <v>0.00234716483374108</v>
      </c>
      <c r="AH509" t="s">
        <v>2495</v>
      </c>
      <c r="AI509" t="s">
        <v>41</v>
      </c>
      <c r="AJ509" t="s">
        <v>41</v>
      </c>
    </row>
    <row r="510" hidden="1" spans="1:36">
      <c r="A510">
        <v>111000</v>
      </c>
      <c r="B510" t="s">
        <v>2496</v>
      </c>
      <c r="C510">
        <v>605222</v>
      </c>
      <c r="D510" t="s">
        <v>2497</v>
      </c>
      <c r="E510" t="s">
        <v>55</v>
      </c>
      <c r="F510" t="s">
        <v>56</v>
      </c>
      <c r="G510" t="s">
        <v>2498</v>
      </c>
      <c r="H510" t="s">
        <v>33</v>
      </c>
      <c r="I510" t="s">
        <v>255</v>
      </c>
      <c r="J510" t="s">
        <v>255</v>
      </c>
      <c r="K510" t="s">
        <v>255</v>
      </c>
      <c r="L510" t="s">
        <v>41</v>
      </c>
      <c r="M510" t="s">
        <v>41</v>
      </c>
      <c r="N510" t="s">
        <v>255</v>
      </c>
      <c r="O510" t="s">
        <v>41</v>
      </c>
      <c r="P510" t="s">
        <v>41</v>
      </c>
      <c r="Q510" s="2"/>
      <c r="R510" s="2"/>
      <c r="S510" t="s">
        <v>255</v>
      </c>
      <c r="T510" t="s">
        <v>41</v>
      </c>
      <c r="U510" t="s">
        <v>41</v>
      </c>
      <c r="V510" s="2"/>
      <c r="W510" s="2"/>
      <c r="X510" t="s">
        <v>2498</v>
      </c>
      <c r="Y510">
        <v>19.4</v>
      </c>
      <c r="Z510">
        <v>3497.282</v>
      </c>
      <c r="AA510" s="2"/>
      <c r="AB510" s="2"/>
      <c r="AC510" t="s">
        <v>2151</v>
      </c>
      <c r="AD510">
        <v>19.51</v>
      </c>
      <c r="AE510">
        <v>3525.604</v>
      </c>
      <c r="AF510" s="2">
        <f t="shared" si="43"/>
        <v>0.00567010309278366</v>
      </c>
      <c r="AG510" s="2">
        <f t="shared" si="44"/>
        <v>0.00809828889977979</v>
      </c>
      <c r="AH510" t="s">
        <v>2499</v>
      </c>
      <c r="AI510" t="s">
        <v>41</v>
      </c>
      <c r="AJ510" t="s">
        <v>41</v>
      </c>
    </row>
    <row r="511" hidden="1" spans="1:36">
      <c r="A511">
        <v>127034</v>
      </c>
      <c r="B511" t="s">
        <v>2500</v>
      </c>
      <c r="C511">
        <v>2887</v>
      </c>
      <c r="D511" t="s">
        <v>2501</v>
      </c>
      <c r="E511" t="s">
        <v>2502</v>
      </c>
      <c r="F511" t="s">
        <v>56</v>
      </c>
      <c r="G511" t="s">
        <v>2503</v>
      </c>
      <c r="H511" t="s">
        <v>33</v>
      </c>
      <c r="I511" t="s">
        <v>255</v>
      </c>
      <c r="J511" t="s">
        <v>255</v>
      </c>
      <c r="K511" t="s">
        <v>255</v>
      </c>
      <c r="L511" t="s">
        <v>41</v>
      </c>
      <c r="M511" t="s">
        <v>41</v>
      </c>
      <c r="N511" t="s">
        <v>255</v>
      </c>
      <c r="O511" t="s">
        <v>41</v>
      </c>
      <c r="P511" t="s">
        <v>41</v>
      </c>
      <c r="Q511" s="2"/>
      <c r="R511" s="2"/>
      <c r="S511" t="s">
        <v>255</v>
      </c>
      <c r="T511" t="s">
        <v>41</v>
      </c>
      <c r="U511" t="s">
        <v>41</v>
      </c>
      <c r="V511" s="2"/>
      <c r="W511" s="2"/>
      <c r="X511" t="s">
        <v>2503</v>
      </c>
      <c r="Y511">
        <v>10.23</v>
      </c>
      <c r="Z511">
        <v>3446.856</v>
      </c>
      <c r="AA511" s="2"/>
      <c r="AB511" s="2"/>
      <c r="AC511" t="s">
        <v>2504</v>
      </c>
      <c r="AD511">
        <v>11.06</v>
      </c>
      <c r="AE511">
        <v>3600.784</v>
      </c>
      <c r="AF511" s="2">
        <f t="shared" si="43"/>
        <v>0.0811339198435973</v>
      </c>
      <c r="AG511" s="2">
        <f t="shared" si="44"/>
        <v>0.0446575081755663</v>
      </c>
      <c r="AH511" t="s">
        <v>2505</v>
      </c>
      <c r="AI511" t="s">
        <v>41</v>
      </c>
      <c r="AJ511" t="s">
        <v>41</v>
      </c>
    </row>
    <row r="512" hidden="1" spans="1:36">
      <c r="A512">
        <v>113624</v>
      </c>
      <c r="B512" t="s">
        <v>2506</v>
      </c>
      <c r="C512">
        <v>603976</v>
      </c>
      <c r="D512" t="s">
        <v>2507</v>
      </c>
      <c r="E512" t="s">
        <v>2508</v>
      </c>
      <c r="F512" t="s">
        <v>31</v>
      </c>
      <c r="G512" t="s">
        <v>2403</v>
      </c>
      <c r="H512" t="s">
        <v>33</v>
      </c>
      <c r="I512" t="s">
        <v>255</v>
      </c>
      <c r="J512" t="s">
        <v>255</v>
      </c>
      <c r="K512" t="s">
        <v>255</v>
      </c>
      <c r="L512" t="s">
        <v>41</v>
      </c>
      <c r="M512" t="s">
        <v>41</v>
      </c>
      <c r="N512" t="s">
        <v>255</v>
      </c>
      <c r="O512" t="s">
        <v>41</v>
      </c>
      <c r="P512" t="s">
        <v>41</v>
      </c>
      <c r="Q512" s="2"/>
      <c r="R512" s="2"/>
      <c r="S512" t="s">
        <v>255</v>
      </c>
      <c r="T512" t="s">
        <v>41</v>
      </c>
      <c r="U512" t="s">
        <v>41</v>
      </c>
      <c r="V512" s="2"/>
      <c r="W512" s="2"/>
      <c r="X512" t="s">
        <v>2403</v>
      </c>
      <c r="Y512">
        <v>49.06</v>
      </c>
      <c r="Z512">
        <v>3457.068</v>
      </c>
      <c r="AA512" s="2"/>
      <c r="AB512" s="2"/>
      <c r="AC512" t="s">
        <v>2480</v>
      </c>
      <c r="AD512">
        <v>44.92</v>
      </c>
      <c r="AE512">
        <v>3624.714</v>
      </c>
      <c r="AF512" s="2">
        <f t="shared" si="43"/>
        <v>-0.0843864655523848</v>
      </c>
      <c r="AG512" s="2">
        <f t="shared" si="44"/>
        <v>0.0484936946568594</v>
      </c>
      <c r="AH512" t="s">
        <v>2509</v>
      </c>
      <c r="AI512" t="s">
        <v>41</v>
      </c>
      <c r="AJ512" t="s">
        <v>41</v>
      </c>
    </row>
    <row r="513" hidden="1" spans="1:36">
      <c r="A513">
        <v>113048</v>
      </c>
      <c r="B513" t="s">
        <v>2510</v>
      </c>
      <c r="C513">
        <v>601778</v>
      </c>
      <c r="D513" t="s">
        <v>2511</v>
      </c>
      <c r="E513" t="s">
        <v>325</v>
      </c>
      <c r="F513" t="s">
        <v>397</v>
      </c>
      <c r="G513" t="s">
        <v>2512</v>
      </c>
      <c r="H513" t="s">
        <v>33</v>
      </c>
      <c r="I513" t="s">
        <v>255</v>
      </c>
      <c r="J513" t="s">
        <v>255</v>
      </c>
      <c r="K513" t="s">
        <v>255</v>
      </c>
      <c r="L513" t="s">
        <v>41</v>
      </c>
      <c r="M513" t="s">
        <v>41</v>
      </c>
      <c r="N513" t="s">
        <v>255</v>
      </c>
      <c r="O513" t="s">
        <v>41</v>
      </c>
      <c r="P513" t="s">
        <v>41</v>
      </c>
      <c r="Q513" s="2"/>
      <c r="R513" s="2"/>
      <c r="S513" t="s">
        <v>255</v>
      </c>
      <c r="T513" t="s">
        <v>41</v>
      </c>
      <c r="U513" t="s">
        <v>41</v>
      </c>
      <c r="V513" s="2"/>
      <c r="W513" s="2"/>
      <c r="X513" t="s">
        <v>2512</v>
      </c>
      <c r="Y513">
        <v>6.07</v>
      </c>
      <c r="Z513">
        <v>3474.166</v>
      </c>
      <c r="AA513" s="2"/>
      <c r="AB513" s="2"/>
      <c r="AC513" t="s">
        <v>2279</v>
      </c>
      <c r="AD513">
        <v>5.46</v>
      </c>
      <c r="AE513">
        <v>3615.477</v>
      </c>
      <c r="AF513" s="2">
        <f t="shared" si="43"/>
        <v>-0.100494233937397</v>
      </c>
      <c r="AG513" s="2">
        <f t="shared" si="44"/>
        <v>0.0406747979227244</v>
      </c>
      <c r="AH513" t="s">
        <v>2513</v>
      </c>
      <c r="AI513" t="s">
        <v>41</v>
      </c>
      <c r="AJ513" t="s">
        <v>41</v>
      </c>
    </row>
    <row r="514" spans="1:36">
      <c r="A514">
        <v>123113</v>
      </c>
      <c r="B514" t="s">
        <v>2514</v>
      </c>
      <c r="C514">
        <v>300791</v>
      </c>
      <c r="D514" t="s">
        <v>2515</v>
      </c>
      <c r="E514" t="s">
        <v>2516</v>
      </c>
      <c r="F514" t="s">
        <v>56</v>
      </c>
      <c r="G514" t="s">
        <v>2517</v>
      </c>
      <c r="H514" t="s">
        <v>33</v>
      </c>
      <c r="I514" t="s">
        <v>255</v>
      </c>
      <c r="J514" t="s">
        <v>255</v>
      </c>
      <c r="K514" t="s">
        <v>2391</v>
      </c>
      <c r="L514">
        <v>33.2</v>
      </c>
      <c r="M514">
        <v>3416.604</v>
      </c>
      <c r="N514" t="s">
        <v>2352</v>
      </c>
      <c r="O514">
        <v>33.24</v>
      </c>
      <c r="P514">
        <v>3564.08</v>
      </c>
      <c r="Q514" s="1">
        <f>(O514-L514)/L514</f>
        <v>0.00120481927710841</v>
      </c>
      <c r="R514" s="1">
        <f>(P514-M514)/M514</f>
        <v>0.0431644990171527</v>
      </c>
      <c r="S514" t="s">
        <v>2518</v>
      </c>
      <c r="T514">
        <v>32.17</v>
      </c>
      <c r="U514">
        <v>3418.327</v>
      </c>
      <c r="V514" s="1">
        <f>(T514-O514)/O514</f>
        <v>-0.0321901323706378</v>
      </c>
      <c r="W514" s="1">
        <f>(U514-P514)/P514</f>
        <v>-0.0408949855222104</v>
      </c>
      <c r="X514" t="s">
        <v>2517</v>
      </c>
      <c r="Y514">
        <v>32.71</v>
      </c>
      <c r="Z514">
        <v>3477.549</v>
      </c>
      <c r="AA514" s="2">
        <f>(Y514-T514)/T514</f>
        <v>0.0167858253030774</v>
      </c>
      <c r="AB514" s="2">
        <f>(Z514-U514)/U514</f>
        <v>0.0173248492610566</v>
      </c>
      <c r="AC514" t="s">
        <v>2519</v>
      </c>
      <c r="AD514">
        <v>29.48</v>
      </c>
      <c r="AE514">
        <v>3490.376</v>
      </c>
      <c r="AF514" s="2">
        <f t="shared" si="43"/>
        <v>-0.0987465606848059</v>
      </c>
      <c r="AG514" s="2">
        <f t="shared" si="44"/>
        <v>0.00368851740119269</v>
      </c>
      <c r="AH514" t="s">
        <v>2520</v>
      </c>
      <c r="AI514" t="s">
        <v>41</v>
      </c>
      <c r="AJ514" t="s">
        <v>41</v>
      </c>
    </row>
    <row r="515" hidden="1" spans="1:36">
      <c r="A515">
        <v>127033</v>
      </c>
      <c r="B515" t="s">
        <v>2521</v>
      </c>
      <c r="C515">
        <v>2822</v>
      </c>
      <c r="D515" t="s">
        <v>2522</v>
      </c>
      <c r="E515" t="s">
        <v>1120</v>
      </c>
      <c r="F515" t="s">
        <v>41</v>
      </c>
      <c r="G515" t="s">
        <v>2523</v>
      </c>
      <c r="H515" t="s">
        <v>621</v>
      </c>
      <c r="I515" t="s">
        <v>255</v>
      </c>
      <c r="J515" t="s">
        <v>255</v>
      </c>
      <c r="K515" t="s">
        <v>255</v>
      </c>
      <c r="L515" t="s">
        <v>41</v>
      </c>
      <c r="M515" t="s">
        <v>41</v>
      </c>
      <c r="N515" t="s">
        <v>255</v>
      </c>
      <c r="O515" t="s">
        <v>41</v>
      </c>
      <c r="P515" t="s">
        <v>41</v>
      </c>
      <c r="Q515" s="2"/>
      <c r="R515" s="2"/>
      <c r="S515" t="s">
        <v>255</v>
      </c>
      <c r="T515" t="s">
        <v>41</v>
      </c>
      <c r="U515" t="s">
        <v>41</v>
      </c>
      <c r="V515" s="2"/>
      <c r="W515" s="2"/>
      <c r="X515" t="s">
        <v>2523</v>
      </c>
      <c r="Y515">
        <v>6.02</v>
      </c>
      <c r="Z515">
        <v>3426.618</v>
      </c>
      <c r="AA515" s="2"/>
      <c r="AB515" s="2"/>
      <c r="AC515" t="s">
        <v>2498</v>
      </c>
      <c r="AD515">
        <v>5.4</v>
      </c>
      <c r="AE515">
        <v>3497.282</v>
      </c>
      <c r="AF515" s="2">
        <f t="shared" ref="AF515:AF578" si="45">(AD515-Y515)/Y515</f>
        <v>-0.102990033222591</v>
      </c>
      <c r="AG515" s="2">
        <f t="shared" ref="AG515:AG578" si="46">(AE515-Z515)/Z515</f>
        <v>0.0206220827649887</v>
      </c>
      <c r="AH515" t="s">
        <v>2524</v>
      </c>
      <c r="AI515" t="s">
        <v>138</v>
      </c>
      <c r="AJ515" t="s">
        <v>2525</v>
      </c>
    </row>
    <row r="516" hidden="1" spans="1:36">
      <c r="A516">
        <v>110080</v>
      </c>
      <c r="B516" t="s">
        <v>2526</v>
      </c>
      <c r="C516">
        <v>600133</v>
      </c>
      <c r="D516" t="s">
        <v>2527</v>
      </c>
      <c r="E516" t="s">
        <v>1694</v>
      </c>
      <c r="F516" t="s">
        <v>41</v>
      </c>
      <c r="G516" t="s">
        <v>2528</v>
      </c>
      <c r="H516" t="s">
        <v>621</v>
      </c>
      <c r="I516" t="s">
        <v>255</v>
      </c>
      <c r="J516" t="s">
        <v>255</v>
      </c>
      <c r="K516" t="s">
        <v>255</v>
      </c>
      <c r="L516" t="s">
        <v>41</v>
      </c>
      <c r="M516" t="s">
        <v>41</v>
      </c>
      <c r="N516" t="s">
        <v>255</v>
      </c>
      <c r="O516" t="s">
        <v>41</v>
      </c>
      <c r="P516" t="s">
        <v>41</v>
      </c>
      <c r="Q516" s="2"/>
      <c r="R516" s="2"/>
      <c r="S516" t="s">
        <v>255</v>
      </c>
      <c r="T516" t="s">
        <v>41</v>
      </c>
      <c r="U516" t="s">
        <v>41</v>
      </c>
      <c r="V516" s="2"/>
      <c r="W516" s="2"/>
      <c r="X516" t="s">
        <v>2528</v>
      </c>
      <c r="Y516">
        <v>5.19</v>
      </c>
      <c r="Z516">
        <v>3412.948</v>
      </c>
      <c r="AA516" s="2"/>
      <c r="AB516" s="2"/>
      <c r="AC516" t="s">
        <v>2529</v>
      </c>
      <c r="AD516">
        <v>4.84</v>
      </c>
      <c r="AE516">
        <v>3462.751</v>
      </c>
      <c r="AF516" s="2">
        <f t="shared" si="45"/>
        <v>-0.067437379576108</v>
      </c>
      <c r="AG516" s="2">
        <f t="shared" si="46"/>
        <v>0.0145923699980194</v>
      </c>
      <c r="AH516" t="s">
        <v>2530</v>
      </c>
      <c r="AI516" t="s">
        <v>2531</v>
      </c>
      <c r="AJ516" t="s">
        <v>625</v>
      </c>
    </row>
    <row r="517" hidden="1" spans="1:36">
      <c r="A517">
        <v>127032</v>
      </c>
      <c r="B517" t="s">
        <v>2532</v>
      </c>
      <c r="C517">
        <v>2966</v>
      </c>
      <c r="D517" t="s">
        <v>2533</v>
      </c>
      <c r="E517" t="s">
        <v>237</v>
      </c>
      <c r="F517" t="s">
        <v>41</v>
      </c>
      <c r="G517" t="s">
        <v>2528</v>
      </c>
      <c r="H517" t="s">
        <v>621</v>
      </c>
      <c r="I517" t="s">
        <v>255</v>
      </c>
      <c r="J517" t="s">
        <v>255</v>
      </c>
      <c r="K517" t="s">
        <v>255</v>
      </c>
      <c r="L517" t="s">
        <v>41</v>
      </c>
      <c r="M517" t="s">
        <v>41</v>
      </c>
      <c r="N517" t="s">
        <v>255</v>
      </c>
      <c r="O517" t="s">
        <v>41</v>
      </c>
      <c r="P517" t="s">
        <v>41</v>
      </c>
      <c r="Q517" s="2"/>
      <c r="R517" s="2"/>
      <c r="S517" t="s">
        <v>255</v>
      </c>
      <c r="T517" t="s">
        <v>41</v>
      </c>
      <c r="U517" t="s">
        <v>41</v>
      </c>
      <c r="V517" s="2"/>
      <c r="W517" s="2"/>
      <c r="X517" t="s">
        <v>2528</v>
      </c>
      <c r="Y517">
        <v>4.96</v>
      </c>
      <c r="Z517">
        <v>3412.948</v>
      </c>
      <c r="AA517" s="2"/>
      <c r="AB517" s="2"/>
      <c r="AC517" t="s">
        <v>2529</v>
      </c>
      <c r="AD517">
        <v>4.96</v>
      </c>
      <c r="AE517">
        <v>3462.751</v>
      </c>
      <c r="AF517" s="2">
        <f t="shared" si="45"/>
        <v>0</v>
      </c>
      <c r="AG517" s="2">
        <f t="shared" si="46"/>
        <v>0.0145923699980194</v>
      </c>
      <c r="AH517" t="s">
        <v>2530</v>
      </c>
      <c r="AI517" t="s">
        <v>2534</v>
      </c>
      <c r="AJ517" t="s">
        <v>625</v>
      </c>
    </row>
    <row r="518" hidden="1" spans="1:36">
      <c r="A518">
        <v>113047</v>
      </c>
      <c r="B518" t="s">
        <v>2535</v>
      </c>
      <c r="C518">
        <v>601636</v>
      </c>
      <c r="D518" t="s">
        <v>2536</v>
      </c>
      <c r="E518" t="s">
        <v>155</v>
      </c>
      <c r="F518" t="s">
        <v>41</v>
      </c>
      <c r="G518" t="s">
        <v>2367</v>
      </c>
      <c r="H518" t="s">
        <v>621</v>
      </c>
      <c r="I518" t="s">
        <v>255</v>
      </c>
      <c r="J518" t="s">
        <v>255</v>
      </c>
      <c r="K518" t="s">
        <v>255</v>
      </c>
      <c r="L518" t="s">
        <v>41</v>
      </c>
      <c r="M518" t="s">
        <v>41</v>
      </c>
      <c r="N518" t="s">
        <v>255</v>
      </c>
      <c r="O518" t="s">
        <v>41</v>
      </c>
      <c r="P518" t="s">
        <v>41</v>
      </c>
      <c r="Q518" s="2"/>
      <c r="R518" s="2"/>
      <c r="S518" t="s">
        <v>255</v>
      </c>
      <c r="T518" t="s">
        <v>41</v>
      </c>
      <c r="U518" t="s">
        <v>41</v>
      </c>
      <c r="V518" s="2"/>
      <c r="W518" s="2"/>
      <c r="X518" t="s">
        <v>2367</v>
      </c>
      <c r="Y518">
        <v>11.58</v>
      </c>
      <c r="Z518">
        <v>3450.677</v>
      </c>
      <c r="AA518" s="2"/>
      <c r="AB518" s="2"/>
      <c r="AC518" t="s">
        <v>2537</v>
      </c>
      <c r="AD518">
        <v>14.4</v>
      </c>
      <c r="AE518">
        <v>3418.874</v>
      </c>
      <c r="AF518" s="2">
        <f t="shared" si="45"/>
        <v>0.243523316062176</v>
      </c>
      <c r="AG518" s="2">
        <f t="shared" si="46"/>
        <v>-0.00921645230776463</v>
      </c>
      <c r="AH518" t="s">
        <v>2538</v>
      </c>
      <c r="AI518" t="s">
        <v>263</v>
      </c>
      <c r="AJ518" t="s">
        <v>625</v>
      </c>
    </row>
    <row r="519" spans="1:36">
      <c r="A519">
        <v>123112</v>
      </c>
      <c r="B519" t="s">
        <v>2539</v>
      </c>
      <c r="C519">
        <v>300112</v>
      </c>
      <c r="D519" t="s">
        <v>2540</v>
      </c>
      <c r="E519" t="s">
        <v>2541</v>
      </c>
      <c r="F519" t="s">
        <v>56</v>
      </c>
      <c r="G519" t="s">
        <v>2542</v>
      </c>
      <c r="H519" t="s">
        <v>33</v>
      </c>
      <c r="I519" t="s">
        <v>255</v>
      </c>
      <c r="J519" t="s">
        <v>255</v>
      </c>
      <c r="K519" t="s">
        <v>2543</v>
      </c>
      <c r="L519">
        <v>9.11</v>
      </c>
      <c r="M519">
        <v>3359.75</v>
      </c>
      <c r="N519" t="s">
        <v>2544</v>
      </c>
      <c r="O519">
        <v>8.07</v>
      </c>
      <c r="P519">
        <v>3583.092</v>
      </c>
      <c r="Q519" s="1">
        <f>(O519-L519)/L519</f>
        <v>-0.114160263446762</v>
      </c>
      <c r="R519" s="1">
        <f>(P519-M519)/M519</f>
        <v>0.0664757794478756</v>
      </c>
      <c r="S519" t="s">
        <v>2330</v>
      </c>
      <c r="T519">
        <v>8.52</v>
      </c>
      <c r="U519">
        <v>3357.737</v>
      </c>
      <c r="V519" s="1">
        <f>(T519-O519)/O519</f>
        <v>0.0557620817843865</v>
      </c>
      <c r="W519" s="1">
        <f>(U519-P519)/P519</f>
        <v>-0.0628940032798488</v>
      </c>
      <c r="X519" t="s">
        <v>2542</v>
      </c>
      <c r="Y519">
        <v>7.71</v>
      </c>
      <c r="Z519">
        <v>3482.555</v>
      </c>
      <c r="AA519" s="2">
        <f>(Y519-T519)/T519</f>
        <v>-0.0950704225352112</v>
      </c>
      <c r="AB519" s="2">
        <f>(Z519-U519)/U519</f>
        <v>0.0371732509127426</v>
      </c>
      <c r="AC519" t="s">
        <v>2512</v>
      </c>
      <c r="AD519">
        <v>7.72</v>
      </c>
      <c r="AE519">
        <v>3474.166</v>
      </c>
      <c r="AF519" s="2">
        <f t="shared" si="45"/>
        <v>0.00129701686121917</v>
      </c>
      <c r="AG519" s="2">
        <f t="shared" si="46"/>
        <v>-0.00240886360732269</v>
      </c>
      <c r="AH519" t="s">
        <v>2545</v>
      </c>
      <c r="AI519" t="s">
        <v>41</v>
      </c>
      <c r="AJ519" t="s">
        <v>41</v>
      </c>
    </row>
    <row r="520" hidden="1" spans="1:36">
      <c r="A520">
        <v>113623</v>
      </c>
      <c r="B520" t="s">
        <v>2546</v>
      </c>
      <c r="C520">
        <v>603225</v>
      </c>
      <c r="D520" t="s">
        <v>2547</v>
      </c>
      <c r="E520" t="s">
        <v>148</v>
      </c>
      <c r="F520" t="s">
        <v>397</v>
      </c>
      <c r="G520" t="s">
        <v>2542</v>
      </c>
      <c r="H520" t="s">
        <v>33</v>
      </c>
      <c r="I520" t="s">
        <v>255</v>
      </c>
      <c r="J520" t="s">
        <v>255</v>
      </c>
      <c r="K520" t="s">
        <v>255</v>
      </c>
      <c r="L520" t="s">
        <v>41</v>
      </c>
      <c r="M520" t="s">
        <v>41</v>
      </c>
      <c r="N520" t="s">
        <v>255</v>
      </c>
      <c r="O520" t="s">
        <v>41</v>
      </c>
      <c r="P520" t="s">
        <v>41</v>
      </c>
      <c r="Q520" s="2"/>
      <c r="R520" s="2"/>
      <c r="S520" t="s">
        <v>255</v>
      </c>
      <c r="T520" t="s">
        <v>41</v>
      </c>
      <c r="U520" t="s">
        <v>41</v>
      </c>
      <c r="V520" s="2"/>
      <c r="W520" s="2"/>
      <c r="X520" t="s">
        <v>2542</v>
      </c>
      <c r="Y520">
        <v>15.6</v>
      </c>
      <c r="Z520">
        <v>3482.555</v>
      </c>
      <c r="AA520" s="2"/>
      <c r="AB520" s="2"/>
      <c r="AC520" t="s">
        <v>2537</v>
      </c>
      <c r="AD520">
        <v>17.58</v>
      </c>
      <c r="AE520">
        <v>3418.874</v>
      </c>
      <c r="AF520" s="2">
        <f t="shared" si="45"/>
        <v>0.126923076923077</v>
      </c>
      <c r="AG520" s="2">
        <f t="shared" si="46"/>
        <v>-0.0182857126448829</v>
      </c>
      <c r="AH520" t="s">
        <v>2545</v>
      </c>
      <c r="AI520" t="s">
        <v>41</v>
      </c>
      <c r="AJ520" t="s">
        <v>41</v>
      </c>
    </row>
    <row r="521" spans="1:36">
      <c r="A521">
        <v>123111</v>
      </c>
      <c r="B521" t="s">
        <v>2548</v>
      </c>
      <c r="C521">
        <v>300059</v>
      </c>
      <c r="D521" t="s">
        <v>2549</v>
      </c>
      <c r="E521" t="s">
        <v>2550</v>
      </c>
      <c r="F521" t="s">
        <v>41</v>
      </c>
      <c r="G521" t="s">
        <v>2107</v>
      </c>
      <c r="H521" t="s">
        <v>621</v>
      </c>
      <c r="I521" t="s">
        <v>255</v>
      </c>
      <c r="J521" t="s">
        <v>255</v>
      </c>
      <c r="K521" t="s">
        <v>2551</v>
      </c>
      <c r="L521">
        <v>14.31</v>
      </c>
      <c r="M521">
        <v>3339.895</v>
      </c>
      <c r="N521" t="s">
        <v>2552</v>
      </c>
      <c r="O521">
        <v>20.7</v>
      </c>
      <c r="P521">
        <v>3505.176</v>
      </c>
      <c r="Q521" s="1">
        <f>(O521-L521)/L521</f>
        <v>0.446540880503145</v>
      </c>
      <c r="R521" s="1">
        <f>(P521-M521)/M521</f>
        <v>0.0494868850667461</v>
      </c>
      <c r="S521" t="s">
        <v>2409</v>
      </c>
      <c r="T521">
        <v>15.42</v>
      </c>
      <c r="U521">
        <v>3367.061</v>
      </c>
      <c r="V521" s="1">
        <f>(T521-O521)/O521</f>
        <v>-0.255072463768116</v>
      </c>
      <c r="W521" s="1">
        <f>(U521-P521)/P521</f>
        <v>-0.0394031569313495</v>
      </c>
      <c r="X521" t="s">
        <v>2107</v>
      </c>
      <c r="Y521">
        <v>15.89</v>
      </c>
      <c r="Z521">
        <v>3479.626</v>
      </c>
      <c r="AA521" s="2">
        <f>(Y521-T521)/T521</f>
        <v>0.0304798962386511</v>
      </c>
      <c r="AB521" s="2">
        <f>(Z521-U521)/U521</f>
        <v>0.0334312327575889</v>
      </c>
      <c r="AC521" t="s">
        <v>2512</v>
      </c>
      <c r="AD521">
        <v>18.03</v>
      </c>
      <c r="AE521">
        <v>3474.166</v>
      </c>
      <c r="AF521" s="2">
        <f t="shared" si="45"/>
        <v>0.134675896790434</v>
      </c>
      <c r="AG521" s="2">
        <f t="shared" si="46"/>
        <v>-0.00156913415407289</v>
      </c>
      <c r="AH521" t="s">
        <v>2553</v>
      </c>
      <c r="AI521" t="s">
        <v>2554</v>
      </c>
      <c r="AJ521" t="s">
        <v>625</v>
      </c>
    </row>
    <row r="522" spans="1:36">
      <c r="A522">
        <v>123109</v>
      </c>
      <c r="B522" t="s">
        <v>2555</v>
      </c>
      <c r="C522">
        <v>300151</v>
      </c>
      <c r="D522" t="s">
        <v>2556</v>
      </c>
      <c r="E522" t="s">
        <v>476</v>
      </c>
      <c r="F522" t="s">
        <v>56</v>
      </c>
      <c r="G522" t="s">
        <v>2557</v>
      </c>
      <c r="H522" t="s">
        <v>33</v>
      </c>
      <c r="I522" t="s">
        <v>255</v>
      </c>
      <c r="J522" t="s">
        <v>255</v>
      </c>
      <c r="K522" t="s">
        <v>2558</v>
      </c>
      <c r="L522">
        <v>23.14</v>
      </c>
      <c r="M522">
        <v>3277.997</v>
      </c>
      <c r="N522" t="s">
        <v>2559</v>
      </c>
      <c r="O522">
        <v>27.46</v>
      </c>
      <c r="P522">
        <v>3565.905</v>
      </c>
      <c r="Q522" s="1">
        <f>(O522-L522)/L522</f>
        <v>0.186689714779602</v>
      </c>
      <c r="R522" s="1">
        <f>(P522-M522)/M522</f>
        <v>0.0878304647624755</v>
      </c>
      <c r="S522" t="s">
        <v>2330</v>
      </c>
      <c r="T522">
        <v>27.73</v>
      </c>
      <c r="U522">
        <v>3357.737</v>
      </c>
      <c r="V522" s="1">
        <f>(T522-O522)/O522</f>
        <v>0.0098324836125273</v>
      </c>
      <c r="W522" s="1">
        <f>(U522-P522)/P522</f>
        <v>-0.0583773263729685</v>
      </c>
      <c r="X522" t="s">
        <v>2557</v>
      </c>
      <c r="Y522">
        <v>27.43</v>
      </c>
      <c r="Z522">
        <v>3466.332</v>
      </c>
      <c r="AA522" s="2">
        <f>(Y522-T522)/T522</f>
        <v>-0.0108186080057699</v>
      </c>
      <c r="AB522" s="2">
        <f>(Z522-U522)/U522</f>
        <v>0.0323417230116593</v>
      </c>
      <c r="AC522" t="s">
        <v>2517</v>
      </c>
      <c r="AD522">
        <v>26.99</v>
      </c>
      <c r="AE522">
        <v>3477.549</v>
      </c>
      <c r="AF522" s="2">
        <f t="shared" si="45"/>
        <v>-0.016040831206708</v>
      </c>
      <c r="AG522" s="2">
        <f t="shared" si="46"/>
        <v>0.00323598547398232</v>
      </c>
      <c r="AH522" t="s">
        <v>2560</v>
      </c>
      <c r="AI522" t="s">
        <v>41</v>
      </c>
      <c r="AJ522" t="s">
        <v>41</v>
      </c>
    </row>
    <row r="523" hidden="1" spans="1:36">
      <c r="A523">
        <v>123110</v>
      </c>
      <c r="B523" t="s">
        <v>2561</v>
      </c>
      <c r="C523">
        <v>300705</v>
      </c>
      <c r="D523" t="s">
        <v>1050</v>
      </c>
      <c r="E523" t="s">
        <v>722</v>
      </c>
      <c r="F523" t="s">
        <v>41</v>
      </c>
      <c r="G523" t="s">
        <v>2557</v>
      </c>
      <c r="H523" t="s">
        <v>621</v>
      </c>
      <c r="I523" t="s">
        <v>255</v>
      </c>
      <c r="J523" t="s">
        <v>255</v>
      </c>
      <c r="K523" t="s">
        <v>255</v>
      </c>
      <c r="L523" t="s">
        <v>41</v>
      </c>
      <c r="M523" t="s">
        <v>41</v>
      </c>
      <c r="N523" t="s">
        <v>255</v>
      </c>
      <c r="O523" t="s">
        <v>41</v>
      </c>
      <c r="P523" t="s">
        <v>41</v>
      </c>
      <c r="Q523" s="2"/>
      <c r="R523" s="2"/>
      <c r="S523" t="s">
        <v>255</v>
      </c>
      <c r="T523" t="s">
        <v>41</v>
      </c>
      <c r="U523" t="s">
        <v>41</v>
      </c>
      <c r="V523" s="2"/>
      <c r="W523" s="2"/>
      <c r="X523" t="s">
        <v>2557</v>
      </c>
      <c r="Y523">
        <v>13.54</v>
      </c>
      <c r="Z523">
        <v>3466.332</v>
      </c>
      <c r="AA523" s="2"/>
      <c r="AB523" s="2"/>
      <c r="AC523" t="s">
        <v>2512</v>
      </c>
      <c r="AD523">
        <v>14.44</v>
      </c>
      <c r="AE523">
        <v>3474.166</v>
      </c>
      <c r="AF523" s="2">
        <f t="shared" si="45"/>
        <v>0.0664697193500739</v>
      </c>
      <c r="AG523" s="2">
        <f t="shared" si="46"/>
        <v>0.00226002587172847</v>
      </c>
      <c r="AH523" t="s">
        <v>2562</v>
      </c>
      <c r="AI523" t="s">
        <v>1613</v>
      </c>
      <c r="AJ523" t="s">
        <v>625</v>
      </c>
    </row>
    <row r="524" spans="1:36">
      <c r="A524">
        <v>123108</v>
      </c>
      <c r="B524" t="s">
        <v>2563</v>
      </c>
      <c r="C524">
        <v>300003</v>
      </c>
      <c r="D524" t="s">
        <v>2564</v>
      </c>
      <c r="E524" t="s">
        <v>2565</v>
      </c>
      <c r="F524" t="s">
        <v>98</v>
      </c>
      <c r="G524" t="s">
        <v>2566</v>
      </c>
      <c r="H524" t="s">
        <v>33</v>
      </c>
      <c r="I524" t="s">
        <v>255</v>
      </c>
      <c r="J524" t="s">
        <v>255</v>
      </c>
      <c r="K524" t="s">
        <v>2567</v>
      </c>
      <c r="L524">
        <v>32.91</v>
      </c>
      <c r="M524">
        <v>3340.778</v>
      </c>
      <c r="N524" t="s">
        <v>2568</v>
      </c>
      <c r="O524">
        <v>28.05</v>
      </c>
      <c r="P524">
        <v>3501.859</v>
      </c>
      <c r="Q524" s="1">
        <f>(O524-L524)/L524</f>
        <v>-0.14767547857794</v>
      </c>
      <c r="R524" s="1">
        <f>(P524-M524)/M524</f>
        <v>0.048216613016489</v>
      </c>
      <c r="S524" t="s">
        <v>2569</v>
      </c>
      <c r="T524">
        <v>26.65</v>
      </c>
      <c r="U524">
        <v>3453.078</v>
      </c>
      <c r="V524" s="1">
        <f>(T524-O524)/O524</f>
        <v>-0.0499108734402853</v>
      </c>
      <c r="W524" s="1">
        <f>(U524-P524)/P524</f>
        <v>-0.0139300297356347</v>
      </c>
      <c r="X524" t="s">
        <v>2566</v>
      </c>
      <c r="Y524">
        <v>27.49</v>
      </c>
      <c r="Z524">
        <v>3456.677</v>
      </c>
      <c r="AA524" s="2">
        <f>(Y524-T524)/T524</f>
        <v>0.0315196998123827</v>
      </c>
      <c r="AB524" s="2">
        <f>(Z524-U524)/U524</f>
        <v>0.0010422585299261</v>
      </c>
      <c r="AC524" t="s">
        <v>2517</v>
      </c>
      <c r="AD524">
        <v>26.86</v>
      </c>
      <c r="AE524">
        <v>3477.549</v>
      </c>
      <c r="AF524" s="2">
        <f t="shared" si="45"/>
        <v>-0.0229174245180065</v>
      </c>
      <c r="AG524" s="2">
        <f t="shared" si="46"/>
        <v>0.00603816902765281</v>
      </c>
      <c r="AH524" t="s">
        <v>2570</v>
      </c>
      <c r="AI524" t="s">
        <v>41</v>
      </c>
      <c r="AJ524" t="s">
        <v>41</v>
      </c>
    </row>
    <row r="525" hidden="1" spans="1:36">
      <c r="A525">
        <v>110079</v>
      </c>
      <c r="B525" t="s">
        <v>2571</v>
      </c>
      <c r="C525">
        <v>600926</v>
      </c>
      <c r="D525" t="s">
        <v>2572</v>
      </c>
      <c r="E525" t="s">
        <v>2573</v>
      </c>
      <c r="F525" t="s">
        <v>41</v>
      </c>
      <c r="G525" t="s">
        <v>2574</v>
      </c>
      <c r="H525" t="s">
        <v>621</v>
      </c>
      <c r="I525" t="s">
        <v>255</v>
      </c>
      <c r="J525" t="s">
        <v>255</v>
      </c>
      <c r="K525" t="s">
        <v>255</v>
      </c>
      <c r="L525" t="s">
        <v>41</v>
      </c>
      <c r="M525" t="s">
        <v>41</v>
      </c>
      <c r="N525" t="s">
        <v>255</v>
      </c>
      <c r="O525" t="s">
        <v>41</v>
      </c>
      <c r="P525" t="s">
        <v>41</v>
      </c>
      <c r="Q525" s="2"/>
      <c r="R525" s="2"/>
      <c r="S525" t="s">
        <v>255</v>
      </c>
      <c r="T525" t="s">
        <v>41</v>
      </c>
      <c r="U525" t="s">
        <v>41</v>
      </c>
      <c r="V525" s="2"/>
      <c r="W525" s="2"/>
      <c r="X525" t="s">
        <v>2574</v>
      </c>
      <c r="Y525">
        <v>14.35</v>
      </c>
      <c r="Z525">
        <v>3435.296</v>
      </c>
      <c r="AA525" s="2"/>
      <c r="AB525" s="2"/>
      <c r="AC525" t="s">
        <v>2512</v>
      </c>
      <c r="AD525">
        <v>13.65</v>
      </c>
      <c r="AE525">
        <v>3474.166</v>
      </c>
      <c r="AF525" s="2">
        <f t="shared" si="45"/>
        <v>-0.048780487804878</v>
      </c>
      <c r="AG525" s="2">
        <f t="shared" si="46"/>
        <v>0.0113148910603338</v>
      </c>
      <c r="AH525" t="s">
        <v>2575</v>
      </c>
      <c r="AI525" t="s">
        <v>460</v>
      </c>
      <c r="AJ525" t="s">
        <v>625</v>
      </c>
    </row>
    <row r="526" spans="1:36">
      <c r="A526">
        <v>123107</v>
      </c>
      <c r="B526" t="s">
        <v>2576</v>
      </c>
      <c r="C526">
        <v>300498</v>
      </c>
      <c r="D526" t="s">
        <v>2577</v>
      </c>
      <c r="E526" t="s">
        <v>2578</v>
      </c>
      <c r="F526" t="s">
        <v>444</v>
      </c>
      <c r="G526" t="s">
        <v>2574</v>
      </c>
      <c r="H526" t="s">
        <v>33</v>
      </c>
      <c r="I526" t="s">
        <v>255</v>
      </c>
      <c r="J526" t="s">
        <v>255</v>
      </c>
      <c r="K526" t="s">
        <v>2579</v>
      </c>
      <c r="L526">
        <v>19.57</v>
      </c>
      <c r="M526">
        <v>3283.924</v>
      </c>
      <c r="N526" t="s">
        <v>2580</v>
      </c>
      <c r="O526">
        <v>17.08</v>
      </c>
      <c r="P526">
        <v>3396.563</v>
      </c>
      <c r="Q526" s="1">
        <f>(O526-L526)/L526</f>
        <v>-0.127235564639755</v>
      </c>
      <c r="R526" s="1">
        <f>(P526-M526)/M526</f>
        <v>0.0343001238761921</v>
      </c>
      <c r="S526" t="s">
        <v>2581</v>
      </c>
      <c r="T526">
        <v>16.05</v>
      </c>
      <c r="U526">
        <v>3603.489</v>
      </c>
      <c r="V526" s="1">
        <f>(T526-O526)/O526</f>
        <v>-0.0603044496487118</v>
      </c>
      <c r="W526" s="1">
        <f>(U526-P526)/P526</f>
        <v>0.0609221733852721</v>
      </c>
      <c r="X526" t="s">
        <v>2574</v>
      </c>
      <c r="Y526">
        <v>15.91</v>
      </c>
      <c r="Z526">
        <v>3435.296</v>
      </c>
      <c r="AA526" s="2">
        <f>(Y526-T526)/T526</f>
        <v>-0.00872274143302184</v>
      </c>
      <c r="AB526" s="2">
        <f>(Z526-U526)/U526</f>
        <v>-0.0466750418830195</v>
      </c>
      <c r="AC526" t="s">
        <v>2259</v>
      </c>
      <c r="AD526">
        <v>14.35</v>
      </c>
      <c r="AE526">
        <v>3472.93</v>
      </c>
      <c r="AF526" s="2">
        <f t="shared" si="45"/>
        <v>-0.0980515399120051</v>
      </c>
      <c r="AG526" s="2">
        <f t="shared" si="46"/>
        <v>0.0109550967369333</v>
      </c>
      <c r="AH526" t="s">
        <v>2575</v>
      </c>
      <c r="AI526" t="s">
        <v>41</v>
      </c>
      <c r="AJ526" t="s">
        <v>41</v>
      </c>
    </row>
    <row r="527" hidden="1" spans="1:36">
      <c r="A527">
        <v>127031</v>
      </c>
      <c r="B527" t="s">
        <v>2582</v>
      </c>
      <c r="C527">
        <v>902</v>
      </c>
      <c r="D527" t="s">
        <v>2583</v>
      </c>
      <c r="E527" t="s">
        <v>55</v>
      </c>
      <c r="F527" t="s">
        <v>397</v>
      </c>
      <c r="G527" t="s">
        <v>2584</v>
      </c>
      <c r="H527" t="s">
        <v>33</v>
      </c>
      <c r="I527" t="s">
        <v>255</v>
      </c>
      <c r="J527" t="s">
        <v>255</v>
      </c>
      <c r="K527" t="s">
        <v>255</v>
      </c>
      <c r="L527" t="s">
        <v>41</v>
      </c>
      <c r="M527" t="s">
        <v>41</v>
      </c>
      <c r="N527" t="s">
        <v>255</v>
      </c>
      <c r="O527" t="s">
        <v>41</v>
      </c>
      <c r="P527" t="s">
        <v>41</v>
      </c>
      <c r="Q527" s="2"/>
      <c r="R527" s="2"/>
      <c r="S527" t="s">
        <v>255</v>
      </c>
      <c r="T527" t="s">
        <v>41</v>
      </c>
      <c r="U527" t="s">
        <v>41</v>
      </c>
      <c r="V527" s="2"/>
      <c r="W527" s="2"/>
      <c r="X527" t="s">
        <v>2584</v>
      </c>
      <c r="Y527">
        <v>18.14</v>
      </c>
      <c r="Z527">
        <v>3363.592</v>
      </c>
      <c r="AA527" s="2"/>
      <c r="AB527" s="2"/>
      <c r="AC527" t="s">
        <v>2512</v>
      </c>
      <c r="AD527">
        <v>15.2</v>
      </c>
      <c r="AE527">
        <v>3474.166</v>
      </c>
      <c r="AF527" s="2">
        <f t="shared" si="45"/>
        <v>-0.162072767364939</v>
      </c>
      <c r="AG527" s="2">
        <f t="shared" si="46"/>
        <v>0.0328737849299202</v>
      </c>
      <c r="AH527" t="s">
        <v>2585</v>
      </c>
      <c r="AI527" t="s">
        <v>41</v>
      </c>
      <c r="AJ527" t="s">
        <v>41</v>
      </c>
    </row>
    <row r="528" hidden="1" spans="1:36">
      <c r="A528">
        <v>113622</v>
      </c>
      <c r="B528" t="s">
        <v>2586</v>
      </c>
      <c r="C528">
        <v>603298</v>
      </c>
      <c r="D528" t="s">
        <v>2587</v>
      </c>
      <c r="E528" t="s">
        <v>2001</v>
      </c>
      <c r="F528" t="s">
        <v>41</v>
      </c>
      <c r="G528" t="s">
        <v>2584</v>
      </c>
      <c r="H528" t="s">
        <v>621</v>
      </c>
      <c r="I528" t="s">
        <v>255</v>
      </c>
      <c r="J528" t="s">
        <v>255</v>
      </c>
      <c r="K528" t="s">
        <v>255</v>
      </c>
      <c r="L528" t="s">
        <v>41</v>
      </c>
      <c r="M528" t="s">
        <v>41</v>
      </c>
      <c r="N528" t="s">
        <v>255</v>
      </c>
      <c r="O528" t="s">
        <v>41</v>
      </c>
      <c r="P528" t="s">
        <v>41</v>
      </c>
      <c r="Q528" s="2"/>
      <c r="R528" s="2"/>
      <c r="S528" t="s">
        <v>255</v>
      </c>
      <c r="T528" t="s">
        <v>41</v>
      </c>
      <c r="U528" t="s">
        <v>41</v>
      </c>
      <c r="V528" s="2"/>
      <c r="W528" s="2"/>
      <c r="X528" t="s">
        <v>2584</v>
      </c>
      <c r="Y528">
        <v>14.59</v>
      </c>
      <c r="Z528">
        <v>3363.592</v>
      </c>
      <c r="AA528" s="2"/>
      <c r="AB528" s="2"/>
      <c r="AC528" t="s">
        <v>2292</v>
      </c>
      <c r="AD528">
        <v>15.11</v>
      </c>
      <c r="AE528">
        <v>3416.721</v>
      </c>
      <c r="AF528" s="2">
        <f t="shared" si="45"/>
        <v>0.0356408498971898</v>
      </c>
      <c r="AG528" s="2">
        <f t="shared" si="46"/>
        <v>0.0157953164355248</v>
      </c>
      <c r="AH528" t="s">
        <v>2588</v>
      </c>
      <c r="AI528" t="s">
        <v>886</v>
      </c>
      <c r="AJ528" t="s">
        <v>625</v>
      </c>
    </row>
    <row r="529" spans="1:36">
      <c r="A529">
        <v>123106</v>
      </c>
      <c r="B529" t="s">
        <v>2589</v>
      </c>
      <c r="C529">
        <v>300641</v>
      </c>
      <c r="D529" t="s">
        <v>2590</v>
      </c>
      <c r="E529" t="s">
        <v>1308</v>
      </c>
      <c r="F529" t="s">
        <v>41</v>
      </c>
      <c r="G529" t="s">
        <v>2409</v>
      </c>
      <c r="H529" t="s">
        <v>621</v>
      </c>
      <c r="I529" t="s">
        <v>255</v>
      </c>
      <c r="J529" t="s">
        <v>255</v>
      </c>
      <c r="K529" t="s">
        <v>2591</v>
      </c>
      <c r="L529">
        <v>3.55</v>
      </c>
      <c r="M529">
        <v>3025.981</v>
      </c>
      <c r="N529" t="s">
        <v>2592</v>
      </c>
      <c r="O529">
        <v>5.09</v>
      </c>
      <c r="P529">
        <v>3336.358</v>
      </c>
      <c r="Q529" s="1">
        <f>(O529-L529)/L529</f>
        <v>0.433802816901408</v>
      </c>
      <c r="R529" s="1">
        <f>(P529-M529)/M529</f>
        <v>0.102570703517306</v>
      </c>
      <c r="S529" t="s">
        <v>2391</v>
      </c>
      <c r="T529">
        <v>4.8</v>
      </c>
      <c r="U529">
        <v>3416.604</v>
      </c>
      <c r="V529" s="1">
        <f>(T529-O529)/O529</f>
        <v>-0.0569744597249509</v>
      </c>
      <c r="W529" s="1">
        <f>(U529-P529)/P529</f>
        <v>0.0240519752376692</v>
      </c>
      <c r="X529" t="s">
        <v>2409</v>
      </c>
      <c r="Y529">
        <v>5.82</v>
      </c>
      <c r="Z529">
        <v>3367.061</v>
      </c>
      <c r="AA529" s="2">
        <f>(Y529-T529)/T529</f>
        <v>0.2125</v>
      </c>
      <c r="AB529" s="2">
        <f>(Z529-U529)/U529</f>
        <v>-0.0145006562071577</v>
      </c>
      <c r="AC529" t="s">
        <v>2494</v>
      </c>
      <c r="AD529">
        <v>6.09</v>
      </c>
      <c r="AE529">
        <v>3472.943</v>
      </c>
      <c r="AF529" s="2">
        <f t="shared" si="45"/>
        <v>0.0463917525773195</v>
      </c>
      <c r="AG529" s="2">
        <f t="shared" si="46"/>
        <v>0.0314464157317019</v>
      </c>
      <c r="AH529" t="s">
        <v>2588</v>
      </c>
      <c r="AI529" t="s">
        <v>2593</v>
      </c>
      <c r="AJ529" t="s">
        <v>625</v>
      </c>
    </row>
    <row r="530" hidden="1" spans="1:36">
      <c r="A530">
        <v>113046</v>
      </c>
      <c r="B530" t="s">
        <v>2594</v>
      </c>
      <c r="C530">
        <v>601609</v>
      </c>
      <c r="D530" t="s">
        <v>1161</v>
      </c>
      <c r="E530" t="s">
        <v>155</v>
      </c>
      <c r="F530" t="s">
        <v>98</v>
      </c>
      <c r="G530" t="s">
        <v>2595</v>
      </c>
      <c r="H530" t="s">
        <v>33</v>
      </c>
      <c r="I530" t="s">
        <v>255</v>
      </c>
      <c r="J530" t="s">
        <v>255</v>
      </c>
      <c r="K530" t="s">
        <v>255</v>
      </c>
      <c r="L530" t="s">
        <v>41</v>
      </c>
      <c r="M530" t="s">
        <v>41</v>
      </c>
      <c r="N530" t="s">
        <v>255</v>
      </c>
      <c r="O530" t="s">
        <v>41</v>
      </c>
      <c r="P530" t="s">
        <v>41</v>
      </c>
      <c r="Q530" s="2"/>
      <c r="R530" s="2"/>
      <c r="S530" t="s">
        <v>255</v>
      </c>
      <c r="T530" t="s">
        <v>41</v>
      </c>
      <c r="U530" t="s">
        <v>41</v>
      </c>
      <c r="V530" s="2"/>
      <c r="W530" s="2"/>
      <c r="X530" t="s">
        <v>2595</v>
      </c>
      <c r="Y530">
        <v>9.82</v>
      </c>
      <c r="Z530">
        <v>3443.439</v>
      </c>
      <c r="AA530" s="2"/>
      <c r="AB530" s="2"/>
      <c r="AC530" t="s">
        <v>2528</v>
      </c>
      <c r="AD530">
        <v>9.88</v>
      </c>
      <c r="AE530">
        <v>3412.948</v>
      </c>
      <c r="AF530" s="2">
        <f t="shared" si="45"/>
        <v>0.00610997963340127</v>
      </c>
      <c r="AG530" s="2">
        <f t="shared" si="46"/>
        <v>-0.00885481055421629</v>
      </c>
      <c r="AH530" t="s">
        <v>2596</v>
      </c>
      <c r="AI530" t="s">
        <v>41</v>
      </c>
      <c r="AJ530" t="s">
        <v>41</v>
      </c>
    </row>
    <row r="531" hidden="1" spans="1:36">
      <c r="A531">
        <v>128145</v>
      </c>
      <c r="B531" t="s">
        <v>2597</v>
      </c>
      <c r="C531">
        <v>2953</v>
      </c>
      <c r="D531" t="s">
        <v>2598</v>
      </c>
      <c r="E531" t="s">
        <v>212</v>
      </c>
      <c r="F531" t="s">
        <v>41</v>
      </c>
      <c r="G531" t="s">
        <v>2595</v>
      </c>
      <c r="H531" t="s">
        <v>621</v>
      </c>
      <c r="I531" t="s">
        <v>255</v>
      </c>
      <c r="J531" t="s">
        <v>255</v>
      </c>
      <c r="K531" t="s">
        <v>255</v>
      </c>
      <c r="L531" t="s">
        <v>41</v>
      </c>
      <c r="M531" t="s">
        <v>41</v>
      </c>
      <c r="N531" t="s">
        <v>255</v>
      </c>
      <c r="O531" t="s">
        <v>41</v>
      </c>
      <c r="P531" t="s">
        <v>41</v>
      </c>
      <c r="Q531" s="2"/>
      <c r="R531" s="2"/>
      <c r="S531" t="s">
        <v>255</v>
      </c>
      <c r="T531" t="s">
        <v>41</v>
      </c>
      <c r="U531" t="s">
        <v>41</v>
      </c>
      <c r="V531" s="2"/>
      <c r="W531" s="2"/>
      <c r="X531" t="s">
        <v>2595</v>
      </c>
      <c r="Y531">
        <v>7.86</v>
      </c>
      <c r="Z531">
        <v>3443.439</v>
      </c>
      <c r="AA531" s="2"/>
      <c r="AB531" s="2"/>
      <c r="AC531" t="s">
        <v>2523</v>
      </c>
      <c r="AD531">
        <v>8.27</v>
      </c>
      <c r="AE531">
        <v>3426.618</v>
      </c>
      <c r="AF531" s="2">
        <f t="shared" si="45"/>
        <v>0.0521628498727734</v>
      </c>
      <c r="AG531" s="2">
        <f t="shared" si="46"/>
        <v>-0.00488494205937724</v>
      </c>
      <c r="AH531" t="s">
        <v>2599</v>
      </c>
      <c r="AI531" t="s">
        <v>945</v>
      </c>
      <c r="AJ531" t="s">
        <v>625</v>
      </c>
    </row>
    <row r="532" hidden="1" spans="1:36">
      <c r="A532">
        <v>127030</v>
      </c>
      <c r="B532" t="s">
        <v>2600</v>
      </c>
      <c r="C532">
        <v>301</v>
      </c>
      <c r="D532" t="s">
        <v>2601</v>
      </c>
      <c r="E532" t="s">
        <v>237</v>
      </c>
      <c r="F532" t="s">
        <v>98</v>
      </c>
      <c r="G532" t="s">
        <v>2595</v>
      </c>
      <c r="H532" t="s">
        <v>33</v>
      </c>
      <c r="I532" t="s">
        <v>255</v>
      </c>
      <c r="J532" t="s">
        <v>255</v>
      </c>
      <c r="K532" t="s">
        <v>255</v>
      </c>
      <c r="L532" t="s">
        <v>41</v>
      </c>
      <c r="M532" t="s">
        <v>41</v>
      </c>
      <c r="N532" t="s">
        <v>255</v>
      </c>
      <c r="O532" t="s">
        <v>41</v>
      </c>
      <c r="P532" t="s">
        <v>41</v>
      </c>
      <c r="Q532" s="2"/>
      <c r="R532" s="2"/>
      <c r="S532" t="s">
        <v>255</v>
      </c>
      <c r="T532" t="s">
        <v>41</v>
      </c>
      <c r="U532" t="s">
        <v>41</v>
      </c>
      <c r="V532" s="2"/>
      <c r="W532" s="2"/>
      <c r="X532" t="s">
        <v>2595</v>
      </c>
      <c r="Y532">
        <v>13.49</v>
      </c>
      <c r="Z532">
        <v>3443.439</v>
      </c>
      <c r="AA532" s="2"/>
      <c r="AB532" s="2"/>
      <c r="AC532" t="s">
        <v>2259</v>
      </c>
      <c r="AD532">
        <v>14.77</v>
      </c>
      <c r="AE532">
        <v>3472.93</v>
      </c>
      <c r="AF532" s="2">
        <f t="shared" si="45"/>
        <v>0.0948851000741289</v>
      </c>
      <c r="AG532" s="2">
        <f t="shared" si="46"/>
        <v>0.00856440320272843</v>
      </c>
      <c r="AH532" t="s">
        <v>2596</v>
      </c>
      <c r="AI532" t="s">
        <v>41</v>
      </c>
      <c r="AJ532" t="s">
        <v>41</v>
      </c>
    </row>
    <row r="533" spans="1:36">
      <c r="A533">
        <v>123105</v>
      </c>
      <c r="B533" t="s">
        <v>2602</v>
      </c>
      <c r="C533">
        <v>300229</v>
      </c>
      <c r="D533" t="s">
        <v>2603</v>
      </c>
      <c r="E533" t="s">
        <v>115</v>
      </c>
      <c r="F533" t="s">
        <v>41</v>
      </c>
      <c r="G533" t="s">
        <v>2604</v>
      </c>
      <c r="H533" t="s">
        <v>621</v>
      </c>
      <c r="I533" t="s">
        <v>255</v>
      </c>
      <c r="J533" t="s">
        <v>255</v>
      </c>
      <c r="K533" t="s">
        <v>2591</v>
      </c>
      <c r="L533">
        <v>11.37</v>
      </c>
      <c r="M533">
        <v>3025.981</v>
      </c>
      <c r="N533" t="s">
        <v>2605</v>
      </c>
      <c r="O533">
        <v>10.73</v>
      </c>
      <c r="P533">
        <v>3274.302</v>
      </c>
      <c r="Q533" s="1">
        <f>(O533-L533)/L533</f>
        <v>-0.0562884784520667</v>
      </c>
      <c r="R533" s="1">
        <f>(P533-M533)/M533</f>
        <v>0.0820629739578669</v>
      </c>
      <c r="S533" t="s">
        <v>2606</v>
      </c>
      <c r="T533">
        <v>8.9</v>
      </c>
      <c r="U533">
        <v>3624.238</v>
      </c>
      <c r="V533" s="1">
        <f>(T533-O533)/O533</f>
        <v>-0.170549860205033</v>
      </c>
      <c r="W533" s="1">
        <f>(U533-P533)/P533</f>
        <v>0.106873464940008</v>
      </c>
      <c r="X533" t="s">
        <v>2604</v>
      </c>
      <c r="Y533">
        <v>9.22</v>
      </c>
      <c r="Z533">
        <v>3404.663</v>
      </c>
      <c r="AA533" s="2">
        <f>(Y533-T533)/T533</f>
        <v>0.0359550561797753</v>
      </c>
      <c r="AB533" s="2">
        <f>(Z533-U533)/U533</f>
        <v>-0.0605851492092958</v>
      </c>
      <c r="AC533" t="s">
        <v>2607</v>
      </c>
      <c r="AD533">
        <v>8.19</v>
      </c>
      <c r="AE533">
        <v>3442.611</v>
      </c>
      <c r="AF533" s="2">
        <f t="shared" si="45"/>
        <v>-0.111713665943601</v>
      </c>
      <c r="AG533" s="2">
        <f t="shared" si="46"/>
        <v>0.0111458902099855</v>
      </c>
      <c r="AH533" t="s">
        <v>2608</v>
      </c>
      <c r="AI533" t="s">
        <v>757</v>
      </c>
      <c r="AJ533" t="s">
        <v>625</v>
      </c>
    </row>
    <row r="534" hidden="1" spans="1:36">
      <c r="A534">
        <v>127029</v>
      </c>
      <c r="B534" t="s">
        <v>2609</v>
      </c>
      <c r="C534">
        <v>928</v>
      </c>
      <c r="D534" t="s">
        <v>2610</v>
      </c>
      <c r="E534" t="s">
        <v>304</v>
      </c>
      <c r="F534" t="s">
        <v>41</v>
      </c>
      <c r="G534" t="s">
        <v>2604</v>
      </c>
      <c r="H534" t="s">
        <v>621</v>
      </c>
      <c r="I534" t="s">
        <v>255</v>
      </c>
      <c r="J534" t="s">
        <v>255</v>
      </c>
      <c r="K534" t="s">
        <v>255</v>
      </c>
      <c r="L534" t="s">
        <v>41</v>
      </c>
      <c r="M534" t="s">
        <v>41</v>
      </c>
      <c r="N534" t="s">
        <v>255</v>
      </c>
      <c r="O534" t="s">
        <v>41</v>
      </c>
      <c r="P534" t="s">
        <v>41</v>
      </c>
      <c r="Q534" s="2"/>
      <c r="R534" s="2"/>
      <c r="S534" t="s">
        <v>255</v>
      </c>
      <c r="T534" t="s">
        <v>41</v>
      </c>
      <c r="U534" t="s">
        <v>41</v>
      </c>
      <c r="V534" s="2"/>
      <c r="W534" s="2"/>
      <c r="X534" t="s">
        <v>2604</v>
      </c>
      <c r="Y534">
        <v>4.65</v>
      </c>
      <c r="Z534">
        <v>3404.663</v>
      </c>
      <c r="AA534" s="2"/>
      <c r="AB534" s="2"/>
      <c r="AC534" t="s">
        <v>2512</v>
      </c>
      <c r="AD534">
        <v>6.87</v>
      </c>
      <c r="AE534">
        <v>3474.166</v>
      </c>
      <c r="AF534" s="2">
        <f t="shared" si="45"/>
        <v>0.47741935483871</v>
      </c>
      <c r="AG534" s="2">
        <f t="shared" si="46"/>
        <v>0.0204140615385429</v>
      </c>
      <c r="AH534" t="s">
        <v>2608</v>
      </c>
      <c r="AI534" t="s">
        <v>989</v>
      </c>
      <c r="AJ534" t="s">
        <v>625</v>
      </c>
    </row>
    <row r="535" spans="1:36">
      <c r="A535">
        <v>123104</v>
      </c>
      <c r="B535" t="s">
        <v>2611</v>
      </c>
      <c r="C535">
        <v>300253</v>
      </c>
      <c r="D535" t="s">
        <v>2612</v>
      </c>
      <c r="E535" t="s">
        <v>2613</v>
      </c>
      <c r="F535" t="s">
        <v>397</v>
      </c>
      <c r="G535" t="s">
        <v>2614</v>
      </c>
      <c r="H535" t="s">
        <v>33</v>
      </c>
      <c r="I535" t="s">
        <v>255</v>
      </c>
      <c r="J535" t="s">
        <v>255</v>
      </c>
      <c r="K535" t="s">
        <v>2615</v>
      </c>
      <c r="L535">
        <v>21.01</v>
      </c>
      <c r="M535">
        <v>3090.569</v>
      </c>
      <c r="N535" t="s">
        <v>2616</v>
      </c>
      <c r="O535">
        <v>15.78</v>
      </c>
      <c r="P535">
        <v>3379.036</v>
      </c>
      <c r="Q535" s="1">
        <f>(O535-L535)/L535</f>
        <v>-0.248929081389814</v>
      </c>
      <c r="R535" s="1">
        <f>(P535-M535)/M535</f>
        <v>0.09333782872992</v>
      </c>
      <c r="S535" t="s">
        <v>2617</v>
      </c>
      <c r="T535">
        <v>16.11</v>
      </c>
      <c r="U535">
        <v>3496.333</v>
      </c>
      <c r="V535" s="1">
        <f>(T535-O535)/O535</f>
        <v>0.0209125475285171</v>
      </c>
      <c r="W535" s="1">
        <f>(U535-P535)/P535</f>
        <v>0.0347131548761244</v>
      </c>
      <c r="X535" t="s">
        <v>2614</v>
      </c>
      <c r="Y535">
        <v>16.04</v>
      </c>
      <c r="Z535">
        <v>3446.733</v>
      </c>
      <c r="AA535" s="2">
        <f>(Y535-T535)/T535</f>
        <v>-0.0043451272501552</v>
      </c>
      <c r="AB535" s="2">
        <f>(Z535-U535)/U535</f>
        <v>-0.0141862917519584</v>
      </c>
      <c r="AC535" t="s">
        <v>2618</v>
      </c>
      <c r="AD535">
        <v>16.32</v>
      </c>
      <c r="AE535">
        <v>3441.912</v>
      </c>
      <c r="AF535" s="2">
        <f t="shared" si="45"/>
        <v>0.0174563591022445</v>
      </c>
      <c r="AG535" s="2">
        <f t="shared" si="46"/>
        <v>-0.00139871582742277</v>
      </c>
      <c r="AH535" t="s">
        <v>2619</v>
      </c>
      <c r="AI535" t="s">
        <v>41</v>
      </c>
      <c r="AJ535" t="s">
        <v>41</v>
      </c>
    </row>
    <row r="536" spans="1:36">
      <c r="A536">
        <v>123103</v>
      </c>
      <c r="B536" t="s">
        <v>2620</v>
      </c>
      <c r="C536">
        <v>300767</v>
      </c>
      <c r="D536" t="s">
        <v>2621</v>
      </c>
      <c r="E536" t="s">
        <v>824</v>
      </c>
      <c r="F536" t="s">
        <v>41</v>
      </c>
      <c r="G536" t="s">
        <v>2569</v>
      </c>
      <c r="H536" t="s">
        <v>621</v>
      </c>
      <c r="I536" t="s">
        <v>255</v>
      </c>
      <c r="J536" t="s">
        <v>255</v>
      </c>
      <c r="K536" t="s">
        <v>2622</v>
      </c>
      <c r="L536">
        <v>57.23</v>
      </c>
      <c r="M536">
        <v>3404.802</v>
      </c>
      <c r="N536" t="s">
        <v>2623</v>
      </c>
      <c r="O536">
        <v>45.01</v>
      </c>
      <c r="P536">
        <v>3404.873</v>
      </c>
      <c r="Q536" s="1">
        <f>(O536-L536)/L536</f>
        <v>-0.213524375327625</v>
      </c>
      <c r="R536" s="1">
        <f>(P536-M536)/M536</f>
        <v>2.08529012846893e-5</v>
      </c>
      <c r="S536" t="s">
        <v>2552</v>
      </c>
      <c r="T536">
        <v>55.66</v>
      </c>
      <c r="U536">
        <v>3505.176</v>
      </c>
      <c r="V536" s="1">
        <f>(T536-O536)/O536</f>
        <v>0.23661408575872</v>
      </c>
      <c r="W536" s="1">
        <f>(U536-P536)/P536</f>
        <v>0.0294586611600491</v>
      </c>
      <c r="X536" t="s">
        <v>2569</v>
      </c>
      <c r="Y536">
        <v>45.86</v>
      </c>
      <c r="Z536">
        <v>3453.078</v>
      </c>
      <c r="AA536" s="2">
        <f>(Y536-T536)/T536</f>
        <v>-0.176068990298239</v>
      </c>
      <c r="AB536" s="2">
        <f>(Z536-U536)/U536</f>
        <v>-0.0148631623633164</v>
      </c>
      <c r="AC536" t="s">
        <v>2618</v>
      </c>
      <c r="AD536">
        <v>48.99</v>
      </c>
      <c r="AE536">
        <v>3441.912</v>
      </c>
      <c r="AF536" s="2">
        <f t="shared" si="45"/>
        <v>0.0682511993022242</v>
      </c>
      <c r="AG536" s="2">
        <f t="shared" si="46"/>
        <v>-0.00323363677275757</v>
      </c>
      <c r="AH536" t="s">
        <v>2624</v>
      </c>
      <c r="AI536" t="s">
        <v>1271</v>
      </c>
      <c r="AJ536" t="s">
        <v>625</v>
      </c>
    </row>
    <row r="537" spans="1:36">
      <c r="A537">
        <v>123102</v>
      </c>
      <c r="B537" t="s">
        <v>2625</v>
      </c>
      <c r="C537">
        <v>300490</v>
      </c>
      <c r="D537" t="s">
        <v>2626</v>
      </c>
      <c r="E537" t="s">
        <v>566</v>
      </c>
      <c r="F537" t="s">
        <v>41</v>
      </c>
      <c r="G537" t="s">
        <v>2569</v>
      </c>
      <c r="H537" t="s">
        <v>621</v>
      </c>
      <c r="I537" t="s">
        <v>255</v>
      </c>
      <c r="J537" t="s">
        <v>255</v>
      </c>
      <c r="K537" t="s">
        <v>2627</v>
      </c>
      <c r="L537">
        <v>8.53</v>
      </c>
      <c r="M537">
        <v>3332.881</v>
      </c>
      <c r="N537" t="s">
        <v>2628</v>
      </c>
      <c r="O537">
        <v>8.91</v>
      </c>
      <c r="P537">
        <v>3319.266</v>
      </c>
      <c r="Q537" s="1">
        <f>(O537-L537)/L537</f>
        <v>0.0445486518171162</v>
      </c>
      <c r="R537" s="1">
        <f>(P537-M537)/M537</f>
        <v>-0.00408505434187413</v>
      </c>
      <c r="S537" t="s">
        <v>2629</v>
      </c>
      <c r="T537">
        <v>13.02</v>
      </c>
      <c r="U537">
        <v>3251.119</v>
      </c>
      <c r="V537" s="1">
        <f>(T537-O537)/O537</f>
        <v>0.461279461279461</v>
      </c>
      <c r="W537" s="1">
        <f>(U537-P537)/P537</f>
        <v>-0.0205307438451754</v>
      </c>
      <c r="X537" t="s">
        <v>2569</v>
      </c>
      <c r="Y537">
        <v>10.48</v>
      </c>
      <c r="Z537">
        <v>3453.078</v>
      </c>
      <c r="AA537" s="2">
        <f>(Y537-T537)/T537</f>
        <v>-0.195084485407066</v>
      </c>
      <c r="AB537" s="2">
        <f>(Z537-U537)/U537</f>
        <v>0.0621198424296373</v>
      </c>
      <c r="AC537" t="s">
        <v>2557</v>
      </c>
      <c r="AD537">
        <v>9.7</v>
      </c>
      <c r="AE537">
        <v>3466.332</v>
      </c>
      <c r="AF537" s="2">
        <f t="shared" si="45"/>
        <v>-0.0744274809160306</v>
      </c>
      <c r="AG537" s="2">
        <f t="shared" si="46"/>
        <v>0.00383831468620167</v>
      </c>
      <c r="AH537" t="s">
        <v>2630</v>
      </c>
      <c r="AI537" t="s">
        <v>1979</v>
      </c>
      <c r="AJ537" t="s">
        <v>625</v>
      </c>
    </row>
    <row r="538" hidden="1" spans="1:36">
      <c r="A538">
        <v>113620</v>
      </c>
      <c r="B538" t="s">
        <v>2631</v>
      </c>
      <c r="C538">
        <v>603363</v>
      </c>
      <c r="D538" t="s">
        <v>2632</v>
      </c>
      <c r="E538" t="s">
        <v>55</v>
      </c>
      <c r="F538" t="s">
        <v>41</v>
      </c>
      <c r="G538" t="s">
        <v>2330</v>
      </c>
      <c r="H538" t="s">
        <v>621</v>
      </c>
      <c r="I538" t="s">
        <v>255</v>
      </c>
      <c r="J538" t="s">
        <v>255</v>
      </c>
      <c r="K538" t="s">
        <v>255</v>
      </c>
      <c r="L538" t="s">
        <v>41</v>
      </c>
      <c r="M538" t="s">
        <v>41</v>
      </c>
      <c r="N538" t="s">
        <v>255</v>
      </c>
      <c r="O538" t="s">
        <v>41</v>
      </c>
      <c r="P538" t="s">
        <v>41</v>
      </c>
      <c r="Q538" s="2"/>
      <c r="R538" s="2"/>
      <c r="S538" t="s">
        <v>255</v>
      </c>
      <c r="T538" t="s">
        <v>41</v>
      </c>
      <c r="U538" t="s">
        <v>41</v>
      </c>
      <c r="V538" s="2"/>
      <c r="W538" s="2"/>
      <c r="X538" t="s">
        <v>2330</v>
      </c>
      <c r="Y538">
        <v>12.93</v>
      </c>
      <c r="Z538">
        <v>3357.737</v>
      </c>
      <c r="AA538" s="2"/>
      <c r="AB538" s="2"/>
      <c r="AC538" t="s">
        <v>2633</v>
      </c>
      <c r="AD538">
        <v>13.97</v>
      </c>
      <c r="AE538">
        <v>3484.392</v>
      </c>
      <c r="AF538" s="2">
        <f t="shared" si="45"/>
        <v>0.0804331013147719</v>
      </c>
      <c r="AG538" s="2">
        <f t="shared" si="46"/>
        <v>0.0377203455779889</v>
      </c>
      <c r="AH538" t="s">
        <v>2634</v>
      </c>
      <c r="AI538" t="s">
        <v>1352</v>
      </c>
      <c r="AJ538" t="s">
        <v>625</v>
      </c>
    </row>
    <row r="539" spans="1:36">
      <c r="A539">
        <v>123101</v>
      </c>
      <c r="B539" t="s">
        <v>2635</v>
      </c>
      <c r="C539">
        <v>300607</v>
      </c>
      <c r="D539" t="s">
        <v>2636</v>
      </c>
      <c r="E539" t="s">
        <v>566</v>
      </c>
      <c r="F539" t="s">
        <v>41</v>
      </c>
      <c r="G539" t="s">
        <v>2330</v>
      </c>
      <c r="H539" t="s">
        <v>621</v>
      </c>
      <c r="I539" t="s">
        <v>255</v>
      </c>
      <c r="J539" t="s">
        <v>255</v>
      </c>
      <c r="K539" t="s">
        <v>2637</v>
      </c>
      <c r="L539">
        <v>27.77</v>
      </c>
      <c r="M539">
        <v>3358.465</v>
      </c>
      <c r="N539" t="s">
        <v>2638</v>
      </c>
      <c r="O539">
        <v>20.41</v>
      </c>
      <c r="P539">
        <v>3414.453</v>
      </c>
      <c r="Q539" s="1">
        <f>(O539-L539)/L539</f>
        <v>-0.265034209578682</v>
      </c>
      <c r="R539" s="1">
        <f>(P539-M539)/M539</f>
        <v>0.0166707111731103</v>
      </c>
      <c r="S539" t="s">
        <v>2581</v>
      </c>
      <c r="T539">
        <v>25.07</v>
      </c>
      <c r="U539">
        <v>3603.489</v>
      </c>
      <c r="V539" s="1">
        <f>(T539-O539)/O539</f>
        <v>0.228319451249388</v>
      </c>
      <c r="W539" s="1">
        <f>(U539-P539)/P539</f>
        <v>0.055363479889751</v>
      </c>
      <c r="X539" t="s">
        <v>2330</v>
      </c>
      <c r="Y539">
        <v>22.7</v>
      </c>
      <c r="Z539">
        <v>3357.737</v>
      </c>
      <c r="AA539" s="2">
        <f>(Y539-T539)/T539</f>
        <v>-0.0945353011567611</v>
      </c>
      <c r="AB539" s="2">
        <f>(Z539-U539)/U539</f>
        <v>-0.0681983488779902</v>
      </c>
      <c r="AC539" t="s">
        <v>2574</v>
      </c>
      <c r="AD539">
        <v>22.75</v>
      </c>
      <c r="AE539">
        <v>3435.296</v>
      </c>
      <c r="AF539" s="2">
        <f t="shared" si="45"/>
        <v>0.0022026431718062</v>
      </c>
      <c r="AG539" s="2">
        <f t="shared" si="46"/>
        <v>0.0230985928915814</v>
      </c>
      <c r="AH539" t="s">
        <v>2639</v>
      </c>
      <c r="AI539" t="s">
        <v>333</v>
      </c>
      <c r="AJ539" t="s">
        <v>625</v>
      </c>
    </row>
    <row r="540" hidden="1" spans="1:36">
      <c r="A540">
        <v>113045</v>
      </c>
      <c r="B540" t="s">
        <v>2640</v>
      </c>
      <c r="C540">
        <v>601231</v>
      </c>
      <c r="D540" t="s">
        <v>2641</v>
      </c>
      <c r="E540" t="s">
        <v>2642</v>
      </c>
      <c r="F540" t="s">
        <v>98</v>
      </c>
      <c r="G540" t="s">
        <v>2392</v>
      </c>
      <c r="H540" t="s">
        <v>33</v>
      </c>
      <c r="I540" t="s">
        <v>255</v>
      </c>
      <c r="J540" t="s">
        <v>255</v>
      </c>
      <c r="K540" t="s">
        <v>255</v>
      </c>
      <c r="L540" t="s">
        <v>41</v>
      </c>
      <c r="M540" t="s">
        <v>41</v>
      </c>
      <c r="N540" t="s">
        <v>255</v>
      </c>
      <c r="O540" t="s">
        <v>41</v>
      </c>
      <c r="P540" t="s">
        <v>41</v>
      </c>
      <c r="Q540" s="2"/>
      <c r="R540" s="2"/>
      <c r="S540" t="s">
        <v>255</v>
      </c>
      <c r="T540" t="s">
        <v>41</v>
      </c>
      <c r="U540" t="s">
        <v>41</v>
      </c>
      <c r="V540" s="2"/>
      <c r="W540" s="2"/>
      <c r="X540" t="s">
        <v>2392</v>
      </c>
      <c r="Y540">
        <v>17.53</v>
      </c>
      <c r="Z540">
        <v>3503.492</v>
      </c>
      <c r="AA540" s="2"/>
      <c r="AB540" s="2"/>
      <c r="AC540" t="s">
        <v>2633</v>
      </c>
      <c r="AD540">
        <v>18.24</v>
      </c>
      <c r="AE540">
        <v>3484.392</v>
      </c>
      <c r="AF540" s="2">
        <f t="shared" si="45"/>
        <v>0.0405019965772959</v>
      </c>
      <c r="AG540" s="2">
        <f t="shared" si="46"/>
        <v>-0.00545170361456523</v>
      </c>
      <c r="AH540" t="s">
        <v>2643</v>
      </c>
      <c r="AI540" t="s">
        <v>41</v>
      </c>
      <c r="AJ540" t="s">
        <v>41</v>
      </c>
    </row>
    <row r="541" hidden="1" spans="1:36">
      <c r="A541">
        <v>128144</v>
      </c>
      <c r="B541" t="s">
        <v>2644</v>
      </c>
      <c r="C541">
        <v>2734</v>
      </c>
      <c r="D541" t="s">
        <v>2645</v>
      </c>
      <c r="E541" t="s">
        <v>181</v>
      </c>
      <c r="F541" t="s">
        <v>397</v>
      </c>
      <c r="G541" t="s">
        <v>2646</v>
      </c>
      <c r="H541" t="s">
        <v>33</v>
      </c>
      <c r="I541" t="s">
        <v>255</v>
      </c>
      <c r="J541" t="s">
        <v>255</v>
      </c>
      <c r="K541" t="s">
        <v>255</v>
      </c>
      <c r="L541" t="s">
        <v>41</v>
      </c>
      <c r="M541" t="s">
        <v>41</v>
      </c>
      <c r="N541" t="s">
        <v>255</v>
      </c>
      <c r="O541" t="s">
        <v>41</v>
      </c>
      <c r="P541" t="s">
        <v>41</v>
      </c>
      <c r="Q541" s="2"/>
      <c r="R541" s="2"/>
      <c r="S541" t="s">
        <v>255</v>
      </c>
      <c r="T541" t="s">
        <v>41</v>
      </c>
      <c r="U541" t="s">
        <v>41</v>
      </c>
      <c r="V541" s="2"/>
      <c r="W541" s="2"/>
      <c r="X541" t="s">
        <v>2646</v>
      </c>
      <c r="Y541">
        <v>12.46</v>
      </c>
      <c r="Z541">
        <v>3551.4</v>
      </c>
      <c r="AA541" s="2"/>
      <c r="AB541" s="2"/>
      <c r="AC541" t="s">
        <v>2409</v>
      </c>
      <c r="AD541">
        <v>12.12</v>
      </c>
      <c r="AE541">
        <v>3367.061</v>
      </c>
      <c r="AF541" s="2">
        <f t="shared" si="45"/>
        <v>-0.027287319422151</v>
      </c>
      <c r="AG541" s="2">
        <f t="shared" si="46"/>
        <v>-0.0519060088978994</v>
      </c>
      <c r="AH541" t="s">
        <v>2647</v>
      </c>
      <c r="AI541" t="s">
        <v>32</v>
      </c>
      <c r="AJ541" t="s">
        <v>625</v>
      </c>
    </row>
    <row r="542" spans="1:36">
      <c r="A542">
        <v>118000</v>
      </c>
      <c r="B542" t="s">
        <v>2648</v>
      </c>
      <c r="C542">
        <v>688388</v>
      </c>
      <c r="D542" t="s">
        <v>2649</v>
      </c>
      <c r="E542" t="s">
        <v>2650</v>
      </c>
      <c r="F542" t="s">
        <v>31</v>
      </c>
      <c r="G542" t="s">
        <v>2472</v>
      </c>
      <c r="H542" t="s">
        <v>33</v>
      </c>
      <c r="I542" t="s">
        <v>255</v>
      </c>
      <c r="J542" t="s">
        <v>255</v>
      </c>
      <c r="K542" t="s">
        <v>2651</v>
      </c>
      <c r="L542">
        <v>32.7</v>
      </c>
      <c r="M542">
        <v>3217.535</v>
      </c>
      <c r="N542" t="s">
        <v>2652</v>
      </c>
      <c r="O542">
        <v>47.48</v>
      </c>
      <c r="P542">
        <v>3367.233</v>
      </c>
      <c r="Q542" s="1">
        <f>(O542-L542)/L542</f>
        <v>0.451987767584098</v>
      </c>
      <c r="R542" s="1">
        <f>(P542-M542)/M542</f>
        <v>0.0465256788193447</v>
      </c>
      <c r="S542" t="s">
        <v>2544</v>
      </c>
      <c r="T542">
        <v>60.72</v>
      </c>
      <c r="U542">
        <v>3583.092</v>
      </c>
      <c r="V542" s="1">
        <f>(T542-O542)/O542</f>
        <v>0.278854254422915</v>
      </c>
      <c r="W542" s="1">
        <f>(U542-P542)/P542</f>
        <v>0.0641057509236812</v>
      </c>
      <c r="X542" t="s">
        <v>2472</v>
      </c>
      <c r="Y542">
        <v>56.24</v>
      </c>
      <c r="Z542">
        <v>3636.357</v>
      </c>
      <c r="AA542" s="2">
        <f>(Y542-T542)/T542</f>
        <v>-0.0737812911725955</v>
      </c>
      <c r="AB542" s="2">
        <f>(Z542-U542)/U542</f>
        <v>0.0148656523471906</v>
      </c>
      <c r="AC542" t="s">
        <v>2653</v>
      </c>
      <c r="AD542">
        <v>49.15</v>
      </c>
      <c r="AE542">
        <v>3419.946</v>
      </c>
      <c r="AF542" s="2">
        <f t="shared" si="45"/>
        <v>-0.126066856330014</v>
      </c>
      <c r="AG542" s="2">
        <f t="shared" si="46"/>
        <v>-0.0595131336114689</v>
      </c>
      <c r="AH542" t="s">
        <v>2654</v>
      </c>
      <c r="AI542" t="s">
        <v>41</v>
      </c>
      <c r="AJ542" t="s">
        <v>41</v>
      </c>
    </row>
    <row r="543" spans="1:36">
      <c r="A543">
        <v>123100</v>
      </c>
      <c r="B543" t="s">
        <v>2655</v>
      </c>
      <c r="C543">
        <v>300543</v>
      </c>
      <c r="D543" t="s">
        <v>2656</v>
      </c>
      <c r="E543" t="s">
        <v>212</v>
      </c>
      <c r="F543" t="s">
        <v>41</v>
      </c>
      <c r="G543" t="s">
        <v>2581</v>
      </c>
      <c r="H543" t="s">
        <v>621</v>
      </c>
      <c r="I543" t="s">
        <v>255</v>
      </c>
      <c r="J543" t="s">
        <v>255</v>
      </c>
      <c r="K543" t="s">
        <v>2657</v>
      </c>
      <c r="L543">
        <v>11.5</v>
      </c>
      <c r="M543">
        <v>3325.11</v>
      </c>
      <c r="N543" t="s">
        <v>2658</v>
      </c>
      <c r="O543">
        <v>13.09</v>
      </c>
      <c r="P543">
        <v>3332.183</v>
      </c>
      <c r="Q543" s="1">
        <f>(O543-L543)/L543</f>
        <v>0.138260869565217</v>
      </c>
      <c r="R543" s="1">
        <f>(P543-M543)/M543</f>
        <v>0.00212714767331002</v>
      </c>
      <c r="S543" t="s">
        <v>2659</v>
      </c>
      <c r="T543">
        <v>11.64</v>
      </c>
      <c r="U543">
        <v>3410.177</v>
      </c>
      <c r="V543" s="1">
        <f>(T543-O543)/O543</f>
        <v>-0.110771581359817</v>
      </c>
      <c r="W543" s="1">
        <f>(U543-P543)/P543</f>
        <v>0.0234062775063675</v>
      </c>
      <c r="X543" t="s">
        <v>2581</v>
      </c>
      <c r="Y543">
        <v>9.61</v>
      </c>
      <c r="Z543">
        <v>3603.489</v>
      </c>
      <c r="AA543" s="2">
        <f>(Y543-T543)/T543</f>
        <v>-0.174398625429553</v>
      </c>
      <c r="AB543" s="2">
        <f>(Z543-U543)/U543</f>
        <v>0.0566867936766918</v>
      </c>
      <c r="AC543" t="s">
        <v>2614</v>
      </c>
      <c r="AD543">
        <v>10.56</v>
      </c>
      <c r="AE543">
        <v>3446.733</v>
      </c>
      <c r="AF543" s="2">
        <f t="shared" si="45"/>
        <v>0.0988553590010407</v>
      </c>
      <c r="AG543" s="2">
        <f t="shared" si="46"/>
        <v>-0.0435011734460685</v>
      </c>
      <c r="AH543" t="s">
        <v>2660</v>
      </c>
      <c r="AI543" t="s">
        <v>537</v>
      </c>
      <c r="AJ543" t="s">
        <v>625</v>
      </c>
    </row>
    <row r="544" spans="1:36">
      <c r="A544">
        <v>123099</v>
      </c>
      <c r="B544" t="s">
        <v>2661</v>
      </c>
      <c r="C544">
        <v>300630</v>
      </c>
      <c r="D544" t="s">
        <v>2662</v>
      </c>
      <c r="E544" t="s">
        <v>390</v>
      </c>
      <c r="F544" t="s">
        <v>41</v>
      </c>
      <c r="G544" t="s">
        <v>2581</v>
      </c>
      <c r="H544" t="s">
        <v>621</v>
      </c>
      <c r="I544" t="s">
        <v>255</v>
      </c>
      <c r="J544" t="s">
        <v>255</v>
      </c>
      <c r="K544" t="s">
        <v>2663</v>
      </c>
      <c r="L544">
        <v>43.04</v>
      </c>
      <c r="M544">
        <v>3234.823</v>
      </c>
      <c r="N544" t="s">
        <v>2664</v>
      </c>
      <c r="O544">
        <v>40.44</v>
      </c>
      <c r="P544">
        <v>3362.327</v>
      </c>
      <c r="Q544" s="1">
        <f>(O544-L544)/L544</f>
        <v>-0.0604089219330855</v>
      </c>
      <c r="R544" s="1">
        <f>(P544-M544)/M544</f>
        <v>0.0394160669687338</v>
      </c>
      <c r="S544" t="s">
        <v>2559</v>
      </c>
      <c r="T544">
        <v>40.39</v>
      </c>
      <c r="U544">
        <v>3565.905</v>
      </c>
      <c r="V544" s="1">
        <f>(T544-O544)/O544</f>
        <v>-0.00123639960435206</v>
      </c>
      <c r="W544" s="1">
        <f>(U544-P544)/P544</f>
        <v>0.0605467582421341</v>
      </c>
      <c r="X544" t="s">
        <v>2581</v>
      </c>
      <c r="Y544">
        <v>46.17</v>
      </c>
      <c r="Z544">
        <v>3603.489</v>
      </c>
      <c r="AA544" s="2">
        <f>(Y544-T544)/T544</f>
        <v>0.14310472889329</v>
      </c>
      <c r="AB544" s="2">
        <f>(Z544-U544)/U544</f>
        <v>0.0105398208869838</v>
      </c>
      <c r="AC544" t="s">
        <v>2665</v>
      </c>
      <c r="AD544">
        <v>46</v>
      </c>
      <c r="AE544">
        <v>3421.414</v>
      </c>
      <c r="AF544" s="2">
        <f t="shared" si="45"/>
        <v>-0.00368204461771717</v>
      </c>
      <c r="AG544" s="2">
        <f t="shared" si="46"/>
        <v>-0.0505274193982554</v>
      </c>
      <c r="AH544" t="s">
        <v>2660</v>
      </c>
      <c r="AI544" t="s">
        <v>2666</v>
      </c>
      <c r="AJ544" t="s">
        <v>621</v>
      </c>
    </row>
    <row r="545" spans="1:36">
      <c r="A545">
        <v>123098</v>
      </c>
      <c r="B545" t="s">
        <v>2667</v>
      </c>
      <c r="C545">
        <v>300723</v>
      </c>
      <c r="D545" t="s">
        <v>2668</v>
      </c>
      <c r="E545" t="s">
        <v>1298</v>
      </c>
      <c r="F545" t="s">
        <v>41</v>
      </c>
      <c r="G545" t="s">
        <v>2552</v>
      </c>
      <c r="H545" t="s">
        <v>621</v>
      </c>
      <c r="I545" t="s">
        <v>255</v>
      </c>
      <c r="J545" t="s">
        <v>255</v>
      </c>
      <c r="K545" t="s">
        <v>2669</v>
      </c>
      <c r="L545">
        <v>19</v>
      </c>
      <c r="M545">
        <v>3438.801</v>
      </c>
      <c r="N545" t="s">
        <v>2493</v>
      </c>
      <c r="O545">
        <v>14.58</v>
      </c>
      <c r="P545">
        <v>3269.238</v>
      </c>
      <c r="Q545" s="1">
        <f>(O545-L545)/L545</f>
        <v>-0.232631578947368</v>
      </c>
      <c r="R545" s="1">
        <f>(P545-M545)/M545</f>
        <v>-0.049308756162395</v>
      </c>
      <c r="S545" t="s">
        <v>2659</v>
      </c>
      <c r="T545">
        <v>15.34</v>
      </c>
      <c r="U545">
        <v>3410.177</v>
      </c>
      <c r="V545" s="1">
        <f>(T545-O545)/O545</f>
        <v>0.0521262002743484</v>
      </c>
      <c r="W545" s="1">
        <f>(U545-P545)/P545</f>
        <v>0.0431106575905457</v>
      </c>
      <c r="X545" t="s">
        <v>2552</v>
      </c>
      <c r="Y545">
        <v>15.4</v>
      </c>
      <c r="Z545">
        <v>3505.176</v>
      </c>
      <c r="AA545" s="2">
        <f>(Y545-T545)/T545</f>
        <v>0.00391134289439377</v>
      </c>
      <c r="AB545" s="2">
        <f>(Z545-U545)/U545</f>
        <v>0.0278574983058064</v>
      </c>
      <c r="AC545" t="s">
        <v>2472</v>
      </c>
      <c r="AD545">
        <v>17.26</v>
      </c>
      <c r="AE545">
        <v>3636.357</v>
      </c>
      <c r="AF545" s="2">
        <f t="shared" si="45"/>
        <v>0.120779220779221</v>
      </c>
      <c r="AG545" s="2">
        <f t="shared" si="46"/>
        <v>0.0374249395750741</v>
      </c>
      <c r="AH545" t="s">
        <v>2670</v>
      </c>
      <c r="AI545" t="s">
        <v>586</v>
      </c>
      <c r="AJ545" t="s">
        <v>625</v>
      </c>
    </row>
    <row r="546" spans="1:36">
      <c r="A546">
        <v>123097</v>
      </c>
      <c r="B546" t="s">
        <v>2671</v>
      </c>
      <c r="C546">
        <v>300611</v>
      </c>
      <c r="D546" t="s">
        <v>217</v>
      </c>
      <c r="E546" t="s">
        <v>218</v>
      </c>
      <c r="F546" t="s">
        <v>41</v>
      </c>
      <c r="G546" t="s">
        <v>2366</v>
      </c>
      <c r="H546" t="s">
        <v>621</v>
      </c>
      <c r="I546" t="s">
        <v>255</v>
      </c>
      <c r="J546" t="s">
        <v>255</v>
      </c>
      <c r="K546" t="s">
        <v>2615</v>
      </c>
      <c r="L546">
        <v>7.79</v>
      </c>
      <c r="M546">
        <v>3090.569</v>
      </c>
      <c r="N546" t="s">
        <v>2672</v>
      </c>
      <c r="O546">
        <v>12.17</v>
      </c>
      <c r="P546">
        <v>3328.103</v>
      </c>
      <c r="Q546" s="1">
        <f>(O546-L546)/L546</f>
        <v>0.562259306803594</v>
      </c>
      <c r="R546" s="1">
        <f>(P546-M546)/M546</f>
        <v>0.0768576919007471</v>
      </c>
      <c r="S546" t="s">
        <v>2402</v>
      </c>
      <c r="T546">
        <v>9.6</v>
      </c>
      <c r="U546">
        <v>3528.677</v>
      </c>
      <c r="V546" s="1">
        <f>(T546-O546)/O546</f>
        <v>-0.211175020542317</v>
      </c>
      <c r="W546" s="1">
        <f>(U546-P546)/P546</f>
        <v>0.060266764580303</v>
      </c>
      <c r="X546" t="s">
        <v>2366</v>
      </c>
      <c r="Y546">
        <v>8.44</v>
      </c>
      <c r="Z546">
        <v>3573.341</v>
      </c>
      <c r="AA546" s="2">
        <f>(Y546-T546)/T546</f>
        <v>-0.120833333333333</v>
      </c>
      <c r="AB546" s="2">
        <f>(Z546-U546)/U546</f>
        <v>0.0126574350670236</v>
      </c>
      <c r="AC546" t="s">
        <v>2352</v>
      </c>
      <c r="AD546">
        <v>8.84</v>
      </c>
      <c r="AE546">
        <v>3564.08</v>
      </c>
      <c r="AF546" s="2">
        <f t="shared" si="45"/>
        <v>0.04739336492891</v>
      </c>
      <c r="AG546" s="2">
        <f t="shared" si="46"/>
        <v>-0.00259169220066038</v>
      </c>
      <c r="AH546" t="s">
        <v>2673</v>
      </c>
      <c r="AI546" t="s">
        <v>1317</v>
      </c>
      <c r="AJ546" t="s">
        <v>625</v>
      </c>
    </row>
    <row r="547" hidden="1" spans="1:36">
      <c r="A547">
        <v>113621</v>
      </c>
      <c r="B547" t="s">
        <v>2674</v>
      </c>
      <c r="C547">
        <v>603650</v>
      </c>
      <c r="D547" t="s">
        <v>2675</v>
      </c>
      <c r="E547" t="s">
        <v>115</v>
      </c>
      <c r="F547" t="s">
        <v>41</v>
      </c>
      <c r="G547" t="s">
        <v>2163</v>
      </c>
      <c r="H547" t="s">
        <v>621</v>
      </c>
      <c r="I547" t="s">
        <v>255</v>
      </c>
      <c r="J547" t="s">
        <v>255</v>
      </c>
      <c r="K547" t="s">
        <v>255</v>
      </c>
      <c r="L547" t="s">
        <v>41</v>
      </c>
      <c r="M547" t="s">
        <v>41</v>
      </c>
      <c r="N547" t="s">
        <v>255</v>
      </c>
      <c r="O547" t="s">
        <v>41</v>
      </c>
      <c r="P547" t="s">
        <v>41</v>
      </c>
      <c r="Q547" s="2"/>
      <c r="R547" s="2"/>
      <c r="S547" t="s">
        <v>255</v>
      </c>
      <c r="T547" t="s">
        <v>41</v>
      </c>
      <c r="U547" t="s">
        <v>41</v>
      </c>
      <c r="V547" s="2"/>
      <c r="W547" s="2"/>
      <c r="X547" t="s">
        <v>2163</v>
      </c>
      <c r="Y547">
        <v>31.41</v>
      </c>
      <c r="Z547">
        <v>3569.429</v>
      </c>
      <c r="AA547" s="2"/>
      <c r="AB547" s="2"/>
      <c r="AC547" t="s">
        <v>2676</v>
      </c>
      <c r="AD547">
        <v>35.54</v>
      </c>
      <c r="AE547">
        <v>3642.445</v>
      </c>
      <c r="AF547" s="2">
        <f t="shared" si="45"/>
        <v>0.131486787647246</v>
      </c>
      <c r="AG547" s="2">
        <f t="shared" si="46"/>
        <v>0.020455932867694</v>
      </c>
      <c r="AH547" t="s">
        <v>2673</v>
      </c>
      <c r="AI547" t="s">
        <v>808</v>
      </c>
      <c r="AJ547" t="s">
        <v>625</v>
      </c>
    </row>
    <row r="548" spans="1:36">
      <c r="A548">
        <v>123096</v>
      </c>
      <c r="B548" t="s">
        <v>2677</v>
      </c>
      <c r="C548">
        <v>300078</v>
      </c>
      <c r="D548" t="s">
        <v>2678</v>
      </c>
      <c r="E548" t="s">
        <v>653</v>
      </c>
      <c r="F548" t="s">
        <v>41</v>
      </c>
      <c r="G548" t="s">
        <v>2163</v>
      </c>
      <c r="H548" t="s">
        <v>621</v>
      </c>
      <c r="I548" t="s">
        <v>255</v>
      </c>
      <c r="J548" t="s">
        <v>255</v>
      </c>
      <c r="K548" t="s">
        <v>2615</v>
      </c>
      <c r="L548">
        <v>13.27</v>
      </c>
      <c r="M548">
        <v>3090.569</v>
      </c>
      <c r="N548" t="s">
        <v>2162</v>
      </c>
      <c r="O548">
        <v>11.79</v>
      </c>
      <c r="P548">
        <v>3312.501</v>
      </c>
      <c r="Q548" s="1">
        <f>(O548-L548)/L548</f>
        <v>-0.111529766390354</v>
      </c>
      <c r="R548" s="1">
        <f>(P548-M548)/M548</f>
        <v>0.0718094305611686</v>
      </c>
      <c r="S548" t="s">
        <v>2679</v>
      </c>
      <c r="T548">
        <v>9.13</v>
      </c>
      <c r="U548">
        <v>3366.983</v>
      </c>
      <c r="V548" s="1">
        <f>(T548-O548)/O548</f>
        <v>-0.225614927905004</v>
      </c>
      <c r="W548" s="1">
        <f>(U548-P548)/P548</f>
        <v>0.0164473912611649</v>
      </c>
      <c r="X548" t="s">
        <v>2163</v>
      </c>
      <c r="Y548">
        <v>7.44</v>
      </c>
      <c r="Z548">
        <v>3569.429</v>
      </c>
      <c r="AA548" s="2">
        <f>(Y548-T548)/T548</f>
        <v>-0.185104052573932</v>
      </c>
      <c r="AB548" s="2">
        <f>(Z548-U548)/U548</f>
        <v>0.0601268257071687</v>
      </c>
      <c r="AC548" t="s">
        <v>2646</v>
      </c>
      <c r="AD548">
        <v>7.74</v>
      </c>
      <c r="AE548">
        <v>3551.4</v>
      </c>
      <c r="AF548" s="2">
        <f t="shared" si="45"/>
        <v>0.0403225806451613</v>
      </c>
      <c r="AG548" s="2">
        <f t="shared" si="46"/>
        <v>-0.00505094792472409</v>
      </c>
      <c r="AH548" t="s">
        <v>2673</v>
      </c>
      <c r="AI548" t="s">
        <v>620</v>
      </c>
      <c r="AJ548" t="s">
        <v>625</v>
      </c>
    </row>
    <row r="549" hidden="1" spans="1:36">
      <c r="A549">
        <v>113042</v>
      </c>
      <c r="B549" t="s">
        <v>2680</v>
      </c>
      <c r="C549">
        <v>601229</v>
      </c>
      <c r="D549" t="s">
        <v>2681</v>
      </c>
      <c r="E549" t="s">
        <v>2447</v>
      </c>
      <c r="F549" t="s">
        <v>444</v>
      </c>
      <c r="G549" t="s">
        <v>2606</v>
      </c>
      <c r="H549" t="s">
        <v>33</v>
      </c>
      <c r="I549" t="s">
        <v>255</v>
      </c>
      <c r="J549" t="s">
        <v>255</v>
      </c>
      <c r="K549" t="s">
        <v>255</v>
      </c>
      <c r="L549" t="s">
        <v>41</v>
      </c>
      <c r="M549" t="s">
        <v>41</v>
      </c>
      <c r="N549" t="s">
        <v>255</v>
      </c>
      <c r="O549" t="s">
        <v>41</v>
      </c>
      <c r="P549" t="s">
        <v>41</v>
      </c>
      <c r="Q549" s="2"/>
      <c r="R549" s="2"/>
      <c r="S549" t="s">
        <v>255</v>
      </c>
      <c r="T549" t="s">
        <v>41</v>
      </c>
      <c r="U549" t="s">
        <v>41</v>
      </c>
      <c r="V549" s="2"/>
      <c r="W549" s="2"/>
      <c r="X549" t="s">
        <v>2606</v>
      </c>
      <c r="Y549">
        <v>5.58</v>
      </c>
      <c r="Z549">
        <v>3624.238</v>
      </c>
      <c r="AA549" s="2"/>
      <c r="AB549" s="2"/>
      <c r="AC549" t="s">
        <v>2682</v>
      </c>
      <c r="AD549">
        <v>6.05</v>
      </c>
      <c r="AE549">
        <v>3655.088</v>
      </c>
      <c r="AF549" s="2">
        <f t="shared" si="45"/>
        <v>0.0842293906810035</v>
      </c>
      <c r="AG549" s="2">
        <f t="shared" si="46"/>
        <v>0.00851213413688626</v>
      </c>
      <c r="AH549" t="s">
        <v>2683</v>
      </c>
      <c r="AI549" t="s">
        <v>41</v>
      </c>
      <c r="AJ549" t="s">
        <v>41</v>
      </c>
    </row>
    <row r="550" spans="1:36">
      <c r="A550">
        <v>123095</v>
      </c>
      <c r="B550" t="s">
        <v>2684</v>
      </c>
      <c r="C550">
        <v>300118</v>
      </c>
      <c r="D550" t="s">
        <v>2685</v>
      </c>
      <c r="E550" t="s">
        <v>2686</v>
      </c>
      <c r="F550" t="s">
        <v>41</v>
      </c>
      <c r="G550" t="s">
        <v>2687</v>
      </c>
      <c r="H550" t="s">
        <v>33</v>
      </c>
      <c r="I550" t="s">
        <v>255</v>
      </c>
      <c r="J550" t="s">
        <v>255</v>
      </c>
      <c r="K550" t="s">
        <v>2688</v>
      </c>
      <c r="L550">
        <v>18.08</v>
      </c>
      <c r="M550">
        <v>3310.007</v>
      </c>
      <c r="N550" t="s">
        <v>2493</v>
      </c>
      <c r="O550">
        <v>17.07</v>
      </c>
      <c r="P550">
        <v>3269.238</v>
      </c>
      <c r="Q550" s="1">
        <f>(O550-L550)/L550</f>
        <v>-0.055862831858407</v>
      </c>
      <c r="R550" s="1">
        <f>(P550-M550)/M550</f>
        <v>-0.0123168923811944</v>
      </c>
      <c r="S550" t="s">
        <v>2465</v>
      </c>
      <c r="T550">
        <v>27.67</v>
      </c>
      <c r="U550">
        <v>3382.32</v>
      </c>
      <c r="V550" s="1">
        <f>(T550-O550)/O550</f>
        <v>0.620972466315173</v>
      </c>
      <c r="W550" s="1">
        <f>(U550-P550)/P550</f>
        <v>0.0345897117309906</v>
      </c>
      <c r="X550" t="s">
        <v>2687</v>
      </c>
      <c r="Y550">
        <v>26.4</v>
      </c>
      <c r="Z550">
        <v>3606.75</v>
      </c>
      <c r="AA550" s="2">
        <f>(Y550-T550)/T550</f>
        <v>-0.0458980845681244</v>
      </c>
      <c r="AB550" s="2">
        <f>(Z550-U550)/U550</f>
        <v>0.0663538636202369</v>
      </c>
      <c r="AC550" t="s">
        <v>2686</v>
      </c>
      <c r="AD550" t="s">
        <v>41</v>
      </c>
      <c r="AE550" t="s">
        <v>41</v>
      </c>
      <c r="AF550" s="2"/>
      <c r="AG550" s="2"/>
      <c r="AH550" t="s">
        <v>2689</v>
      </c>
      <c r="AI550" t="s">
        <v>41</v>
      </c>
      <c r="AJ550" t="s">
        <v>41</v>
      </c>
    </row>
    <row r="551" hidden="1" spans="1:36">
      <c r="A551">
        <v>113619</v>
      </c>
      <c r="B551" t="s">
        <v>2690</v>
      </c>
      <c r="C551">
        <v>603920</v>
      </c>
      <c r="D551" t="s">
        <v>2691</v>
      </c>
      <c r="E551" t="s">
        <v>55</v>
      </c>
      <c r="F551" t="s">
        <v>41</v>
      </c>
      <c r="G551" t="s">
        <v>2544</v>
      </c>
      <c r="H551" t="s">
        <v>621</v>
      </c>
      <c r="I551" t="s">
        <v>255</v>
      </c>
      <c r="J551" t="s">
        <v>255</v>
      </c>
      <c r="K551" t="s">
        <v>255</v>
      </c>
      <c r="L551" t="s">
        <v>41</v>
      </c>
      <c r="M551" t="s">
        <v>41</v>
      </c>
      <c r="N551" t="s">
        <v>255</v>
      </c>
      <c r="O551" t="s">
        <v>41</v>
      </c>
      <c r="P551" t="s">
        <v>41</v>
      </c>
      <c r="Q551" s="2"/>
      <c r="R551" s="2"/>
      <c r="S551" t="s">
        <v>255</v>
      </c>
      <c r="T551" t="s">
        <v>41</v>
      </c>
      <c r="U551" t="s">
        <v>41</v>
      </c>
      <c r="V551" s="2"/>
      <c r="W551" s="2"/>
      <c r="X551" t="s">
        <v>2544</v>
      </c>
      <c r="Y551">
        <v>15.66</v>
      </c>
      <c r="Z551">
        <v>3583.092</v>
      </c>
      <c r="AA551" s="2"/>
      <c r="AB551" s="2"/>
      <c r="AC551" t="s">
        <v>2383</v>
      </c>
      <c r="AD551">
        <v>13.24</v>
      </c>
      <c r="AE551">
        <v>3696.168</v>
      </c>
      <c r="AF551" s="2">
        <f t="shared" si="45"/>
        <v>-0.154533844189017</v>
      </c>
      <c r="AG551" s="2">
        <f t="shared" si="46"/>
        <v>0.0315582184325717</v>
      </c>
      <c r="AH551" t="s">
        <v>2692</v>
      </c>
      <c r="AI551" t="s">
        <v>642</v>
      </c>
      <c r="AJ551" t="s">
        <v>625</v>
      </c>
    </row>
    <row r="552" spans="1:36">
      <c r="A552">
        <v>123094</v>
      </c>
      <c r="B552" t="s">
        <v>2693</v>
      </c>
      <c r="C552">
        <v>300568</v>
      </c>
      <c r="D552" t="s">
        <v>2694</v>
      </c>
      <c r="E552" t="s">
        <v>55</v>
      </c>
      <c r="F552" t="s">
        <v>41</v>
      </c>
      <c r="G552" t="s">
        <v>2544</v>
      </c>
      <c r="H552" t="s">
        <v>621</v>
      </c>
      <c r="I552" t="s">
        <v>255</v>
      </c>
      <c r="J552" t="s">
        <v>255</v>
      </c>
      <c r="K552" t="s">
        <v>2492</v>
      </c>
      <c r="L552">
        <v>7.04</v>
      </c>
      <c r="M552">
        <v>3205.227</v>
      </c>
      <c r="N552" t="s">
        <v>2493</v>
      </c>
      <c r="O552">
        <v>10.56</v>
      </c>
      <c r="P552">
        <v>3269.238</v>
      </c>
      <c r="Q552" s="1">
        <f>(O552-L552)/L552</f>
        <v>0.5</v>
      </c>
      <c r="R552" s="1">
        <f>(P552-M552)/M552</f>
        <v>0.0199708164195547</v>
      </c>
      <c r="S552" t="s">
        <v>2623</v>
      </c>
      <c r="T552">
        <v>12.99</v>
      </c>
      <c r="U552">
        <v>3404.873</v>
      </c>
      <c r="V552" s="1">
        <f>(T552-O552)/O552</f>
        <v>0.230113636363636</v>
      </c>
      <c r="W552" s="1">
        <f>(U552-P552)/P552</f>
        <v>0.0414882611789048</v>
      </c>
      <c r="X552" t="s">
        <v>2544</v>
      </c>
      <c r="Y552">
        <v>12.32</v>
      </c>
      <c r="Z552">
        <v>3583.092</v>
      </c>
      <c r="AA552" s="2">
        <f>(Y552-T552)/T552</f>
        <v>-0.0515781370284834</v>
      </c>
      <c r="AB552" s="2">
        <f>(Z552-U552)/U552</f>
        <v>0.0523423340606243</v>
      </c>
      <c r="AC552" t="s">
        <v>2618</v>
      </c>
      <c r="AD552">
        <v>10.98</v>
      </c>
      <c r="AE552">
        <v>3441.912</v>
      </c>
      <c r="AF552" s="2">
        <f t="shared" si="45"/>
        <v>-0.108766233766234</v>
      </c>
      <c r="AG552" s="2">
        <f t="shared" si="46"/>
        <v>-0.0394017234276988</v>
      </c>
      <c r="AH552" t="s">
        <v>2695</v>
      </c>
      <c r="AI552" t="s">
        <v>2334</v>
      </c>
      <c r="AJ552" t="s">
        <v>625</v>
      </c>
    </row>
    <row r="553" spans="1:36">
      <c r="A553">
        <v>123093</v>
      </c>
      <c r="B553" t="s">
        <v>2696</v>
      </c>
      <c r="C553">
        <v>300651</v>
      </c>
      <c r="D553" t="s">
        <v>2697</v>
      </c>
      <c r="E553" t="s">
        <v>776</v>
      </c>
      <c r="F553" t="s">
        <v>41</v>
      </c>
      <c r="G553" t="s">
        <v>2698</v>
      </c>
      <c r="H553" t="s">
        <v>621</v>
      </c>
      <c r="I553" t="s">
        <v>255</v>
      </c>
      <c r="J553" t="s">
        <v>255</v>
      </c>
      <c r="K553" t="s">
        <v>2699</v>
      </c>
      <c r="L553">
        <v>37.58</v>
      </c>
      <c r="M553">
        <v>3320.895</v>
      </c>
      <c r="N553" t="s">
        <v>2700</v>
      </c>
      <c r="O553">
        <v>42.73</v>
      </c>
      <c r="P553">
        <v>3338.679</v>
      </c>
      <c r="Q553" s="1">
        <f>(O553-L553)/L553</f>
        <v>0.137040979244279</v>
      </c>
      <c r="R553" s="1">
        <f>(P553-M553)/M553</f>
        <v>0.00535518286486026</v>
      </c>
      <c r="S553" t="s">
        <v>2439</v>
      </c>
      <c r="T553">
        <v>41.4</v>
      </c>
      <c r="U553">
        <v>3397.285</v>
      </c>
      <c r="V553" s="1">
        <f>(T553-O553)/O553</f>
        <v>-0.0311256728293938</v>
      </c>
      <c r="W553" s="1">
        <f>(U553-P553)/P553</f>
        <v>0.0175536492127574</v>
      </c>
      <c r="X553" t="s">
        <v>2698</v>
      </c>
      <c r="Y553">
        <v>56.17</v>
      </c>
      <c r="Z553">
        <v>3566.381</v>
      </c>
      <c r="AA553" s="2">
        <f>(Y553-T553)/T553</f>
        <v>0.356763285024155</v>
      </c>
      <c r="AB553" s="2">
        <f>(Z553-U553)/U553</f>
        <v>0.0497738635410335</v>
      </c>
      <c r="AC553" t="s">
        <v>2701</v>
      </c>
      <c r="AD553">
        <v>43.44</v>
      </c>
      <c r="AE553">
        <v>3675.357</v>
      </c>
      <c r="AF553" s="2">
        <f t="shared" si="45"/>
        <v>-0.226633434217554</v>
      </c>
      <c r="AG553" s="2">
        <f t="shared" si="46"/>
        <v>0.0305564660646185</v>
      </c>
      <c r="AH553" t="s">
        <v>2695</v>
      </c>
      <c r="AI553" t="s">
        <v>486</v>
      </c>
      <c r="AJ553" t="s">
        <v>625</v>
      </c>
    </row>
    <row r="554" hidden="1" spans="1:36">
      <c r="A554">
        <v>113618</v>
      </c>
      <c r="B554" t="s">
        <v>2702</v>
      </c>
      <c r="C554">
        <v>603538</v>
      </c>
      <c r="D554" t="s">
        <v>2703</v>
      </c>
      <c r="E554" t="s">
        <v>483</v>
      </c>
      <c r="F554" t="s">
        <v>56</v>
      </c>
      <c r="G554" t="s">
        <v>2559</v>
      </c>
      <c r="H554" t="s">
        <v>33</v>
      </c>
      <c r="I554" t="s">
        <v>255</v>
      </c>
      <c r="J554" t="s">
        <v>255</v>
      </c>
      <c r="K554" t="s">
        <v>255</v>
      </c>
      <c r="L554" t="s">
        <v>41</v>
      </c>
      <c r="M554" t="s">
        <v>41</v>
      </c>
      <c r="N554" t="s">
        <v>255</v>
      </c>
      <c r="O554" t="s">
        <v>41</v>
      </c>
      <c r="P554" t="s">
        <v>41</v>
      </c>
      <c r="Q554" s="2"/>
      <c r="R554" s="2"/>
      <c r="S554" t="s">
        <v>255</v>
      </c>
      <c r="T554" t="s">
        <v>41</v>
      </c>
      <c r="U554" t="s">
        <v>41</v>
      </c>
      <c r="V554" s="2"/>
      <c r="W554" s="2"/>
      <c r="X554" t="s">
        <v>2559</v>
      </c>
      <c r="Y554">
        <v>24.82</v>
      </c>
      <c r="Z554">
        <v>3565.905</v>
      </c>
      <c r="AA554" s="2"/>
      <c r="AB554" s="2"/>
      <c r="AC554" t="s">
        <v>2568</v>
      </c>
      <c r="AD554">
        <v>22.19</v>
      </c>
      <c r="AE554">
        <v>3501.859</v>
      </c>
      <c r="AF554" s="2">
        <f t="shared" si="45"/>
        <v>-0.105962933118453</v>
      </c>
      <c r="AG554" s="2">
        <f t="shared" si="46"/>
        <v>-0.0179606579535911</v>
      </c>
      <c r="AH554" t="s">
        <v>2704</v>
      </c>
      <c r="AI554" t="s">
        <v>41</v>
      </c>
      <c r="AJ554" t="s">
        <v>41</v>
      </c>
    </row>
    <row r="555" hidden="1" spans="1:36">
      <c r="A555">
        <v>128143</v>
      </c>
      <c r="B555" t="s">
        <v>2705</v>
      </c>
      <c r="C555">
        <v>2931</v>
      </c>
      <c r="D555" t="s">
        <v>2706</v>
      </c>
      <c r="E555" t="s">
        <v>2707</v>
      </c>
      <c r="F555" t="s">
        <v>41</v>
      </c>
      <c r="G555" t="s">
        <v>2708</v>
      </c>
      <c r="H555" t="s">
        <v>621</v>
      </c>
      <c r="I555" t="s">
        <v>255</v>
      </c>
      <c r="J555" t="s">
        <v>255</v>
      </c>
      <c r="K555" t="s">
        <v>255</v>
      </c>
      <c r="L555" t="s">
        <v>41</v>
      </c>
      <c r="M555" t="s">
        <v>41</v>
      </c>
      <c r="N555" t="s">
        <v>255</v>
      </c>
      <c r="O555" t="s">
        <v>41</v>
      </c>
      <c r="P555" t="s">
        <v>41</v>
      </c>
      <c r="Q555" s="2"/>
      <c r="R555" s="2"/>
      <c r="S555" t="s">
        <v>255</v>
      </c>
      <c r="T555" t="s">
        <v>41</v>
      </c>
      <c r="U555" t="s">
        <v>41</v>
      </c>
      <c r="V555" s="2"/>
      <c r="W555" s="2"/>
      <c r="X555" t="s">
        <v>2708</v>
      </c>
      <c r="Y555">
        <v>10.46</v>
      </c>
      <c r="Z555">
        <v>3570.108</v>
      </c>
      <c r="AA555" s="2"/>
      <c r="AB555" s="2"/>
      <c r="AC555" t="s">
        <v>2466</v>
      </c>
      <c r="AD555">
        <v>10.25</v>
      </c>
      <c r="AE555">
        <v>3483.069</v>
      </c>
      <c r="AF555" s="2">
        <f t="shared" si="45"/>
        <v>-0.0200764818355641</v>
      </c>
      <c r="AG555" s="2">
        <f t="shared" si="46"/>
        <v>-0.0243799347246639</v>
      </c>
      <c r="AH555" t="s">
        <v>2709</v>
      </c>
      <c r="AI555" t="s">
        <v>2710</v>
      </c>
      <c r="AJ555" t="s">
        <v>625</v>
      </c>
    </row>
    <row r="556" hidden="1" spans="1:36">
      <c r="A556">
        <v>127028</v>
      </c>
      <c r="B556" t="s">
        <v>2711</v>
      </c>
      <c r="C556">
        <v>411</v>
      </c>
      <c r="D556" t="s">
        <v>2712</v>
      </c>
      <c r="E556" t="s">
        <v>1114</v>
      </c>
      <c r="F556" t="s">
        <v>98</v>
      </c>
      <c r="G556" t="s">
        <v>2402</v>
      </c>
      <c r="H556" t="s">
        <v>33</v>
      </c>
      <c r="I556" t="s">
        <v>255</v>
      </c>
      <c r="J556" t="s">
        <v>255</v>
      </c>
      <c r="K556" t="s">
        <v>255</v>
      </c>
      <c r="L556" t="s">
        <v>41</v>
      </c>
      <c r="M556" t="s">
        <v>41</v>
      </c>
      <c r="N556" t="s">
        <v>255</v>
      </c>
      <c r="O556" t="s">
        <v>41</v>
      </c>
      <c r="P556" t="s">
        <v>41</v>
      </c>
      <c r="Q556" s="2"/>
      <c r="R556" s="2"/>
      <c r="S556" t="s">
        <v>255</v>
      </c>
      <c r="T556" t="s">
        <v>41</v>
      </c>
      <c r="U556" t="s">
        <v>41</v>
      </c>
      <c r="V556" s="2"/>
      <c r="W556" s="2"/>
      <c r="X556" t="s">
        <v>2402</v>
      </c>
      <c r="Y556">
        <v>13.73</v>
      </c>
      <c r="Z556">
        <v>3528.677</v>
      </c>
      <c r="AA556" s="2"/>
      <c r="AB556" s="2"/>
      <c r="AC556" t="s">
        <v>2330</v>
      </c>
      <c r="AD556">
        <v>9.64</v>
      </c>
      <c r="AE556">
        <v>3357.737</v>
      </c>
      <c r="AF556" s="2">
        <f t="shared" si="45"/>
        <v>-0.297887836853605</v>
      </c>
      <c r="AG556" s="2">
        <f t="shared" si="46"/>
        <v>-0.0484430850429212</v>
      </c>
      <c r="AH556" t="s">
        <v>2713</v>
      </c>
      <c r="AI556" t="s">
        <v>41</v>
      </c>
      <c r="AJ556" t="s">
        <v>41</v>
      </c>
    </row>
    <row r="557" hidden="1" spans="1:36">
      <c r="A557">
        <v>113616</v>
      </c>
      <c r="B557" t="s">
        <v>2714</v>
      </c>
      <c r="C557">
        <v>603501</v>
      </c>
      <c r="D557" t="s">
        <v>2715</v>
      </c>
      <c r="E557" t="s">
        <v>2716</v>
      </c>
      <c r="F557" t="s">
        <v>98</v>
      </c>
      <c r="G557" t="s">
        <v>2439</v>
      </c>
      <c r="H557" t="s">
        <v>33</v>
      </c>
      <c r="I557" t="s">
        <v>255</v>
      </c>
      <c r="J557" t="s">
        <v>255</v>
      </c>
      <c r="K557" t="s">
        <v>255</v>
      </c>
      <c r="L557" t="s">
        <v>41</v>
      </c>
      <c r="M557" t="s">
        <v>41</v>
      </c>
      <c r="N557" t="s">
        <v>255</v>
      </c>
      <c r="O557" t="s">
        <v>41</v>
      </c>
      <c r="P557" t="s">
        <v>41</v>
      </c>
      <c r="Q557" s="2"/>
      <c r="R557" s="2"/>
      <c r="S557" t="s">
        <v>255</v>
      </c>
      <c r="T557" t="s">
        <v>41</v>
      </c>
      <c r="U557" t="s">
        <v>41</v>
      </c>
      <c r="V557" s="2"/>
      <c r="W557" s="2"/>
      <c r="X557" t="s">
        <v>2439</v>
      </c>
      <c r="Y557">
        <v>164.19</v>
      </c>
      <c r="Z557">
        <v>3397.285</v>
      </c>
      <c r="AA557" s="2"/>
      <c r="AB557" s="2"/>
      <c r="AC557" t="s">
        <v>2687</v>
      </c>
      <c r="AD557">
        <v>237.23</v>
      </c>
      <c r="AE557">
        <v>3606.75</v>
      </c>
      <c r="AF557" s="2">
        <f t="shared" si="45"/>
        <v>0.444850478104635</v>
      </c>
      <c r="AG557" s="2">
        <f t="shared" si="46"/>
        <v>0.0616565875397561</v>
      </c>
      <c r="AH557" t="s">
        <v>2717</v>
      </c>
      <c r="AI557" t="s">
        <v>41</v>
      </c>
      <c r="AJ557" t="s">
        <v>41</v>
      </c>
    </row>
    <row r="558" spans="1:36">
      <c r="A558">
        <v>123092</v>
      </c>
      <c r="B558" t="s">
        <v>2718</v>
      </c>
      <c r="C558">
        <v>300332</v>
      </c>
      <c r="D558" t="s">
        <v>2719</v>
      </c>
      <c r="E558" t="s">
        <v>2720</v>
      </c>
      <c r="F558" t="s">
        <v>31</v>
      </c>
      <c r="G558" t="s">
        <v>2721</v>
      </c>
      <c r="H558" t="s">
        <v>33</v>
      </c>
      <c r="I558" t="s">
        <v>255</v>
      </c>
      <c r="J558" t="s">
        <v>255</v>
      </c>
      <c r="K558" t="s">
        <v>2722</v>
      </c>
      <c r="L558">
        <v>4.16</v>
      </c>
      <c r="M558">
        <v>2961.516</v>
      </c>
      <c r="N558" t="s">
        <v>2672</v>
      </c>
      <c r="O558">
        <v>6.4</v>
      </c>
      <c r="P558">
        <v>3328.103</v>
      </c>
      <c r="Q558" s="1">
        <f>(O558-L558)/L558</f>
        <v>0.538461538461539</v>
      </c>
      <c r="R558" s="1">
        <f>(P558-M558)/M558</f>
        <v>0.123783562202602</v>
      </c>
      <c r="S558" t="s">
        <v>2723</v>
      </c>
      <c r="T558">
        <v>4.92</v>
      </c>
      <c r="U558">
        <v>3373.276</v>
      </c>
      <c r="V558" s="1">
        <f>(T558-O558)/O558</f>
        <v>-0.23125</v>
      </c>
      <c r="W558" s="1">
        <f>(U558-P558)/P558</f>
        <v>0.0135731977045181</v>
      </c>
      <c r="X558" t="s">
        <v>2721</v>
      </c>
      <c r="Y558">
        <v>4.51</v>
      </c>
      <c r="Z558">
        <v>3363.113</v>
      </c>
      <c r="AA558" s="2">
        <f>(Y558-T558)/T558</f>
        <v>-0.0833333333333334</v>
      </c>
      <c r="AB558" s="2">
        <f>(Z558-U558)/U558</f>
        <v>-0.00301279824123493</v>
      </c>
      <c r="AC558" t="s">
        <v>2724</v>
      </c>
      <c r="AD558">
        <v>4.8</v>
      </c>
      <c r="AE558">
        <v>3566.378</v>
      </c>
      <c r="AF558" s="2">
        <f t="shared" si="45"/>
        <v>0.0643015521064302</v>
      </c>
      <c r="AG558" s="2">
        <f t="shared" si="46"/>
        <v>0.0604395392007347</v>
      </c>
      <c r="AH558" t="s">
        <v>2725</v>
      </c>
      <c r="AI558" t="s">
        <v>41</v>
      </c>
      <c r="AJ558" t="s">
        <v>41</v>
      </c>
    </row>
    <row r="559" hidden="1" spans="1:36">
      <c r="A559">
        <v>113615</v>
      </c>
      <c r="B559" t="s">
        <v>2726</v>
      </c>
      <c r="C559">
        <v>603979</v>
      </c>
      <c r="D559" t="s">
        <v>406</v>
      </c>
      <c r="E559" t="s">
        <v>55</v>
      </c>
      <c r="F559" t="s">
        <v>397</v>
      </c>
      <c r="G559" t="s">
        <v>2465</v>
      </c>
      <c r="H559" t="s">
        <v>33</v>
      </c>
      <c r="I559" t="s">
        <v>255</v>
      </c>
      <c r="J559" t="s">
        <v>255</v>
      </c>
      <c r="K559" t="s">
        <v>255</v>
      </c>
      <c r="L559" t="s">
        <v>41</v>
      </c>
      <c r="M559" t="s">
        <v>41</v>
      </c>
      <c r="N559" t="s">
        <v>255</v>
      </c>
      <c r="O559" t="s">
        <v>41</v>
      </c>
      <c r="P559" t="s">
        <v>41</v>
      </c>
      <c r="Q559" s="2"/>
      <c r="R559" s="2"/>
      <c r="S559" t="s">
        <v>255</v>
      </c>
      <c r="T559" t="s">
        <v>41</v>
      </c>
      <c r="U559" t="s">
        <v>41</v>
      </c>
      <c r="V559" s="2"/>
      <c r="W559" s="2"/>
      <c r="X559" t="s">
        <v>2465</v>
      </c>
      <c r="Y559">
        <v>11.11</v>
      </c>
      <c r="Z559">
        <v>3382.32</v>
      </c>
      <c r="AA559" s="2"/>
      <c r="AB559" s="2"/>
      <c r="AC559" t="s">
        <v>2559</v>
      </c>
      <c r="AD559">
        <v>12.1</v>
      </c>
      <c r="AE559">
        <v>3565.905</v>
      </c>
      <c r="AF559" s="2">
        <f t="shared" si="45"/>
        <v>0.0891089108910891</v>
      </c>
      <c r="AG559" s="2">
        <f t="shared" si="46"/>
        <v>0.0542778329667211</v>
      </c>
      <c r="AH559" t="s">
        <v>2727</v>
      </c>
      <c r="AI559" t="s">
        <v>41</v>
      </c>
      <c r="AJ559" t="s">
        <v>41</v>
      </c>
    </row>
    <row r="560" spans="1:36">
      <c r="A560">
        <v>123091</v>
      </c>
      <c r="B560" t="s">
        <v>2728</v>
      </c>
      <c r="C560">
        <v>300196</v>
      </c>
      <c r="D560" t="s">
        <v>2729</v>
      </c>
      <c r="E560" t="s">
        <v>667</v>
      </c>
      <c r="F560" t="s">
        <v>397</v>
      </c>
      <c r="G560" t="s">
        <v>2465</v>
      </c>
      <c r="H560" t="s">
        <v>33</v>
      </c>
      <c r="I560" t="s">
        <v>255</v>
      </c>
      <c r="J560" t="s">
        <v>255</v>
      </c>
      <c r="K560" t="s">
        <v>2730</v>
      </c>
      <c r="L560">
        <v>12.93</v>
      </c>
      <c r="M560">
        <v>3333.164</v>
      </c>
      <c r="N560" t="s">
        <v>2658</v>
      </c>
      <c r="O560">
        <v>13.68</v>
      </c>
      <c r="P560">
        <v>3332.183</v>
      </c>
      <c r="Q560" s="1">
        <f>(O560-L560)/L560</f>
        <v>0.0580046403712297</v>
      </c>
      <c r="R560" s="1">
        <f>(P560-M560)/M560</f>
        <v>-0.000294314951199588</v>
      </c>
      <c r="S560" t="s">
        <v>2438</v>
      </c>
      <c r="T560">
        <v>14.23</v>
      </c>
      <c r="U560">
        <v>3402.823</v>
      </c>
      <c r="V560" s="1">
        <f>(T560-O560)/O560</f>
        <v>0.0402046783625732</v>
      </c>
      <c r="W560" s="1">
        <f>(U560-P560)/P560</f>
        <v>0.0211993158839115</v>
      </c>
      <c r="X560" t="s">
        <v>2465</v>
      </c>
      <c r="Y560">
        <v>14.51</v>
      </c>
      <c r="Z560">
        <v>3382.32</v>
      </c>
      <c r="AA560" s="2">
        <f>(Y560-T560)/T560</f>
        <v>0.0196767392832045</v>
      </c>
      <c r="AB560" s="2">
        <f>(Z560-U560)/U560</f>
        <v>-0.0060252913536789</v>
      </c>
      <c r="AC560" t="s">
        <v>2724</v>
      </c>
      <c r="AD560">
        <v>16.24</v>
      </c>
      <c r="AE560">
        <v>3566.378</v>
      </c>
      <c r="AF560" s="2">
        <f t="shared" si="45"/>
        <v>0.119228118538939</v>
      </c>
      <c r="AG560" s="2">
        <f t="shared" si="46"/>
        <v>0.0544176778069491</v>
      </c>
      <c r="AH560" t="s">
        <v>2727</v>
      </c>
      <c r="AI560" t="s">
        <v>41</v>
      </c>
      <c r="AJ560" t="s">
        <v>41</v>
      </c>
    </row>
    <row r="561" spans="1:36">
      <c r="A561">
        <v>123089</v>
      </c>
      <c r="B561" t="s">
        <v>2731</v>
      </c>
      <c r="C561">
        <v>300040</v>
      </c>
      <c r="D561" t="s">
        <v>2732</v>
      </c>
      <c r="E561" t="s">
        <v>522</v>
      </c>
      <c r="F561" t="s">
        <v>41</v>
      </c>
      <c r="G561" t="s">
        <v>2733</v>
      </c>
      <c r="H561" t="s">
        <v>621</v>
      </c>
      <c r="I561" t="s">
        <v>255</v>
      </c>
      <c r="J561" t="s">
        <v>255</v>
      </c>
      <c r="K561" t="s">
        <v>2734</v>
      </c>
      <c r="L561">
        <v>4.63</v>
      </c>
      <c r="M561">
        <v>3414.619</v>
      </c>
      <c r="N561" t="s">
        <v>2464</v>
      </c>
      <c r="O561">
        <v>5.1</v>
      </c>
      <c r="P561">
        <v>3223.176</v>
      </c>
      <c r="Q561" s="1">
        <f>(O561-L561)/L561</f>
        <v>0.101511879049676</v>
      </c>
      <c r="R561" s="1">
        <f>(P561-M561)/M561</f>
        <v>-0.0560656986914207</v>
      </c>
      <c r="S561" t="s">
        <v>2735</v>
      </c>
      <c r="T561">
        <v>5.37</v>
      </c>
      <c r="U561">
        <v>3442.136</v>
      </c>
      <c r="V561" s="1">
        <f>(T561-O561)/O561</f>
        <v>0.0529411764705883</v>
      </c>
      <c r="W561" s="1">
        <f>(U561-P561)/P561</f>
        <v>0.0679329952816725</v>
      </c>
      <c r="X561" t="s">
        <v>2733</v>
      </c>
      <c r="Y561">
        <v>5.19</v>
      </c>
      <c r="Z561">
        <v>3420.569</v>
      </c>
      <c r="AA561" s="2">
        <f>(Y561-T561)/T561</f>
        <v>-0.0335195530726256</v>
      </c>
      <c r="AB561" s="2">
        <f>(Z561-U561)/U561</f>
        <v>-0.00626558625225732</v>
      </c>
      <c r="AC561" t="s">
        <v>2708</v>
      </c>
      <c r="AD561">
        <v>5.02</v>
      </c>
      <c r="AE561">
        <v>3570.108</v>
      </c>
      <c r="AF561" s="2">
        <f t="shared" si="45"/>
        <v>-0.0327552986512526</v>
      </c>
      <c r="AG561" s="2">
        <f t="shared" si="46"/>
        <v>0.0437175803207011</v>
      </c>
      <c r="AH561" t="s">
        <v>2736</v>
      </c>
      <c r="AI561" t="s">
        <v>295</v>
      </c>
      <c r="AJ561" t="s">
        <v>625</v>
      </c>
    </row>
    <row r="562" spans="1:36">
      <c r="A562">
        <v>123090</v>
      </c>
      <c r="B562" t="s">
        <v>2737</v>
      </c>
      <c r="C562">
        <v>300298</v>
      </c>
      <c r="D562" t="s">
        <v>2738</v>
      </c>
      <c r="E562" t="s">
        <v>522</v>
      </c>
      <c r="F562" t="s">
        <v>397</v>
      </c>
      <c r="G562" t="s">
        <v>2733</v>
      </c>
      <c r="H562" t="s">
        <v>33</v>
      </c>
      <c r="I562" t="s">
        <v>255</v>
      </c>
      <c r="J562" t="s">
        <v>255</v>
      </c>
      <c r="K562" t="s">
        <v>2615</v>
      </c>
      <c r="L562">
        <v>29.36</v>
      </c>
      <c r="M562">
        <v>3090.569</v>
      </c>
      <c r="N562" t="s">
        <v>2739</v>
      </c>
      <c r="O562">
        <v>31.64</v>
      </c>
      <c r="P562">
        <v>3295.68</v>
      </c>
      <c r="Q562" s="1">
        <f>(O562-L562)/L562</f>
        <v>0.0776566757493188</v>
      </c>
      <c r="R562" s="1">
        <f>(P562-M562)/M562</f>
        <v>0.0663667434702153</v>
      </c>
      <c r="S562" t="s">
        <v>2551</v>
      </c>
      <c r="T562">
        <v>36.29</v>
      </c>
      <c r="U562">
        <v>3339.895</v>
      </c>
      <c r="V562" s="1">
        <f>(T562-O562)/O562</f>
        <v>0.146965865992415</v>
      </c>
      <c r="W562" s="1">
        <f>(U562-P562)/P562</f>
        <v>0.0134160476745316</v>
      </c>
      <c r="X562" t="s">
        <v>2733</v>
      </c>
      <c r="Y562">
        <v>34.17</v>
      </c>
      <c r="Z562">
        <v>3420.569</v>
      </c>
      <c r="AA562" s="2">
        <f>(Y562-T562)/T562</f>
        <v>-0.0584182970515293</v>
      </c>
      <c r="AB562" s="2">
        <f>(Z562-U562)/U562</f>
        <v>0.0241546515683876</v>
      </c>
      <c r="AC562" t="s">
        <v>2740</v>
      </c>
      <c r="AD562">
        <v>34.59</v>
      </c>
      <c r="AE562">
        <v>3608.339</v>
      </c>
      <c r="AF562" s="2">
        <f t="shared" si="45"/>
        <v>0.0122914837576822</v>
      </c>
      <c r="AG562" s="2">
        <f t="shared" si="46"/>
        <v>0.0548943757602902</v>
      </c>
      <c r="AH562" t="s">
        <v>2736</v>
      </c>
      <c r="AI562" t="s">
        <v>41</v>
      </c>
      <c r="AJ562" t="s">
        <v>41</v>
      </c>
    </row>
    <row r="563" hidden="1" spans="1:36">
      <c r="A563">
        <v>128142</v>
      </c>
      <c r="B563" t="s">
        <v>2741</v>
      </c>
      <c r="C563">
        <v>2946</v>
      </c>
      <c r="D563" t="s">
        <v>2742</v>
      </c>
      <c r="E563" t="s">
        <v>2743</v>
      </c>
      <c r="F563" t="s">
        <v>397</v>
      </c>
      <c r="G563" t="s">
        <v>2744</v>
      </c>
      <c r="H563" t="s">
        <v>33</v>
      </c>
      <c r="I563" t="s">
        <v>255</v>
      </c>
      <c r="J563" t="s">
        <v>255</v>
      </c>
      <c r="K563" t="s">
        <v>255</v>
      </c>
      <c r="L563" t="s">
        <v>41</v>
      </c>
      <c r="M563" t="s">
        <v>41</v>
      </c>
      <c r="N563" t="s">
        <v>255</v>
      </c>
      <c r="O563" t="s">
        <v>41</v>
      </c>
      <c r="P563" t="s">
        <v>41</v>
      </c>
      <c r="Q563" s="2"/>
      <c r="R563" s="2"/>
      <c r="S563" t="s">
        <v>255</v>
      </c>
      <c r="T563" t="s">
        <v>41</v>
      </c>
      <c r="U563" t="s">
        <v>41</v>
      </c>
      <c r="V563" s="2"/>
      <c r="W563" s="2"/>
      <c r="X563" t="s">
        <v>2744</v>
      </c>
      <c r="Y563">
        <v>18.45</v>
      </c>
      <c r="Z563">
        <v>3394.896</v>
      </c>
      <c r="AA563" s="2"/>
      <c r="AB563" s="2"/>
      <c r="AC563" t="s">
        <v>2698</v>
      </c>
      <c r="AD563">
        <v>19.04</v>
      </c>
      <c r="AE563">
        <v>3566.381</v>
      </c>
      <c r="AF563" s="2">
        <f t="shared" si="45"/>
        <v>0.0319783197831978</v>
      </c>
      <c r="AG563" s="2">
        <f t="shared" si="46"/>
        <v>0.0505125930219953</v>
      </c>
      <c r="AH563" t="s">
        <v>2745</v>
      </c>
      <c r="AI563" t="s">
        <v>41</v>
      </c>
      <c r="AJ563" t="s">
        <v>41</v>
      </c>
    </row>
    <row r="564" hidden="1" spans="1:36">
      <c r="A564">
        <v>128141</v>
      </c>
      <c r="B564" t="s">
        <v>2746</v>
      </c>
      <c r="C564">
        <v>2034</v>
      </c>
      <c r="D564" t="s">
        <v>2747</v>
      </c>
      <c r="E564" t="s">
        <v>1608</v>
      </c>
      <c r="F564" t="s">
        <v>397</v>
      </c>
      <c r="G564" t="s">
        <v>2623</v>
      </c>
      <c r="H564" t="s">
        <v>33</v>
      </c>
      <c r="I564" t="s">
        <v>255</v>
      </c>
      <c r="J564" t="s">
        <v>255</v>
      </c>
      <c r="K564" t="s">
        <v>255</v>
      </c>
      <c r="L564" t="s">
        <v>41</v>
      </c>
      <c r="M564" t="s">
        <v>41</v>
      </c>
      <c r="N564" t="s">
        <v>255</v>
      </c>
      <c r="O564" t="s">
        <v>41</v>
      </c>
      <c r="P564" t="s">
        <v>41</v>
      </c>
      <c r="Q564" s="2"/>
      <c r="R564" s="2"/>
      <c r="S564" t="s">
        <v>255</v>
      </c>
      <c r="T564" t="s">
        <v>41</v>
      </c>
      <c r="U564" t="s">
        <v>41</v>
      </c>
      <c r="V564" s="2"/>
      <c r="W564" s="2"/>
      <c r="X564" t="s">
        <v>2623</v>
      </c>
      <c r="Y564">
        <v>12.7</v>
      </c>
      <c r="Z564">
        <v>3404.873</v>
      </c>
      <c r="AA564" s="2"/>
      <c r="AB564" s="2"/>
      <c r="AC564" t="s">
        <v>2748</v>
      </c>
      <c r="AD564">
        <v>14.17</v>
      </c>
      <c r="AE564">
        <v>3596.224</v>
      </c>
      <c r="AF564" s="2">
        <f t="shared" si="45"/>
        <v>0.115748031496063</v>
      </c>
      <c r="AG564" s="2">
        <f t="shared" si="46"/>
        <v>0.0561991592637964</v>
      </c>
      <c r="AH564" t="s">
        <v>2749</v>
      </c>
      <c r="AI564" t="s">
        <v>41</v>
      </c>
      <c r="AJ564" t="s">
        <v>41</v>
      </c>
    </row>
    <row r="565" hidden="1" spans="1:36">
      <c r="A565">
        <v>113614</v>
      </c>
      <c r="B565" t="s">
        <v>2750</v>
      </c>
      <c r="C565">
        <v>603707</v>
      </c>
      <c r="D565" t="s">
        <v>2751</v>
      </c>
      <c r="E565" t="s">
        <v>2752</v>
      </c>
      <c r="F565" t="s">
        <v>41</v>
      </c>
      <c r="G565" t="s">
        <v>2623</v>
      </c>
      <c r="H565" t="s">
        <v>621</v>
      </c>
      <c r="I565" t="s">
        <v>255</v>
      </c>
      <c r="J565" t="s">
        <v>255</v>
      </c>
      <c r="K565" t="s">
        <v>255</v>
      </c>
      <c r="L565" t="s">
        <v>41</v>
      </c>
      <c r="M565" t="s">
        <v>41</v>
      </c>
      <c r="N565" t="s">
        <v>255</v>
      </c>
      <c r="O565" t="s">
        <v>41</v>
      </c>
      <c r="P565" t="s">
        <v>41</v>
      </c>
      <c r="Q565" s="2"/>
      <c r="R565" s="2"/>
      <c r="S565" t="s">
        <v>255</v>
      </c>
      <c r="T565" t="s">
        <v>41</v>
      </c>
      <c r="U565" t="s">
        <v>41</v>
      </c>
      <c r="V565" s="2"/>
      <c r="W565" s="2"/>
      <c r="X565" t="s">
        <v>2623</v>
      </c>
      <c r="Y565">
        <v>21.68</v>
      </c>
      <c r="Z565">
        <v>3404.873</v>
      </c>
      <c r="AA565" s="2"/>
      <c r="AB565" s="2"/>
      <c r="AC565" t="s">
        <v>2748</v>
      </c>
      <c r="AD565">
        <v>18.62</v>
      </c>
      <c r="AE565">
        <v>3596.224</v>
      </c>
      <c r="AF565" s="2">
        <f t="shared" si="45"/>
        <v>-0.141143911439114</v>
      </c>
      <c r="AG565" s="2">
        <f t="shared" si="46"/>
        <v>0.0561991592637964</v>
      </c>
      <c r="AH565" t="s">
        <v>2753</v>
      </c>
      <c r="AI565" t="s">
        <v>2754</v>
      </c>
      <c r="AJ565" t="s">
        <v>625</v>
      </c>
    </row>
    <row r="566" hidden="1" spans="1:36">
      <c r="A566">
        <v>123087</v>
      </c>
      <c r="B566" t="s">
        <v>2755</v>
      </c>
      <c r="C566">
        <v>300739</v>
      </c>
      <c r="D566" t="s">
        <v>1273</v>
      </c>
      <c r="E566" t="s">
        <v>2035</v>
      </c>
      <c r="F566" t="s">
        <v>41</v>
      </c>
      <c r="G566" t="s">
        <v>2652</v>
      </c>
      <c r="H566" t="s">
        <v>621</v>
      </c>
      <c r="I566" t="s">
        <v>255</v>
      </c>
      <c r="J566" t="s">
        <v>255</v>
      </c>
      <c r="K566" t="s">
        <v>255</v>
      </c>
      <c r="L566" t="s">
        <v>41</v>
      </c>
      <c r="M566" t="s">
        <v>41</v>
      </c>
      <c r="N566" t="s">
        <v>255</v>
      </c>
      <c r="O566" t="s">
        <v>41</v>
      </c>
      <c r="P566" t="s">
        <v>41</v>
      </c>
      <c r="Q566" s="2"/>
      <c r="R566" s="2"/>
      <c r="S566" t="s">
        <v>255</v>
      </c>
      <c r="T566" t="s">
        <v>41</v>
      </c>
      <c r="U566" t="s">
        <v>41</v>
      </c>
      <c r="V566" s="2"/>
      <c r="W566" s="2"/>
      <c r="X566" t="s">
        <v>2652</v>
      </c>
      <c r="Y566">
        <v>19.5</v>
      </c>
      <c r="Z566">
        <v>3367.233</v>
      </c>
      <c r="AA566" s="2"/>
      <c r="AB566" s="2"/>
      <c r="AC566" t="s">
        <v>2402</v>
      </c>
      <c r="AD566">
        <v>18.63</v>
      </c>
      <c r="AE566">
        <v>3528.677</v>
      </c>
      <c r="AF566" s="2">
        <f t="shared" si="45"/>
        <v>-0.0446153846153847</v>
      </c>
      <c r="AG566" s="2">
        <f t="shared" si="46"/>
        <v>0.0479455980622665</v>
      </c>
      <c r="AH566" t="s">
        <v>2756</v>
      </c>
      <c r="AI566" t="s">
        <v>971</v>
      </c>
      <c r="AJ566" t="s">
        <v>625</v>
      </c>
    </row>
    <row r="567" spans="1:36">
      <c r="A567">
        <v>123088</v>
      </c>
      <c r="B567" t="s">
        <v>2757</v>
      </c>
      <c r="C567">
        <v>300707</v>
      </c>
      <c r="D567" t="s">
        <v>2758</v>
      </c>
      <c r="E567" t="s">
        <v>2759</v>
      </c>
      <c r="F567" t="s">
        <v>31</v>
      </c>
      <c r="G567" t="s">
        <v>2652</v>
      </c>
      <c r="H567" t="s">
        <v>33</v>
      </c>
      <c r="I567" t="s">
        <v>255</v>
      </c>
      <c r="J567" t="s">
        <v>255</v>
      </c>
      <c r="K567" t="s">
        <v>2591</v>
      </c>
      <c r="L567">
        <v>15.85</v>
      </c>
      <c r="M567">
        <v>3025.981</v>
      </c>
      <c r="N567" t="s">
        <v>2464</v>
      </c>
      <c r="O567">
        <v>17.21</v>
      </c>
      <c r="P567">
        <v>3223.176</v>
      </c>
      <c r="Q567" s="1">
        <f>(O567-L567)/L567</f>
        <v>0.0858044164037856</v>
      </c>
      <c r="R567" s="1">
        <f>(P567-M567)/M567</f>
        <v>0.0651672961594933</v>
      </c>
      <c r="S567" t="s">
        <v>2760</v>
      </c>
      <c r="T567">
        <v>22.7</v>
      </c>
      <c r="U567">
        <v>3320.133</v>
      </c>
      <c r="V567" s="1">
        <f>(T567-O567)/O567</f>
        <v>0.319000581057525</v>
      </c>
      <c r="W567" s="1">
        <f>(U567-P567)/P567</f>
        <v>0.0300811994132495</v>
      </c>
      <c r="X567" t="s">
        <v>2652</v>
      </c>
      <c r="Y567">
        <v>17.87</v>
      </c>
      <c r="Z567">
        <v>3367.233</v>
      </c>
      <c r="AA567" s="2">
        <f>(Y567-T567)/T567</f>
        <v>-0.212775330396476</v>
      </c>
      <c r="AB567" s="2">
        <f>(Z567-U567)/U567</f>
        <v>0.0141861786862154</v>
      </c>
      <c r="AC567" t="s">
        <v>2761</v>
      </c>
      <c r="AD567">
        <v>16.6</v>
      </c>
      <c r="AE567">
        <v>3550.877</v>
      </c>
      <c r="AF567" s="2">
        <f t="shared" si="45"/>
        <v>-0.0710688304420817</v>
      </c>
      <c r="AG567" s="2">
        <f t="shared" si="46"/>
        <v>0.0545385484164594</v>
      </c>
      <c r="AH567" t="s">
        <v>2756</v>
      </c>
      <c r="AI567" t="s">
        <v>41</v>
      </c>
      <c r="AJ567" t="s">
        <v>41</v>
      </c>
    </row>
    <row r="568" hidden="1" spans="1:36">
      <c r="A568">
        <v>113044</v>
      </c>
      <c r="B568" t="s">
        <v>2762</v>
      </c>
      <c r="C568">
        <v>601006</v>
      </c>
      <c r="D568" t="s">
        <v>2763</v>
      </c>
      <c r="E568" t="s">
        <v>2764</v>
      </c>
      <c r="F568" t="s">
        <v>41</v>
      </c>
      <c r="G568" t="s">
        <v>2765</v>
      </c>
      <c r="H568" t="s">
        <v>621</v>
      </c>
      <c r="I568" t="s">
        <v>255</v>
      </c>
      <c r="J568" t="s">
        <v>255</v>
      </c>
      <c r="K568" t="s">
        <v>255</v>
      </c>
      <c r="L568" t="s">
        <v>41</v>
      </c>
      <c r="M568" t="s">
        <v>41</v>
      </c>
      <c r="N568" t="s">
        <v>255</v>
      </c>
      <c r="O568" t="s">
        <v>41</v>
      </c>
      <c r="P568" t="s">
        <v>41</v>
      </c>
      <c r="Q568" s="2"/>
      <c r="R568" s="2"/>
      <c r="S568" t="s">
        <v>255</v>
      </c>
      <c r="T568" t="s">
        <v>41</v>
      </c>
      <c r="U568" t="s">
        <v>41</v>
      </c>
      <c r="V568" s="2"/>
      <c r="W568" s="2"/>
      <c r="X568" t="s">
        <v>2765</v>
      </c>
      <c r="Y568">
        <v>4.43</v>
      </c>
      <c r="Z568">
        <v>3369.12</v>
      </c>
      <c r="AA568" s="2"/>
      <c r="AB568" s="2"/>
      <c r="AC568" t="s">
        <v>2724</v>
      </c>
      <c r="AD568">
        <v>4.48</v>
      </c>
      <c r="AE568">
        <v>3566.378</v>
      </c>
      <c r="AF568" s="2">
        <f t="shared" si="45"/>
        <v>0.0112866817155758</v>
      </c>
      <c r="AG568" s="2">
        <f t="shared" si="46"/>
        <v>0.0585488198698771</v>
      </c>
      <c r="AH568" t="s">
        <v>2766</v>
      </c>
      <c r="AI568" t="s">
        <v>493</v>
      </c>
      <c r="AJ568" t="s">
        <v>625</v>
      </c>
    </row>
    <row r="569" spans="1:36">
      <c r="A569">
        <v>123086</v>
      </c>
      <c r="B569" t="s">
        <v>2767</v>
      </c>
      <c r="C569">
        <v>300065</v>
      </c>
      <c r="D569" t="s">
        <v>2768</v>
      </c>
      <c r="E569" t="s">
        <v>1040</v>
      </c>
      <c r="F569" t="s">
        <v>41</v>
      </c>
      <c r="G569" t="s">
        <v>2769</v>
      </c>
      <c r="H569" t="s">
        <v>621</v>
      </c>
      <c r="I569" t="s">
        <v>255</v>
      </c>
      <c r="J569" t="s">
        <v>255</v>
      </c>
      <c r="K569" t="s">
        <v>2615</v>
      </c>
      <c r="L569">
        <v>6.73</v>
      </c>
      <c r="M569">
        <v>3090.569</v>
      </c>
      <c r="N569" t="s">
        <v>2770</v>
      </c>
      <c r="O569">
        <v>9.67</v>
      </c>
      <c r="P569">
        <v>3279.711</v>
      </c>
      <c r="Q569" s="1">
        <f>(O569-L569)/L569</f>
        <v>0.436849925705795</v>
      </c>
      <c r="R569" s="1">
        <f>(P569-M569)/M569</f>
        <v>0.0611997337707069</v>
      </c>
      <c r="S569" t="s">
        <v>2438</v>
      </c>
      <c r="T569">
        <v>8.71</v>
      </c>
      <c r="U569">
        <v>3402.823</v>
      </c>
      <c r="V569" s="1">
        <f>(T569-O569)/O569</f>
        <v>-0.0992761116856256</v>
      </c>
      <c r="W569" s="1">
        <f>(U569-P569)/P569</f>
        <v>0.0375374537573585</v>
      </c>
      <c r="X569" t="s">
        <v>2769</v>
      </c>
      <c r="Y569">
        <v>10.22</v>
      </c>
      <c r="Z569">
        <v>3347.191</v>
      </c>
      <c r="AA569" s="2">
        <f>(Y569-T569)/T569</f>
        <v>0.173363949483352</v>
      </c>
      <c r="AB569" s="2">
        <f>(Z569-U569)/U569</f>
        <v>-0.0163487786464356</v>
      </c>
      <c r="AC569" t="s">
        <v>2055</v>
      </c>
      <c r="AD569">
        <v>6.53</v>
      </c>
      <c r="AE569">
        <v>3532.447</v>
      </c>
      <c r="AF569" s="2">
        <f t="shared" si="45"/>
        <v>-0.36105675146771</v>
      </c>
      <c r="AG569" s="2">
        <f t="shared" si="46"/>
        <v>0.0553467071344301</v>
      </c>
      <c r="AH569" t="s">
        <v>2771</v>
      </c>
      <c r="AI569" t="s">
        <v>1201</v>
      </c>
      <c r="AJ569" t="s">
        <v>625</v>
      </c>
    </row>
    <row r="570" spans="1:36">
      <c r="A570">
        <v>123085</v>
      </c>
      <c r="B570" t="s">
        <v>2772</v>
      </c>
      <c r="C570">
        <v>300057</v>
      </c>
      <c r="D570" t="s">
        <v>2773</v>
      </c>
      <c r="E570" t="s">
        <v>1183</v>
      </c>
      <c r="F570" t="s">
        <v>56</v>
      </c>
      <c r="G570" t="s">
        <v>2769</v>
      </c>
      <c r="H570" t="s">
        <v>33</v>
      </c>
      <c r="I570" t="s">
        <v>255</v>
      </c>
      <c r="J570" t="s">
        <v>255</v>
      </c>
      <c r="K570" t="s">
        <v>2615</v>
      </c>
      <c r="L570">
        <v>4.77</v>
      </c>
      <c r="M570">
        <v>3090.569</v>
      </c>
      <c r="N570" t="s">
        <v>2464</v>
      </c>
      <c r="O570">
        <v>6</v>
      </c>
      <c r="P570">
        <v>3223.176</v>
      </c>
      <c r="Q570" s="1">
        <f>(O570-L570)/L570</f>
        <v>0.257861635220126</v>
      </c>
      <c r="R570" s="1">
        <f>(P570-M570)/M570</f>
        <v>0.0429069857362835</v>
      </c>
      <c r="S570" t="s">
        <v>2760</v>
      </c>
      <c r="T570">
        <v>7.3</v>
      </c>
      <c r="U570">
        <v>3320.133</v>
      </c>
      <c r="V570" s="1">
        <f>(T570-O570)/O570</f>
        <v>0.216666666666667</v>
      </c>
      <c r="W570" s="1">
        <f>(U570-P570)/P570</f>
        <v>0.0300811994132495</v>
      </c>
      <c r="X570" t="s">
        <v>2769</v>
      </c>
      <c r="Y570">
        <v>5.35</v>
      </c>
      <c r="Z570">
        <v>3347.191</v>
      </c>
      <c r="AA570" s="2">
        <f>(Y570-T570)/T570</f>
        <v>-0.267123287671233</v>
      </c>
      <c r="AB570" s="2">
        <f>(Z570-U570)/U570</f>
        <v>0.00814967352211493</v>
      </c>
      <c r="AC570" t="s">
        <v>2439</v>
      </c>
      <c r="AD570">
        <v>4.88</v>
      </c>
      <c r="AE570">
        <v>3397.285</v>
      </c>
      <c r="AF570" s="2">
        <f t="shared" si="45"/>
        <v>-0.0878504672897196</v>
      </c>
      <c r="AG570" s="2">
        <f t="shared" si="46"/>
        <v>0.0149659819233501</v>
      </c>
      <c r="AH570" t="s">
        <v>2774</v>
      </c>
      <c r="AI570" t="s">
        <v>41</v>
      </c>
      <c r="AJ570" t="s">
        <v>41</v>
      </c>
    </row>
    <row r="571" spans="1:36">
      <c r="A571">
        <v>123084</v>
      </c>
      <c r="B571" t="s">
        <v>2775</v>
      </c>
      <c r="C571">
        <v>300499</v>
      </c>
      <c r="D571" t="s">
        <v>2776</v>
      </c>
      <c r="E571" t="s">
        <v>1516</v>
      </c>
      <c r="F571" t="s">
        <v>41</v>
      </c>
      <c r="G571" t="s">
        <v>2723</v>
      </c>
      <c r="H571" t="s">
        <v>621</v>
      </c>
      <c r="I571" t="s">
        <v>255</v>
      </c>
      <c r="J571" t="s">
        <v>255</v>
      </c>
      <c r="K571" t="s">
        <v>2722</v>
      </c>
      <c r="L571">
        <v>11.85</v>
      </c>
      <c r="M571">
        <v>2961.516</v>
      </c>
      <c r="N571" t="s">
        <v>2777</v>
      </c>
      <c r="O571">
        <v>11.45</v>
      </c>
      <c r="P571">
        <v>3270.435</v>
      </c>
      <c r="Q571" s="1">
        <f>(O571-L571)/L571</f>
        <v>-0.0337552742616034</v>
      </c>
      <c r="R571" s="1">
        <f>(P571-M571)/M571</f>
        <v>0.104311102827066</v>
      </c>
      <c r="S571" t="s">
        <v>2438</v>
      </c>
      <c r="T571">
        <v>11.03</v>
      </c>
      <c r="U571">
        <v>3402.823</v>
      </c>
      <c r="V571" s="1">
        <f>(T571-O571)/O571</f>
        <v>-0.0366812227074236</v>
      </c>
      <c r="W571" s="1">
        <f>(U571-P571)/P571</f>
        <v>0.0404802419250038</v>
      </c>
      <c r="X571" t="s">
        <v>2723</v>
      </c>
      <c r="Y571">
        <v>10.65</v>
      </c>
      <c r="Z571">
        <v>3373.276</v>
      </c>
      <c r="AA571" s="2">
        <f>(Y571-T571)/T571</f>
        <v>-0.0344514959202175</v>
      </c>
      <c r="AB571" s="2">
        <f>(Z571-U571)/U571</f>
        <v>-0.00868308460357768</v>
      </c>
      <c r="AC571" t="s">
        <v>2708</v>
      </c>
      <c r="AD571">
        <v>9.63</v>
      </c>
      <c r="AE571">
        <v>3570.108</v>
      </c>
      <c r="AF571" s="2">
        <f t="shared" si="45"/>
        <v>-0.0957746478873239</v>
      </c>
      <c r="AG571" s="2">
        <f t="shared" si="46"/>
        <v>0.0583503988407709</v>
      </c>
      <c r="AH571" t="s">
        <v>2778</v>
      </c>
      <c r="AI571" t="s">
        <v>1100</v>
      </c>
      <c r="AJ571" t="s">
        <v>625</v>
      </c>
    </row>
    <row r="572" hidden="1" spans="1:36">
      <c r="A572">
        <v>127027</v>
      </c>
      <c r="B572" t="s">
        <v>2779</v>
      </c>
      <c r="C572">
        <v>552</v>
      </c>
      <c r="D572" t="s">
        <v>2780</v>
      </c>
      <c r="E572" t="s">
        <v>804</v>
      </c>
      <c r="F572" t="s">
        <v>444</v>
      </c>
      <c r="G572" t="s">
        <v>2723</v>
      </c>
      <c r="H572" t="s">
        <v>33</v>
      </c>
      <c r="I572" t="s">
        <v>255</v>
      </c>
      <c r="J572" t="s">
        <v>255</v>
      </c>
      <c r="K572" t="s">
        <v>255</v>
      </c>
      <c r="L572" t="s">
        <v>41</v>
      </c>
      <c r="M572" t="s">
        <v>41</v>
      </c>
      <c r="N572" t="s">
        <v>255</v>
      </c>
      <c r="O572" t="s">
        <v>41</v>
      </c>
      <c r="P572" t="s">
        <v>41</v>
      </c>
      <c r="Q572" s="2"/>
      <c r="R572" s="2"/>
      <c r="S572" t="s">
        <v>255</v>
      </c>
      <c r="T572" t="s">
        <v>41</v>
      </c>
      <c r="U572" t="s">
        <v>41</v>
      </c>
      <c r="V572" s="2"/>
      <c r="W572" s="2"/>
      <c r="X572" t="s">
        <v>2723</v>
      </c>
      <c r="Y572">
        <v>2.37</v>
      </c>
      <c r="Z572">
        <v>3373.276</v>
      </c>
      <c r="AA572" s="2"/>
      <c r="AB572" s="2"/>
      <c r="AC572" t="s">
        <v>2687</v>
      </c>
      <c r="AD572">
        <v>2.26</v>
      </c>
      <c r="AE572">
        <v>3606.75</v>
      </c>
      <c r="AF572" s="2">
        <f t="shared" si="45"/>
        <v>-0.0464135021097048</v>
      </c>
      <c r="AG572" s="2">
        <f t="shared" si="46"/>
        <v>0.0692128364237021</v>
      </c>
      <c r="AH572" t="s">
        <v>2771</v>
      </c>
      <c r="AI572" t="s">
        <v>41</v>
      </c>
      <c r="AJ572" t="s">
        <v>41</v>
      </c>
    </row>
    <row r="573" hidden="1" spans="1:36">
      <c r="A573">
        <v>113043</v>
      </c>
      <c r="B573" t="s">
        <v>2781</v>
      </c>
      <c r="C573">
        <v>601108</v>
      </c>
      <c r="D573" t="s">
        <v>2782</v>
      </c>
      <c r="E573" t="s">
        <v>2783</v>
      </c>
      <c r="F573" t="s">
        <v>444</v>
      </c>
      <c r="G573" t="s">
        <v>2723</v>
      </c>
      <c r="H573" t="s">
        <v>33</v>
      </c>
      <c r="I573" t="s">
        <v>255</v>
      </c>
      <c r="J573" t="s">
        <v>255</v>
      </c>
      <c r="K573" t="s">
        <v>255</v>
      </c>
      <c r="L573" t="s">
        <v>41</v>
      </c>
      <c r="M573" t="s">
        <v>41</v>
      </c>
      <c r="N573" t="s">
        <v>255</v>
      </c>
      <c r="O573" t="s">
        <v>41</v>
      </c>
      <c r="P573" t="s">
        <v>41</v>
      </c>
      <c r="Q573" s="2"/>
      <c r="R573" s="2"/>
      <c r="S573" t="s">
        <v>255</v>
      </c>
      <c r="T573" t="s">
        <v>41</v>
      </c>
      <c r="U573" t="s">
        <v>41</v>
      </c>
      <c r="V573" s="2"/>
      <c r="W573" s="2"/>
      <c r="X573" t="s">
        <v>2723</v>
      </c>
      <c r="Y573">
        <v>10.51</v>
      </c>
      <c r="Z573">
        <v>3373.276</v>
      </c>
      <c r="AA573" s="2"/>
      <c r="AB573" s="2"/>
      <c r="AC573" t="s">
        <v>2439</v>
      </c>
      <c r="AD573">
        <v>9.73</v>
      </c>
      <c r="AE573">
        <v>3397.285</v>
      </c>
      <c r="AF573" s="2">
        <f t="shared" si="45"/>
        <v>-0.0742150333016175</v>
      </c>
      <c r="AG573" s="2">
        <f t="shared" si="46"/>
        <v>0.0071174134580153</v>
      </c>
      <c r="AH573" t="s">
        <v>2771</v>
      </c>
      <c r="AI573" t="s">
        <v>41</v>
      </c>
      <c r="AJ573" t="s">
        <v>41</v>
      </c>
    </row>
    <row r="574" hidden="1" spans="1:36">
      <c r="A574">
        <v>123083</v>
      </c>
      <c r="B574" t="s">
        <v>2784</v>
      </c>
      <c r="C574">
        <v>300682</v>
      </c>
      <c r="D574" t="s">
        <v>2785</v>
      </c>
      <c r="E574" t="s">
        <v>115</v>
      </c>
      <c r="F574" t="s">
        <v>41</v>
      </c>
      <c r="G574" t="s">
        <v>2786</v>
      </c>
      <c r="H574" t="s">
        <v>621</v>
      </c>
      <c r="I574" t="s">
        <v>255</v>
      </c>
      <c r="J574" t="s">
        <v>255</v>
      </c>
      <c r="K574" t="s">
        <v>255</v>
      </c>
      <c r="L574" t="s">
        <v>41</v>
      </c>
      <c r="M574" t="s">
        <v>41</v>
      </c>
      <c r="N574" t="s">
        <v>255</v>
      </c>
      <c r="O574" t="s">
        <v>41</v>
      </c>
      <c r="P574" t="s">
        <v>41</v>
      </c>
      <c r="Q574" s="2"/>
      <c r="R574" s="2"/>
      <c r="S574" t="s">
        <v>255</v>
      </c>
      <c r="T574" t="s">
        <v>41</v>
      </c>
      <c r="U574" t="s">
        <v>41</v>
      </c>
      <c r="V574" s="2"/>
      <c r="W574" s="2"/>
      <c r="X574" t="s">
        <v>2786</v>
      </c>
      <c r="Y574">
        <v>15.33</v>
      </c>
      <c r="Z574">
        <v>3371.964</v>
      </c>
      <c r="AA574" s="2"/>
      <c r="AB574" s="2"/>
      <c r="AC574" t="s">
        <v>2761</v>
      </c>
      <c r="AD574">
        <v>13.93</v>
      </c>
      <c r="AE574">
        <v>3550.877</v>
      </c>
      <c r="AF574" s="2">
        <f t="shared" si="45"/>
        <v>-0.091324200913242</v>
      </c>
      <c r="AG574" s="2">
        <f t="shared" si="46"/>
        <v>0.0530589887673771</v>
      </c>
      <c r="AH574" t="s">
        <v>2778</v>
      </c>
      <c r="AI574" t="s">
        <v>1266</v>
      </c>
      <c r="AJ574" t="s">
        <v>625</v>
      </c>
    </row>
    <row r="575" hidden="1" spans="1:36">
      <c r="A575">
        <v>113612</v>
      </c>
      <c r="B575" t="s">
        <v>2787</v>
      </c>
      <c r="C575">
        <v>603681</v>
      </c>
      <c r="D575" t="s">
        <v>1847</v>
      </c>
      <c r="E575" t="s">
        <v>483</v>
      </c>
      <c r="F575" t="s">
        <v>41</v>
      </c>
      <c r="G575" t="s">
        <v>2659</v>
      </c>
      <c r="H575" t="s">
        <v>621</v>
      </c>
      <c r="I575" t="s">
        <v>255</v>
      </c>
      <c r="J575" t="s">
        <v>255</v>
      </c>
      <c r="K575" t="s">
        <v>255</v>
      </c>
      <c r="L575" t="s">
        <v>41</v>
      </c>
      <c r="M575" t="s">
        <v>41</v>
      </c>
      <c r="N575" t="s">
        <v>255</v>
      </c>
      <c r="O575" t="s">
        <v>41</v>
      </c>
      <c r="P575" t="s">
        <v>41</v>
      </c>
      <c r="Q575" s="2"/>
      <c r="R575" s="2"/>
      <c r="S575" t="s">
        <v>255</v>
      </c>
      <c r="T575" t="s">
        <v>41</v>
      </c>
      <c r="U575" t="s">
        <v>41</v>
      </c>
      <c r="V575" s="2"/>
      <c r="W575" s="2"/>
      <c r="X575" t="s">
        <v>2659</v>
      </c>
      <c r="Y575">
        <v>19.29</v>
      </c>
      <c r="Z575">
        <v>3410.177</v>
      </c>
      <c r="AA575" s="2"/>
      <c r="AB575" s="2"/>
      <c r="AC575" t="s">
        <v>2788</v>
      </c>
      <c r="AD575">
        <v>18.83</v>
      </c>
      <c r="AE575">
        <v>3576.205</v>
      </c>
      <c r="AF575" s="2">
        <f t="shared" si="45"/>
        <v>-0.0238465526179368</v>
      </c>
      <c r="AG575" s="2">
        <f t="shared" si="46"/>
        <v>0.0486860359447618</v>
      </c>
      <c r="AH575" t="s">
        <v>2789</v>
      </c>
      <c r="AI575" t="s">
        <v>2790</v>
      </c>
      <c r="AJ575" t="s">
        <v>625</v>
      </c>
    </row>
    <row r="576" hidden="1" spans="1:36">
      <c r="A576">
        <v>127026</v>
      </c>
      <c r="B576" t="s">
        <v>2791</v>
      </c>
      <c r="C576">
        <v>823</v>
      </c>
      <c r="D576" t="s">
        <v>2792</v>
      </c>
      <c r="E576" t="s">
        <v>1015</v>
      </c>
      <c r="F576" t="s">
        <v>397</v>
      </c>
      <c r="G576" t="s">
        <v>2659</v>
      </c>
      <c r="H576" t="s">
        <v>33</v>
      </c>
      <c r="I576" t="s">
        <v>255</v>
      </c>
      <c r="J576" t="s">
        <v>255</v>
      </c>
      <c r="K576" t="s">
        <v>255</v>
      </c>
      <c r="L576" t="s">
        <v>41</v>
      </c>
      <c r="M576" t="s">
        <v>41</v>
      </c>
      <c r="N576" t="s">
        <v>255</v>
      </c>
      <c r="O576" t="s">
        <v>41</v>
      </c>
      <c r="P576" t="s">
        <v>41</v>
      </c>
      <c r="Q576" s="2"/>
      <c r="R576" s="2"/>
      <c r="S576" t="s">
        <v>255</v>
      </c>
      <c r="T576" t="s">
        <v>41</v>
      </c>
      <c r="U576" t="s">
        <v>41</v>
      </c>
      <c r="V576" s="2"/>
      <c r="W576" s="2"/>
      <c r="X576" t="s">
        <v>2659</v>
      </c>
      <c r="Y576">
        <v>12.43</v>
      </c>
      <c r="Z576">
        <v>3410.177</v>
      </c>
      <c r="AA576" s="2"/>
      <c r="AB576" s="2"/>
      <c r="AC576" t="s">
        <v>2559</v>
      </c>
      <c r="AD576">
        <v>10.82</v>
      </c>
      <c r="AE576">
        <v>3565.905</v>
      </c>
      <c r="AF576" s="2">
        <f t="shared" si="45"/>
        <v>-0.129525341914722</v>
      </c>
      <c r="AG576" s="2">
        <f t="shared" si="46"/>
        <v>0.045665664861384</v>
      </c>
      <c r="AH576" t="s">
        <v>2793</v>
      </c>
      <c r="AI576" t="s">
        <v>41</v>
      </c>
      <c r="AJ576" t="s">
        <v>41</v>
      </c>
    </row>
    <row r="577" hidden="1" spans="1:36">
      <c r="A577">
        <v>128140</v>
      </c>
      <c r="B577" t="s">
        <v>2794</v>
      </c>
      <c r="C577">
        <v>2929</v>
      </c>
      <c r="D577" t="s">
        <v>2795</v>
      </c>
      <c r="E577" t="s">
        <v>2796</v>
      </c>
      <c r="F577" t="s">
        <v>41</v>
      </c>
      <c r="G577" t="s">
        <v>2391</v>
      </c>
      <c r="H577" t="s">
        <v>621</v>
      </c>
      <c r="I577" t="s">
        <v>255</v>
      </c>
      <c r="J577" t="s">
        <v>255</v>
      </c>
      <c r="K577" t="s">
        <v>255</v>
      </c>
      <c r="L577" t="s">
        <v>41</v>
      </c>
      <c r="M577" t="s">
        <v>41</v>
      </c>
      <c r="N577" t="s">
        <v>255</v>
      </c>
      <c r="O577" t="s">
        <v>41</v>
      </c>
      <c r="P577" t="s">
        <v>41</v>
      </c>
      <c r="Q577" s="2"/>
      <c r="R577" s="2"/>
      <c r="S577" t="s">
        <v>255</v>
      </c>
      <c r="T577" t="s">
        <v>41</v>
      </c>
      <c r="U577" t="s">
        <v>41</v>
      </c>
      <c r="V577" s="2"/>
      <c r="W577" s="2"/>
      <c r="X577" t="s">
        <v>2391</v>
      </c>
      <c r="Y577">
        <v>25.35</v>
      </c>
      <c r="Z577">
        <v>3416.604</v>
      </c>
      <c r="AA577" s="2"/>
      <c r="AB577" s="2"/>
      <c r="AC577" t="s">
        <v>2616</v>
      </c>
      <c r="AD577">
        <v>22.99</v>
      </c>
      <c r="AE577">
        <v>3379.036</v>
      </c>
      <c r="AF577" s="2">
        <f t="shared" si="45"/>
        <v>-0.0930966469428009</v>
      </c>
      <c r="AG577" s="2">
        <f t="shared" si="46"/>
        <v>-0.0109957138726056</v>
      </c>
      <c r="AH577" t="s">
        <v>2789</v>
      </c>
      <c r="AI577" t="s">
        <v>887</v>
      </c>
      <c r="AJ577" t="s">
        <v>625</v>
      </c>
    </row>
    <row r="578" spans="1:36">
      <c r="A578">
        <v>123082</v>
      </c>
      <c r="B578" t="s">
        <v>2797</v>
      </c>
      <c r="C578">
        <v>300016</v>
      </c>
      <c r="D578" t="s">
        <v>2798</v>
      </c>
      <c r="E578" t="s">
        <v>522</v>
      </c>
      <c r="F578" t="s">
        <v>41</v>
      </c>
      <c r="G578" t="s">
        <v>2391</v>
      </c>
      <c r="H578" t="s">
        <v>621</v>
      </c>
      <c r="I578" t="s">
        <v>255</v>
      </c>
      <c r="J578" t="s">
        <v>255</v>
      </c>
      <c r="K578" t="s">
        <v>2799</v>
      </c>
      <c r="L578">
        <v>11.2</v>
      </c>
      <c r="M578">
        <v>3152.813</v>
      </c>
      <c r="N578" t="s">
        <v>2800</v>
      </c>
      <c r="O578">
        <v>12.89</v>
      </c>
      <c r="P578">
        <v>3254.628</v>
      </c>
      <c r="Q578" s="1">
        <f>(O578-L578)/L578</f>
        <v>0.150892857142857</v>
      </c>
      <c r="R578" s="1">
        <f>(P578-M578)/M578</f>
        <v>0.0322933837179687</v>
      </c>
      <c r="S578" t="s">
        <v>2760</v>
      </c>
      <c r="T578">
        <v>11.26</v>
      </c>
      <c r="U578">
        <v>3320.133</v>
      </c>
      <c r="V578" s="1">
        <f>(T578-O578)/O578</f>
        <v>-0.126454615981381</v>
      </c>
      <c r="W578" s="1">
        <f>(U578-P578)/P578</f>
        <v>0.0201267241601804</v>
      </c>
      <c r="X578" t="s">
        <v>2391</v>
      </c>
      <c r="Y578">
        <v>10.9</v>
      </c>
      <c r="Z578">
        <v>3416.604</v>
      </c>
      <c r="AA578" s="2">
        <f>(Y578-T578)/T578</f>
        <v>-0.0319715808170515</v>
      </c>
      <c r="AB578" s="2">
        <f>(Z578-U578)/U578</f>
        <v>0.0290563661154538</v>
      </c>
      <c r="AC578" t="s">
        <v>2439</v>
      </c>
      <c r="AD578">
        <v>9.37</v>
      </c>
      <c r="AE578">
        <v>3397.285</v>
      </c>
      <c r="AF578" s="2">
        <f t="shared" si="45"/>
        <v>-0.140366972477064</v>
      </c>
      <c r="AG578" s="2">
        <f t="shared" si="46"/>
        <v>-0.00565444517421392</v>
      </c>
      <c r="AH578" t="s">
        <v>2789</v>
      </c>
      <c r="AI578" t="s">
        <v>417</v>
      </c>
      <c r="AJ578" t="s">
        <v>625</v>
      </c>
    </row>
    <row r="579" hidden="1" spans="1:36">
      <c r="A579">
        <v>123081</v>
      </c>
      <c r="B579" t="s">
        <v>2801</v>
      </c>
      <c r="C579">
        <v>300709</v>
      </c>
      <c r="D579" t="s">
        <v>308</v>
      </c>
      <c r="E579" t="s">
        <v>1135</v>
      </c>
      <c r="F579" t="s">
        <v>41</v>
      </c>
      <c r="G579" t="s">
        <v>2735</v>
      </c>
      <c r="H579" t="s">
        <v>621</v>
      </c>
      <c r="I579" t="s">
        <v>255</v>
      </c>
      <c r="J579" t="s">
        <v>255</v>
      </c>
      <c r="K579" t="s">
        <v>255</v>
      </c>
      <c r="L579" t="s">
        <v>41</v>
      </c>
      <c r="M579" t="s">
        <v>41</v>
      </c>
      <c r="N579" t="s">
        <v>255</v>
      </c>
      <c r="O579" t="s">
        <v>41</v>
      </c>
      <c r="P579" t="s">
        <v>41</v>
      </c>
      <c r="Q579" s="2"/>
      <c r="R579" s="2"/>
      <c r="S579" t="s">
        <v>255</v>
      </c>
      <c r="T579" t="s">
        <v>41</v>
      </c>
      <c r="U579" t="s">
        <v>41</v>
      </c>
      <c r="V579" s="2"/>
      <c r="W579" s="2"/>
      <c r="X579" t="s">
        <v>2735</v>
      </c>
      <c r="Y579">
        <v>42.12</v>
      </c>
      <c r="Z579">
        <v>3442.136</v>
      </c>
      <c r="AA579" s="2"/>
      <c r="AB579" s="2"/>
      <c r="AC579" t="s">
        <v>2802</v>
      </c>
      <c r="AD579">
        <v>34.58</v>
      </c>
      <c r="AE579">
        <v>3356.782</v>
      </c>
      <c r="AF579" s="2">
        <f t="shared" ref="AF579:AF642" si="47">(AD579-Y579)/Y579</f>
        <v>-0.179012345679012</v>
      </c>
      <c r="AG579" s="2">
        <f t="shared" ref="AG579:AG642" si="48">(AE579-Z579)/Z579</f>
        <v>-0.0247968122119521</v>
      </c>
      <c r="AH579" t="s">
        <v>2803</v>
      </c>
      <c r="AI579" t="s">
        <v>2090</v>
      </c>
      <c r="AJ579" t="s">
        <v>625</v>
      </c>
    </row>
    <row r="580" spans="1:36">
      <c r="A580">
        <v>123080</v>
      </c>
      <c r="B580" t="s">
        <v>2804</v>
      </c>
      <c r="C580">
        <v>300517</v>
      </c>
      <c r="D580" t="s">
        <v>2805</v>
      </c>
      <c r="E580" t="s">
        <v>2707</v>
      </c>
      <c r="F580" t="s">
        <v>31</v>
      </c>
      <c r="G580" t="s">
        <v>2806</v>
      </c>
      <c r="H580" t="s">
        <v>33</v>
      </c>
      <c r="I580" t="s">
        <v>255</v>
      </c>
      <c r="J580" t="s">
        <v>255</v>
      </c>
      <c r="K580" t="s">
        <v>2807</v>
      </c>
      <c r="L580">
        <v>9.44</v>
      </c>
      <c r="M580">
        <v>2984.674</v>
      </c>
      <c r="N580" t="s">
        <v>2808</v>
      </c>
      <c r="O580">
        <v>10.26</v>
      </c>
      <c r="P580">
        <v>3294.552</v>
      </c>
      <c r="Q580" s="1">
        <f>(O580-L580)/L580</f>
        <v>0.086864406779661</v>
      </c>
      <c r="R580" s="1">
        <f>(P580-M580)/M580</f>
        <v>0.103823064093432</v>
      </c>
      <c r="S580" t="s">
        <v>2809</v>
      </c>
      <c r="T580">
        <v>10.14</v>
      </c>
      <c r="U580">
        <v>3292.591</v>
      </c>
      <c r="V580" s="1">
        <f>(T580-O580)/O580</f>
        <v>-0.0116959064327485</v>
      </c>
      <c r="W580" s="1">
        <f>(U580-P580)/P580</f>
        <v>-0.000595225086749349</v>
      </c>
      <c r="X580" t="s">
        <v>2806</v>
      </c>
      <c r="Y580">
        <v>10.39</v>
      </c>
      <c r="Z580">
        <v>3449.381</v>
      </c>
      <c r="AA580" s="2">
        <f>(Y580-T580)/T580</f>
        <v>0.02465483234714</v>
      </c>
      <c r="AB580" s="2">
        <f>(Z580-U580)/U580</f>
        <v>0.0476190331565627</v>
      </c>
      <c r="AC580" t="s">
        <v>2802</v>
      </c>
      <c r="AD580">
        <v>8.97</v>
      </c>
      <c r="AE580">
        <v>3356.782</v>
      </c>
      <c r="AF580" s="2">
        <f t="shared" si="47"/>
        <v>-0.136669874879692</v>
      </c>
      <c r="AG580" s="2">
        <f t="shared" si="48"/>
        <v>-0.026845106411846</v>
      </c>
      <c r="AH580" t="s">
        <v>2803</v>
      </c>
      <c r="AI580" t="s">
        <v>41</v>
      </c>
      <c r="AJ580" t="s">
        <v>41</v>
      </c>
    </row>
    <row r="581" hidden="1" spans="1:36">
      <c r="A581">
        <v>123079</v>
      </c>
      <c r="B581" t="s">
        <v>2810</v>
      </c>
      <c r="C581">
        <v>300772</v>
      </c>
      <c r="D581" t="s">
        <v>2811</v>
      </c>
      <c r="E581" t="s">
        <v>816</v>
      </c>
      <c r="F581" t="s">
        <v>41</v>
      </c>
      <c r="G581" t="s">
        <v>2471</v>
      </c>
      <c r="H581" t="s">
        <v>621</v>
      </c>
      <c r="I581" t="s">
        <v>255</v>
      </c>
      <c r="J581" t="s">
        <v>255</v>
      </c>
      <c r="K581" t="s">
        <v>255</v>
      </c>
      <c r="L581" t="s">
        <v>41</v>
      </c>
      <c r="M581" t="s">
        <v>41</v>
      </c>
      <c r="N581" t="s">
        <v>255</v>
      </c>
      <c r="O581" t="s">
        <v>41</v>
      </c>
      <c r="P581" t="s">
        <v>41</v>
      </c>
      <c r="Q581" s="2"/>
      <c r="R581" s="2"/>
      <c r="S581" t="s">
        <v>255</v>
      </c>
      <c r="T581" t="s">
        <v>41</v>
      </c>
      <c r="U581" t="s">
        <v>41</v>
      </c>
      <c r="V581" s="2"/>
      <c r="W581" s="2"/>
      <c r="X581" t="s">
        <v>2471</v>
      </c>
      <c r="Y581">
        <v>9.2</v>
      </c>
      <c r="Z581">
        <v>3451.938</v>
      </c>
      <c r="AA581" s="2"/>
      <c r="AB581" s="2"/>
      <c r="AC581" t="s">
        <v>2580</v>
      </c>
      <c r="AD581">
        <v>10.06</v>
      </c>
      <c r="AE581">
        <v>3396.563</v>
      </c>
      <c r="AF581" s="2">
        <f t="shared" si="47"/>
        <v>0.0934782608695654</v>
      </c>
      <c r="AG581" s="2">
        <f t="shared" si="48"/>
        <v>-0.0160417133795566</v>
      </c>
      <c r="AH581" t="s">
        <v>2812</v>
      </c>
      <c r="AI581" t="s">
        <v>2372</v>
      </c>
      <c r="AJ581" t="s">
        <v>625</v>
      </c>
    </row>
    <row r="582" hidden="1" spans="1:36">
      <c r="A582">
        <v>128139</v>
      </c>
      <c r="B582" t="s">
        <v>2813</v>
      </c>
      <c r="C582">
        <v>2965</v>
      </c>
      <c r="D582" t="s">
        <v>2814</v>
      </c>
      <c r="E582" t="s">
        <v>2815</v>
      </c>
      <c r="F582" t="s">
        <v>41</v>
      </c>
      <c r="G582" t="s">
        <v>2471</v>
      </c>
      <c r="H582" t="s">
        <v>621</v>
      </c>
      <c r="I582" t="s">
        <v>255</v>
      </c>
      <c r="J582" t="s">
        <v>255</v>
      </c>
      <c r="K582" t="s">
        <v>255</v>
      </c>
      <c r="L582" t="s">
        <v>41</v>
      </c>
      <c r="M582" t="s">
        <v>41</v>
      </c>
      <c r="N582" t="s">
        <v>255</v>
      </c>
      <c r="O582" t="s">
        <v>41</v>
      </c>
      <c r="P582" t="s">
        <v>41</v>
      </c>
      <c r="Q582" s="2"/>
      <c r="R582" s="2"/>
      <c r="S582" t="s">
        <v>255</v>
      </c>
      <c r="T582" t="s">
        <v>41</v>
      </c>
      <c r="U582" t="s">
        <v>41</v>
      </c>
      <c r="V582" s="2"/>
      <c r="W582" s="2"/>
      <c r="X582" t="s">
        <v>2471</v>
      </c>
      <c r="Y582">
        <v>25.68</v>
      </c>
      <c r="Z582">
        <v>3451.938</v>
      </c>
      <c r="AA582" s="2"/>
      <c r="AB582" s="2"/>
      <c r="AC582" t="s">
        <v>2721</v>
      </c>
      <c r="AD582">
        <v>24.52</v>
      </c>
      <c r="AE582">
        <v>3363.113</v>
      </c>
      <c r="AF582" s="2">
        <f t="shared" si="47"/>
        <v>-0.0451713395638629</v>
      </c>
      <c r="AG582" s="2">
        <f t="shared" si="48"/>
        <v>-0.0257319221840022</v>
      </c>
      <c r="AH582" t="s">
        <v>2812</v>
      </c>
      <c r="AI582" t="s">
        <v>1446</v>
      </c>
      <c r="AJ582" t="s">
        <v>625</v>
      </c>
    </row>
    <row r="583" hidden="1" spans="1:36">
      <c r="A583">
        <v>113610</v>
      </c>
      <c r="B583" t="s">
        <v>2816</v>
      </c>
      <c r="C583">
        <v>603669</v>
      </c>
      <c r="D583" t="s">
        <v>2817</v>
      </c>
      <c r="E583" t="s">
        <v>2818</v>
      </c>
      <c r="F583" t="s">
        <v>1208</v>
      </c>
      <c r="G583" t="s">
        <v>2471</v>
      </c>
      <c r="H583" t="s">
        <v>33</v>
      </c>
      <c r="I583" t="s">
        <v>255</v>
      </c>
      <c r="J583" t="s">
        <v>255</v>
      </c>
      <c r="K583" t="s">
        <v>255</v>
      </c>
      <c r="L583" t="s">
        <v>41</v>
      </c>
      <c r="M583" t="s">
        <v>41</v>
      </c>
      <c r="N583" t="s">
        <v>255</v>
      </c>
      <c r="O583" t="s">
        <v>41</v>
      </c>
      <c r="P583" t="s">
        <v>41</v>
      </c>
      <c r="Q583" s="2"/>
      <c r="R583" s="2"/>
      <c r="S583" t="s">
        <v>255</v>
      </c>
      <c r="T583" t="s">
        <v>41</v>
      </c>
      <c r="U583" t="s">
        <v>41</v>
      </c>
      <c r="V583" s="2"/>
      <c r="W583" s="2"/>
      <c r="X583" t="s">
        <v>2471</v>
      </c>
      <c r="Y583">
        <v>8.63</v>
      </c>
      <c r="Z583">
        <v>3451.938</v>
      </c>
      <c r="AA583" s="2"/>
      <c r="AB583" s="2"/>
      <c r="AC583" t="s">
        <v>2802</v>
      </c>
      <c r="AD583">
        <v>9.43</v>
      </c>
      <c r="AE583">
        <v>3356.782</v>
      </c>
      <c r="AF583" s="2">
        <f t="shared" si="47"/>
        <v>0.0926998841251447</v>
      </c>
      <c r="AG583" s="2">
        <f t="shared" si="48"/>
        <v>-0.0275659643944937</v>
      </c>
      <c r="AH583" t="s">
        <v>2819</v>
      </c>
      <c r="AI583" t="s">
        <v>41</v>
      </c>
      <c r="AJ583" t="s">
        <v>41</v>
      </c>
    </row>
    <row r="584" hidden="1" spans="1:36">
      <c r="A584">
        <v>113611</v>
      </c>
      <c r="B584" t="s">
        <v>2820</v>
      </c>
      <c r="C584">
        <v>603806</v>
      </c>
      <c r="D584" t="s">
        <v>1611</v>
      </c>
      <c r="E584" t="s">
        <v>905</v>
      </c>
      <c r="F584" t="s">
        <v>41</v>
      </c>
      <c r="G584" t="s">
        <v>2471</v>
      </c>
      <c r="H584" t="s">
        <v>621</v>
      </c>
      <c r="I584" t="s">
        <v>255</v>
      </c>
      <c r="J584" t="s">
        <v>255</v>
      </c>
      <c r="K584" t="s">
        <v>255</v>
      </c>
      <c r="L584" t="s">
        <v>41</v>
      </c>
      <c r="M584" t="s">
        <v>41</v>
      </c>
      <c r="N584" t="s">
        <v>255</v>
      </c>
      <c r="O584" t="s">
        <v>41</v>
      </c>
      <c r="P584" t="s">
        <v>41</v>
      </c>
      <c r="Q584" s="2"/>
      <c r="R584" s="2"/>
      <c r="S584" t="s">
        <v>255</v>
      </c>
      <c r="T584" t="s">
        <v>41</v>
      </c>
      <c r="U584" t="s">
        <v>41</v>
      </c>
      <c r="V584" s="2"/>
      <c r="W584" s="2"/>
      <c r="X584" t="s">
        <v>2471</v>
      </c>
      <c r="Y584">
        <v>20.47</v>
      </c>
      <c r="Z584">
        <v>3451.938</v>
      </c>
      <c r="AA584" s="2"/>
      <c r="AB584" s="2"/>
      <c r="AC584" t="s">
        <v>2802</v>
      </c>
      <c r="AD584">
        <v>25.59</v>
      </c>
      <c r="AE584">
        <v>3356.782</v>
      </c>
      <c r="AF584" s="2">
        <f t="shared" si="47"/>
        <v>0.250122129946263</v>
      </c>
      <c r="AG584" s="2">
        <f t="shared" si="48"/>
        <v>-0.0275659643944937</v>
      </c>
      <c r="AH584" t="s">
        <v>2812</v>
      </c>
      <c r="AI584" t="s">
        <v>2260</v>
      </c>
      <c r="AJ584" t="s">
        <v>625</v>
      </c>
    </row>
    <row r="585" spans="1:36">
      <c r="A585">
        <v>123078</v>
      </c>
      <c r="B585" t="s">
        <v>2821</v>
      </c>
      <c r="C585">
        <v>300398</v>
      </c>
      <c r="D585" t="s">
        <v>2822</v>
      </c>
      <c r="E585" t="s">
        <v>2823</v>
      </c>
      <c r="F585" t="s">
        <v>41</v>
      </c>
      <c r="G585" t="s">
        <v>2824</v>
      </c>
      <c r="H585" t="s">
        <v>621</v>
      </c>
      <c r="I585" t="s">
        <v>255</v>
      </c>
      <c r="J585" t="s">
        <v>255</v>
      </c>
      <c r="K585" t="s">
        <v>2591</v>
      </c>
      <c r="L585">
        <v>20.24</v>
      </c>
      <c r="M585">
        <v>3025.981</v>
      </c>
      <c r="N585" t="s">
        <v>2825</v>
      </c>
      <c r="O585">
        <v>23.14</v>
      </c>
      <c r="P585">
        <v>3286.822</v>
      </c>
      <c r="Q585" s="1">
        <f>(O585-L585)/L585</f>
        <v>0.143280632411067</v>
      </c>
      <c r="R585" s="1">
        <f>(P585-M585)/M585</f>
        <v>0.0862004751516946</v>
      </c>
      <c r="S585" t="s">
        <v>2826</v>
      </c>
      <c r="T585">
        <v>20.56</v>
      </c>
      <c r="U585">
        <v>3219.418</v>
      </c>
      <c r="V585" s="1">
        <f>(T585-O585)/O585</f>
        <v>-0.111495246326707</v>
      </c>
      <c r="W585" s="1">
        <f>(U585-P585)/P585</f>
        <v>-0.0205073472186811</v>
      </c>
      <c r="X585" t="s">
        <v>2824</v>
      </c>
      <c r="Y585">
        <v>17.87</v>
      </c>
      <c r="Z585">
        <v>3408.307</v>
      </c>
      <c r="AA585" s="2">
        <f>(Y585-T585)/T585</f>
        <v>-0.130836575875486</v>
      </c>
      <c r="AB585" s="2">
        <f>(Z585-U585)/U585</f>
        <v>0.058671784776006</v>
      </c>
      <c r="AC585" t="s">
        <v>2679</v>
      </c>
      <c r="AD585">
        <v>17.03</v>
      </c>
      <c r="AE585">
        <v>3366.983</v>
      </c>
      <c r="AF585" s="2">
        <f t="shared" si="47"/>
        <v>-0.047006155567991</v>
      </c>
      <c r="AG585" s="2">
        <f t="shared" si="48"/>
        <v>-0.0121244946537972</v>
      </c>
      <c r="AH585" t="s">
        <v>2827</v>
      </c>
      <c r="AI585" t="s">
        <v>471</v>
      </c>
      <c r="AJ585" t="s">
        <v>625</v>
      </c>
    </row>
    <row r="586" hidden="1" spans="1:36">
      <c r="A586">
        <v>113609</v>
      </c>
      <c r="B586" t="s">
        <v>2828</v>
      </c>
      <c r="C586">
        <v>603776</v>
      </c>
      <c r="D586" t="s">
        <v>2829</v>
      </c>
      <c r="E586" t="s">
        <v>2830</v>
      </c>
      <c r="F586" t="s">
        <v>41</v>
      </c>
      <c r="G586" t="s">
        <v>2438</v>
      </c>
      <c r="H586" t="s">
        <v>621</v>
      </c>
      <c r="I586" t="s">
        <v>255</v>
      </c>
      <c r="J586" t="s">
        <v>255</v>
      </c>
      <c r="K586" t="s">
        <v>255</v>
      </c>
      <c r="L586" t="s">
        <v>41</v>
      </c>
      <c r="M586" t="s">
        <v>41</v>
      </c>
      <c r="N586" t="s">
        <v>255</v>
      </c>
      <c r="O586" t="s">
        <v>41</v>
      </c>
      <c r="P586" t="s">
        <v>41</v>
      </c>
      <c r="Q586" s="2"/>
      <c r="R586" s="2"/>
      <c r="S586" t="s">
        <v>255</v>
      </c>
      <c r="T586" t="s">
        <v>41</v>
      </c>
      <c r="U586" t="s">
        <v>41</v>
      </c>
      <c r="V586" s="2"/>
      <c r="W586" s="2"/>
      <c r="X586" t="s">
        <v>2438</v>
      </c>
      <c r="Y586">
        <v>14.91</v>
      </c>
      <c r="Z586">
        <v>3402.823</v>
      </c>
      <c r="AA586" s="2"/>
      <c r="AB586" s="2"/>
      <c r="AC586" t="s">
        <v>2465</v>
      </c>
      <c r="AD586">
        <v>13.6</v>
      </c>
      <c r="AE586">
        <v>3382.32</v>
      </c>
      <c r="AF586" s="2">
        <f t="shared" si="47"/>
        <v>-0.0878604963112006</v>
      </c>
      <c r="AG586" s="2">
        <f t="shared" si="48"/>
        <v>-0.0060252913536789</v>
      </c>
      <c r="AH586" t="s">
        <v>2831</v>
      </c>
      <c r="AI586" t="s">
        <v>436</v>
      </c>
      <c r="AJ586" t="s">
        <v>625</v>
      </c>
    </row>
    <row r="587" spans="1:36">
      <c r="A587">
        <v>123077</v>
      </c>
      <c r="B587" t="s">
        <v>2832</v>
      </c>
      <c r="C587">
        <v>300170</v>
      </c>
      <c r="D587" t="s">
        <v>2833</v>
      </c>
      <c r="E587" t="s">
        <v>2834</v>
      </c>
      <c r="F587" t="s">
        <v>41</v>
      </c>
      <c r="G587" t="s">
        <v>2421</v>
      </c>
      <c r="H587" t="s">
        <v>621</v>
      </c>
      <c r="I587" t="s">
        <v>255</v>
      </c>
      <c r="J587" t="s">
        <v>255</v>
      </c>
      <c r="K587" t="s">
        <v>2835</v>
      </c>
      <c r="L587">
        <v>10.34</v>
      </c>
      <c r="M587">
        <v>3403.44</v>
      </c>
      <c r="N587" t="s">
        <v>2464</v>
      </c>
      <c r="O587">
        <v>9.68</v>
      </c>
      <c r="P587">
        <v>3223.176</v>
      </c>
      <c r="Q587" s="1">
        <f>(O587-L587)/L587</f>
        <v>-0.0638297872340426</v>
      </c>
      <c r="R587" s="1">
        <f>(P587-M587)/M587</f>
        <v>-0.0529652351738242</v>
      </c>
      <c r="S587" t="s">
        <v>2760</v>
      </c>
      <c r="T587">
        <v>9.3</v>
      </c>
      <c r="U587">
        <v>3320.133</v>
      </c>
      <c r="V587" s="1">
        <f>(T587-O587)/O587</f>
        <v>-0.0392561983471073</v>
      </c>
      <c r="W587" s="1">
        <f>(U587-P587)/P587</f>
        <v>0.0300811994132495</v>
      </c>
      <c r="X587" t="s">
        <v>2421</v>
      </c>
      <c r="Y587">
        <v>9.14</v>
      </c>
      <c r="Z587">
        <v>3414.49</v>
      </c>
      <c r="AA587" s="2">
        <f>(Y587-T587)/T587</f>
        <v>-0.0172043010752688</v>
      </c>
      <c r="AB587" s="2">
        <f>(Z587-U587)/U587</f>
        <v>0.0284196446347179</v>
      </c>
      <c r="AC587" t="s">
        <v>2652</v>
      </c>
      <c r="AD587">
        <v>8.66</v>
      </c>
      <c r="AE587">
        <v>3367.233</v>
      </c>
      <c r="AF587" s="2">
        <f t="shared" si="47"/>
        <v>-0.0525164113785558</v>
      </c>
      <c r="AG587" s="2">
        <f t="shared" si="48"/>
        <v>-0.0138401342513815</v>
      </c>
      <c r="AH587" t="s">
        <v>2836</v>
      </c>
      <c r="AI587" t="s">
        <v>812</v>
      </c>
      <c r="AJ587" t="s">
        <v>625</v>
      </c>
    </row>
    <row r="588" hidden="1" spans="1:36">
      <c r="A588">
        <v>110077</v>
      </c>
      <c r="B588" t="s">
        <v>2837</v>
      </c>
      <c r="C588">
        <v>600461</v>
      </c>
      <c r="D588" t="s">
        <v>2838</v>
      </c>
      <c r="E588" t="s">
        <v>266</v>
      </c>
      <c r="F588" t="s">
        <v>98</v>
      </c>
      <c r="G588" t="s">
        <v>2839</v>
      </c>
      <c r="H588" t="s">
        <v>33</v>
      </c>
      <c r="I588" t="s">
        <v>255</v>
      </c>
      <c r="J588" t="s">
        <v>255</v>
      </c>
      <c r="K588" t="s">
        <v>255</v>
      </c>
      <c r="L588" t="s">
        <v>41</v>
      </c>
      <c r="M588" t="s">
        <v>41</v>
      </c>
      <c r="N588" t="s">
        <v>255</v>
      </c>
      <c r="O588" t="s">
        <v>41</v>
      </c>
      <c r="P588" t="s">
        <v>41</v>
      </c>
      <c r="Q588" s="2"/>
      <c r="R588" s="2"/>
      <c r="S588" t="s">
        <v>255</v>
      </c>
      <c r="T588" t="s">
        <v>41</v>
      </c>
      <c r="U588" t="s">
        <v>41</v>
      </c>
      <c r="V588" s="2"/>
      <c r="W588" s="2"/>
      <c r="X588" t="s">
        <v>2839</v>
      </c>
      <c r="Y588">
        <v>4.68</v>
      </c>
      <c r="Z588">
        <v>3377.727</v>
      </c>
      <c r="AA588" s="2"/>
      <c r="AB588" s="2"/>
      <c r="AC588" t="s">
        <v>2623</v>
      </c>
      <c r="AD588">
        <v>4.44</v>
      </c>
      <c r="AE588">
        <v>3404.873</v>
      </c>
      <c r="AF588" s="2">
        <f t="shared" si="47"/>
        <v>-0.0512820512820511</v>
      </c>
      <c r="AG588" s="2">
        <f t="shared" si="48"/>
        <v>0.00803676555269274</v>
      </c>
      <c r="AH588" t="s">
        <v>2840</v>
      </c>
      <c r="AI588" t="s">
        <v>41</v>
      </c>
      <c r="AJ588" t="s">
        <v>41</v>
      </c>
    </row>
    <row r="589" spans="1:36">
      <c r="A589">
        <v>123076</v>
      </c>
      <c r="B589" t="s">
        <v>2841</v>
      </c>
      <c r="C589">
        <v>300429</v>
      </c>
      <c r="D589" t="s">
        <v>2842</v>
      </c>
      <c r="E589" t="s">
        <v>390</v>
      </c>
      <c r="F589" t="s">
        <v>56</v>
      </c>
      <c r="G589" t="s">
        <v>2843</v>
      </c>
      <c r="H589" t="s">
        <v>33</v>
      </c>
      <c r="I589" t="s">
        <v>255</v>
      </c>
      <c r="J589" t="s">
        <v>255</v>
      </c>
      <c r="K589" t="s">
        <v>2591</v>
      </c>
      <c r="L589">
        <v>17.53</v>
      </c>
      <c r="M589">
        <v>3025.981</v>
      </c>
      <c r="N589" t="s">
        <v>2464</v>
      </c>
      <c r="O589">
        <v>18.26</v>
      </c>
      <c r="P589">
        <v>3223.176</v>
      </c>
      <c r="Q589" s="1">
        <f>(O589-L589)/L589</f>
        <v>0.0416428978893326</v>
      </c>
      <c r="R589" s="1">
        <f>(P589-M589)/M589</f>
        <v>0.0651672961594933</v>
      </c>
      <c r="S589" t="s">
        <v>2844</v>
      </c>
      <c r="T589">
        <v>17.06</v>
      </c>
      <c r="U589">
        <v>3224.533</v>
      </c>
      <c r="V589" s="1">
        <f>(T589-O589)/O589</f>
        <v>-0.0657174151150056</v>
      </c>
      <c r="W589" s="1">
        <f>(U589-P589)/P589</f>
        <v>0.00042101331109439</v>
      </c>
      <c r="X589" t="s">
        <v>2843</v>
      </c>
      <c r="Y589">
        <v>17.71</v>
      </c>
      <c r="Z589">
        <v>3363.088</v>
      </c>
      <c r="AA589" s="2">
        <f>(Y589-T589)/T589</f>
        <v>0.0381008206330599</v>
      </c>
      <c r="AB589" s="2">
        <f>(Z589-U589)/U589</f>
        <v>0.0429690128772136</v>
      </c>
      <c r="AC589" t="s">
        <v>2845</v>
      </c>
      <c r="AD589">
        <v>18.87</v>
      </c>
      <c r="AE589">
        <v>3444.581</v>
      </c>
      <c r="AF589" s="2">
        <f t="shared" si="47"/>
        <v>0.0654997176736307</v>
      </c>
      <c r="AG589" s="2">
        <f t="shared" si="48"/>
        <v>0.0242315990542025</v>
      </c>
      <c r="AH589" t="s">
        <v>2846</v>
      </c>
      <c r="AI589" t="s">
        <v>41</v>
      </c>
      <c r="AJ589" t="s">
        <v>41</v>
      </c>
    </row>
    <row r="590" hidden="1" spans="1:36">
      <c r="A590">
        <v>128138</v>
      </c>
      <c r="B590" t="s">
        <v>2847</v>
      </c>
      <c r="C590">
        <v>2973</v>
      </c>
      <c r="D590" t="s">
        <v>2848</v>
      </c>
      <c r="E590" t="s">
        <v>1485</v>
      </c>
      <c r="F590" t="s">
        <v>31</v>
      </c>
      <c r="G590" t="s">
        <v>2551</v>
      </c>
      <c r="H590" t="s">
        <v>33</v>
      </c>
      <c r="I590" t="s">
        <v>255</v>
      </c>
      <c r="J590" t="s">
        <v>255</v>
      </c>
      <c r="K590" t="s">
        <v>255</v>
      </c>
      <c r="L590" t="s">
        <v>41</v>
      </c>
      <c r="M590" t="s">
        <v>41</v>
      </c>
      <c r="N590" t="s">
        <v>255</v>
      </c>
      <c r="O590" t="s">
        <v>41</v>
      </c>
      <c r="P590" t="s">
        <v>41</v>
      </c>
      <c r="Q590" s="2"/>
      <c r="R590" s="2"/>
      <c r="S590" t="s">
        <v>255</v>
      </c>
      <c r="T590" t="s">
        <v>41</v>
      </c>
      <c r="U590" t="s">
        <v>41</v>
      </c>
      <c r="V590" s="2"/>
      <c r="W590" s="2"/>
      <c r="X590" t="s">
        <v>2551</v>
      </c>
      <c r="Y590">
        <v>24.06</v>
      </c>
      <c r="Z590">
        <v>3339.895</v>
      </c>
      <c r="AA590" s="2"/>
      <c r="AB590" s="2"/>
      <c r="AC590" t="s">
        <v>2721</v>
      </c>
      <c r="AD590">
        <v>22.23</v>
      </c>
      <c r="AE590">
        <v>3363.113</v>
      </c>
      <c r="AF590" s="2">
        <f t="shared" si="47"/>
        <v>-0.0760598503740648</v>
      </c>
      <c r="AG590" s="2">
        <f t="shared" si="48"/>
        <v>0.00695171554794383</v>
      </c>
      <c r="AH590" t="s">
        <v>2849</v>
      </c>
      <c r="AI590" t="s">
        <v>41</v>
      </c>
      <c r="AJ590" t="s">
        <v>41</v>
      </c>
    </row>
    <row r="591" hidden="1" spans="1:36">
      <c r="A591">
        <v>113608</v>
      </c>
      <c r="B591" t="s">
        <v>2850</v>
      </c>
      <c r="C591">
        <v>603956</v>
      </c>
      <c r="D591" t="s">
        <v>2851</v>
      </c>
      <c r="E591" t="s">
        <v>1485</v>
      </c>
      <c r="F591" t="s">
        <v>41</v>
      </c>
      <c r="G591" t="s">
        <v>2852</v>
      </c>
      <c r="H591" t="s">
        <v>621</v>
      </c>
      <c r="I591" t="s">
        <v>255</v>
      </c>
      <c r="J591" t="s">
        <v>255</v>
      </c>
      <c r="K591" t="s">
        <v>255</v>
      </c>
      <c r="L591" t="s">
        <v>41</v>
      </c>
      <c r="M591" t="s">
        <v>41</v>
      </c>
      <c r="N591" t="s">
        <v>255</v>
      </c>
      <c r="O591" t="s">
        <v>41</v>
      </c>
      <c r="P591" t="s">
        <v>41</v>
      </c>
      <c r="Q591" s="2"/>
      <c r="R591" s="2"/>
      <c r="S591" t="s">
        <v>255</v>
      </c>
      <c r="T591" t="s">
        <v>41</v>
      </c>
      <c r="U591" t="s">
        <v>41</v>
      </c>
      <c r="V591" s="2"/>
      <c r="W591" s="2"/>
      <c r="X591" t="s">
        <v>2852</v>
      </c>
      <c r="Y591">
        <v>18.43</v>
      </c>
      <c r="Z591">
        <v>3373.734</v>
      </c>
      <c r="AA591" s="2"/>
      <c r="AB591" s="2"/>
      <c r="AC591" t="s">
        <v>2824</v>
      </c>
      <c r="AD591">
        <v>17.57</v>
      </c>
      <c r="AE591">
        <v>3408.307</v>
      </c>
      <c r="AF591" s="2">
        <f t="shared" si="47"/>
        <v>-0.0466630493760173</v>
      </c>
      <c r="AG591" s="2">
        <f t="shared" si="48"/>
        <v>0.0102476958764384</v>
      </c>
      <c r="AH591" t="s">
        <v>2853</v>
      </c>
      <c r="AI591" t="s">
        <v>331</v>
      </c>
      <c r="AJ591" t="s">
        <v>625</v>
      </c>
    </row>
    <row r="592" hidden="1" spans="1:36">
      <c r="A592">
        <v>127025</v>
      </c>
      <c r="B592" t="s">
        <v>2854</v>
      </c>
      <c r="C592">
        <v>401</v>
      </c>
      <c r="D592" t="s">
        <v>2855</v>
      </c>
      <c r="E592" t="s">
        <v>2856</v>
      </c>
      <c r="F592" t="s">
        <v>444</v>
      </c>
      <c r="G592" t="s">
        <v>2760</v>
      </c>
      <c r="H592" t="s">
        <v>33</v>
      </c>
      <c r="I592" t="s">
        <v>255</v>
      </c>
      <c r="J592" t="s">
        <v>255</v>
      </c>
      <c r="K592" t="s">
        <v>255</v>
      </c>
      <c r="L592" t="s">
        <v>41</v>
      </c>
      <c r="M592" t="s">
        <v>41</v>
      </c>
      <c r="N592" t="s">
        <v>255</v>
      </c>
      <c r="O592" t="s">
        <v>41</v>
      </c>
      <c r="P592" t="s">
        <v>41</v>
      </c>
      <c r="Q592" s="2"/>
      <c r="R592" s="2"/>
      <c r="S592" t="s">
        <v>255</v>
      </c>
      <c r="T592" t="s">
        <v>41</v>
      </c>
      <c r="U592" t="s">
        <v>41</v>
      </c>
      <c r="V592" s="2"/>
      <c r="W592" s="2"/>
      <c r="X592" t="s">
        <v>2760</v>
      </c>
      <c r="Y592">
        <v>14.28</v>
      </c>
      <c r="Z592">
        <v>3320.133</v>
      </c>
      <c r="AA592" s="2"/>
      <c r="AB592" s="2"/>
      <c r="AC592" t="s">
        <v>2806</v>
      </c>
      <c r="AD592">
        <v>14.45</v>
      </c>
      <c r="AE592">
        <v>3449.381</v>
      </c>
      <c r="AF592" s="2">
        <f t="shared" si="47"/>
        <v>0.0119047619047619</v>
      </c>
      <c r="AG592" s="2">
        <f t="shared" si="48"/>
        <v>0.0389285609943939</v>
      </c>
      <c r="AH592" t="s">
        <v>2857</v>
      </c>
      <c r="AI592" t="s">
        <v>41</v>
      </c>
      <c r="AJ592" t="s">
        <v>41</v>
      </c>
    </row>
    <row r="593" hidden="1" spans="1:36">
      <c r="A593">
        <v>127024</v>
      </c>
      <c r="B593" t="s">
        <v>2858</v>
      </c>
      <c r="C593">
        <v>967</v>
      </c>
      <c r="D593" t="s">
        <v>2859</v>
      </c>
      <c r="E593" t="s">
        <v>2860</v>
      </c>
      <c r="F593" t="s">
        <v>98</v>
      </c>
      <c r="G593" t="s">
        <v>2861</v>
      </c>
      <c r="H593" t="s">
        <v>33</v>
      </c>
      <c r="I593" t="s">
        <v>255</v>
      </c>
      <c r="J593" t="s">
        <v>255</v>
      </c>
      <c r="K593" t="s">
        <v>255</v>
      </c>
      <c r="L593" t="s">
        <v>41</v>
      </c>
      <c r="M593" t="s">
        <v>41</v>
      </c>
      <c r="N593" t="s">
        <v>255</v>
      </c>
      <c r="O593" t="s">
        <v>41</v>
      </c>
      <c r="P593" t="s">
        <v>41</v>
      </c>
      <c r="Q593" s="2"/>
      <c r="R593" s="2"/>
      <c r="S593" t="s">
        <v>255</v>
      </c>
      <c r="T593" t="s">
        <v>41</v>
      </c>
      <c r="U593" t="s">
        <v>41</v>
      </c>
      <c r="V593" s="2"/>
      <c r="W593" s="2"/>
      <c r="X593" t="s">
        <v>2861</v>
      </c>
      <c r="Y593">
        <v>7.84</v>
      </c>
      <c r="Z593">
        <v>3277.44</v>
      </c>
      <c r="AA593" s="2"/>
      <c r="AB593" s="2"/>
      <c r="AC593" t="s">
        <v>2806</v>
      </c>
      <c r="AD593">
        <v>8.25</v>
      </c>
      <c r="AE593">
        <v>3449.381</v>
      </c>
      <c r="AF593" s="2">
        <f t="shared" si="47"/>
        <v>0.052295918367347</v>
      </c>
      <c r="AG593" s="2">
        <f t="shared" si="48"/>
        <v>0.0524619825229447</v>
      </c>
      <c r="AH593" t="s">
        <v>2862</v>
      </c>
      <c r="AI593" t="s">
        <v>41</v>
      </c>
      <c r="AJ593" t="s">
        <v>41</v>
      </c>
    </row>
    <row r="594" hidden="1" spans="1:36">
      <c r="A594">
        <v>128137</v>
      </c>
      <c r="B594" t="s">
        <v>2863</v>
      </c>
      <c r="C594">
        <v>2859</v>
      </c>
      <c r="D594" t="s">
        <v>2864</v>
      </c>
      <c r="E594" t="s">
        <v>1114</v>
      </c>
      <c r="F594" t="s">
        <v>56</v>
      </c>
      <c r="G594" t="s">
        <v>2861</v>
      </c>
      <c r="H594" t="s">
        <v>33</v>
      </c>
      <c r="I594" t="s">
        <v>255</v>
      </c>
      <c r="J594" t="s">
        <v>255</v>
      </c>
      <c r="K594" t="s">
        <v>255</v>
      </c>
      <c r="L594" t="s">
        <v>41</v>
      </c>
      <c r="M594" t="s">
        <v>41</v>
      </c>
      <c r="N594" t="s">
        <v>255</v>
      </c>
      <c r="O594" t="s">
        <v>41</v>
      </c>
      <c r="P594" t="s">
        <v>41</v>
      </c>
      <c r="Q594" s="2"/>
      <c r="R594" s="2"/>
      <c r="S594" t="s">
        <v>255</v>
      </c>
      <c r="T594" t="s">
        <v>41</v>
      </c>
      <c r="U594" t="s">
        <v>41</v>
      </c>
      <c r="V594" s="2"/>
      <c r="W594" s="2"/>
      <c r="X594" t="s">
        <v>2861</v>
      </c>
      <c r="Y594">
        <v>24.97</v>
      </c>
      <c r="Z594">
        <v>3277.44</v>
      </c>
      <c r="AA594" s="2"/>
      <c r="AB594" s="2"/>
      <c r="AC594" t="s">
        <v>2471</v>
      </c>
      <c r="AD594">
        <v>23.75</v>
      </c>
      <c r="AE594">
        <v>3451.938</v>
      </c>
      <c r="AF594" s="2">
        <f t="shared" si="47"/>
        <v>-0.0488586303564277</v>
      </c>
      <c r="AG594" s="2">
        <f t="shared" si="48"/>
        <v>0.0532421646162859</v>
      </c>
      <c r="AH594" t="s">
        <v>2862</v>
      </c>
      <c r="AI594" t="s">
        <v>41</v>
      </c>
      <c r="AJ594" t="s">
        <v>41</v>
      </c>
    </row>
    <row r="595" hidden="1" spans="1:36">
      <c r="A595">
        <v>128136</v>
      </c>
      <c r="B595" t="s">
        <v>2865</v>
      </c>
      <c r="C595">
        <v>2475</v>
      </c>
      <c r="D595" t="s">
        <v>2866</v>
      </c>
      <c r="E595" t="s">
        <v>325</v>
      </c>
      <c r="F595" t="s">
        <v>98</v>
      </c>
      <c r="G595" t="s">
        <v>2867</v>
      </c>
      <c r="H595" t="s">
        <v>33</v>
      </c>
      <c r="I595" t="s">
        <v>255</v>
      </c>
      <c r="J595" t="s">
        <v>255</v>
      </c>
      <c r="K595" t="s">
        <v>255</v>
      </c>
      <c r="L595" t="s">
        <v>41</v>
      </c>
      <c r="M595" t="s">
        <v>41</v>
      </c>
      <c r="N595" t="s">
        <v>255</v>
      </c>
      <c r="O595" t="s">
        <v>41</v>
      </c>
      <c r="P595" t="s">
        <v>41</v>
      </c>
      <c r="Q595" s="2"/>
      <c r="R595" s="2"/>
      <c r="S595" t="s">
        <v>255</v>
      </c>
      <c r="T595" t="s">
        <v>41</v>
      </c>
      <c r="U595" t="s">
        <v>41</v>
      </c>
      <c r="V595" s="2"/>
      <c r="W595" s="2"/>
      <c r="X595" t="s">
        <v>2867</v>
      </c>
      <c r="Y595">
        <v>56</v>
      </c>
      <c r="Z595">
        <v>3271.074</v>
      </c>
      <c r="AA595" s="2"/>
      <c r="AB595" s="2"/>
      <c r="AC595" t="s">
        <v>2806</v>
      </c>
      <c r="AD595">
        <v>50.75</v>
      </c>
      <c r="AE595">
        <v>3449.381</v>
      </c>
      <c r="AF595" s="2">
        <f t="shared" si="47"/>
        <v>-0.09375</v>
      </c>
      <c r="AG595" s="2">
        <f t="shared" si="48"/>
        <v>0.054510231196237</v>
      </c>
      <c r="AH595" t="s">
        <v>2868</v>
      </c>
      <c r="AI595" t="s">
        <v>41</v>
      </c>
      <c r="AJ595" t="s">
        <v>41</v>
      </c>
    </row>
    <row r="596" hidden="1" spans="1:36">
      <c r="A596">
        <v>113041</v>
      </c>
      <c r="B596" t="s">
        <v>2869</v>
      </c>
      <c r="C596">
        <v>601899</v>
      </c>
      <c r="D596" t="s">
        <v>2870</v>
      </c>
      <c r="E596" t="s">
        <v>1769</v>
      </c>
      <c r="F596" t="s">
        <v>41</v>
      </c>
      <c r="G596" t="s">
        <v>2867</v>
      </c>
      <c r="H596" t="s">
        <v>621</v>
      </c>
      <c r="I596" t="s">
        <v>255</v>
      </c>
      <c r="J596" t="s">
        <v>255</v>
      </c>
      <c r="K596" t="s">
        <v>255</v>
      </c>
      <c r="L596" t="s">
        <v>41</v>
      </c>
      <c r="M596" t="s">
        <v>41</v>
      </c>
      <c r="N596" t="s">
        <v>255</v>
      </c>
      <c r="O596" t="s">
        <v>41</v>
      </c>
      <c r="P596" t="s">
        <v>41</v>
      </c>
      <c r="Q596" s="2"/>
      <c r="R596" s="2"/>
      <c r="S596" t="s">
        <v>255</v>
      </c>
      <c r="T596" t="s">
        <v>41</v>
      </c>
      <c r="U596" t="s">
        <v>41</v>
      </c>
      <c r="V596" s="2"/>
      <c r="W596" s="2"/>
      <c r="X596" t="s">
        <v>2867</v>
      </c>
      <c r="Y596">
        <v>6.28</v>
      </c>
      <c r="Z596">
        <v>3271.074</v>
      </c>
      <c r="AA596" s="2"/>
      <c r="AB596" s="2"/>
      <c r="AC596" t="s">
        <v>2824</v>
      </c>
      <c r="AD596">
        <v>7.58</v>
      </c>
      <c r="AE596">
        <v>3408.307</v>
      </c>
      <c r="AF596" s="2">
        <f t="shared" si="47"/>
        <v>0.207006369426752</v>
      </c>
      <c r="AG596" s="2">
        <f t="shared" si="48"/>
        <v>0.0419534990648331</v>
      </c>
      <c r="AH596" t="s">
        <v>2871</v>
      </c>
      <c r="AI596" t="s">
        <v>2872</v>
      </c>
      <c r="AJ596" t="s">
        <v>625</v>
      </c>
    </row>
    <row r="597" spans="1:36">
      <c r="A597">
        <v>123075</v>
      </c>
      <c r="B597" t="s">
        <v>2873</v>
      </c>
      <c r="C597">
        <v>300580</v>
      </c>
      <c r="D597" t="s">
        <v>2874</v>
      </c>
      <c r="E597" t="s">
        <v>1114</v>
      </c>
      <c r="F597" t="s">
        <v>41</v>
      </c>
      <c r="G597" t="s">
        <v>2875</v>
      </c>
      <c r="H597" t="s">
        <v>621</v>
      </c>
      <c r="I597" t="s">
        <v>255</v>
      </c>
      <c r="J597" t="s">
        <v>255</v>
      </c>
      <c r="K597" t="s">
        <v>2807</v>
      </c>
      <c r="L597">
        <v>7.77</v>
      </c>
      <c r="M597">
        <v>2984.674</v>
      </c>
      <c r="N597" t="s">
        <v>2876</v>
      </c>
      <c r="O597">
        <v>9.74</v>
      </c>
      <c r="P597">
        <v>3329.739</v>
      </c>
      <c r="Q597" s="1">
        <f>(O597-L597)/L597</f>
        <v>0.253539253539254</v>
      </c>
      <c r="R597" s="1">
        <f>(P597-M597)/M597</f>
        <v>0.115612291325619</v>
      </c>
      <c r="S597" t="s">
        <v>2592</v>
      </c>
      <c r="T597">
        <v>9.55</v>
      </c>
      <c r="U597">
        <v>3336.358</v>
      </c>
      <c r="V597" s="1">
        <f>(T597-O597)/O597</f>
        <v>-0.0195071868583162</v>
      </c>
      <c r="W597" s="1">
        <f>(U597-P597)/P597</f>
        <v>0.00198784349163707</v>
      </c>
      <c r="X597" t="s">
        <v>2875</v>
      </c>
      <c r="Y597">
        <v>12.44</v>
      </c>
      <c r="Z597">
        <v>3225.12</v>
      </c>
      <c r="AA597" s="2">
        <f>(Y597-T597)/T597</f>
        <v>0.30261780104712</v>
      </c>
      <c r="AB597" s="2">
        <f>(Z597-U597)/U597</f>
        <v>-0.0333411462438984</v>
      </c>
      <c r="AC597" t="s">
        <v>2421</v>
      </c>
      <c r="AD597">
        <v>11.65</v>
      </c>
      <c r="AE597">
        <v>3414.49</v>
      </c>
      <c r="AF597" s="2">
        <f t="shared" si="47"/>
        <v>-0.0635048231511253</v>
      </c>
      <c r="AG597" s="2">
        <f t="shared" si="48"/>
        <v>0.0587171950191</v>
      </c>
      <c r="AH597" t="s">
        <v>2877</v>
      </c>
      <c r="AI597" t="s">
        <v>1200</v>
      </c>
      <c r="AJ597" t="s">
        <v>625</v>
      </c>
    </row>
    <row r="598" hidden="1" spans="1:36">
      <c r="A598">
        <v>110076</v>
      </c>
      <c r="B598" t="s">
        <v>2878</v>
      </c>
      <c r="C598">
        <v>600521</v>
      </c>
      <c r="D598" t="s">
        <v>2879</v>
      </c>
      <c r="E598" t="s">
        <v>2880</v>
      </c>
      <c r="F598" t="s">
        <v>397</v>
      </c>
      <c r="G598" t="s">
        <v>2875</v>
      </c>
      <c r="H598" t="s">
        <v>33</v>
      </c>
      <c r="I598" t="s">
        <v>255</v>
      </c>
      <c r="J598" t="s">
        <v>255</v>
      </c>
      <c r="K598" t="s">
        <v>255</v>
      </c>
      <c r="L598" t="s">
        <v>41</v>
      </c>
      <c r="M598" t="s">
        <v>41</v>
      </c>
      <c r="N598" t="s">
        <v>255</v>
      </c>
      <c r="O598" t="s">
        <v>41</v>
      </c>
      <c r="P598" t="s">
        <v>41</v>
      </c>
      <c r="Q598" s="2"/>
      <c r="R598" s="2"/>
      <c r="S598" t="s">
        <v>255</v>
      </c>
      <c r="T598" t="s">
        <v>41</v>
      </c>
      <c r="U598" t="s">
        <v>41</v>
      </c>
      <c r="V598" s="2"/>
      <c r="W598" s="2"/>
      <c r="X598" t="s">
        <v>2875</v>
      </c>
      <c r="Y598">
        <v>32.34</v>
      </c>
      <c r="Z598">
        <v>3225.12</v>
      </c>
      <c r="AA598" s="2"/>
      <c r="AB598" s="2"/>
      <c r="AC598" t="s">
        <v>2664</v>
      </c>
      <c r="AD598">
        <v>29.27</v>
      </c>
      <c r="AE598">
        <v>3362.327</v>
      </c>
      <c r="AF598" s="2">
        <f t="shared" si="47"/>
        <v>-0.0949288806431665</v>
      </c>
      <c r="AG598" s="2">
        <f t="shared" si="48"/>
        <v>0.0425432231978966</v>
      </c>
      <c r="AH598" t="s">
        <v>2877</v>
      </c>
      <c r="AI598" t="s">
        <v>41</v>
      </c>
      <c r="AJ598" t="s">
        <v>41</v>
      </c>
    </row>
    <row r="599" hidden="1" spans="1:36">
      <c r="A599">
        <v>113607</v>
      </c>
      <c r="B599" t="s">
        <v>2881</v>
      </c>
      <c r="C599">
        <v>603568</v>
      </c>
      <c r="D599" t="s">
        <v>823</v>
      </c>
      <c r="E599" t="s">
        <v>232</v>
      </c>
      <c r="F599" t="s">
        <v>41</v>
      </c>
      <c r="G599" t="s">
        <v>2875</v>
      </c>
      <c r="H599" t="s">
        <v>621</v>
      </c>
      <c r="I599" t="s">
        <v>255</v>
      </c>
      <c r="J599" t="s">
        <v>255</v>
      </c>
      <c r="K599" t="s">
        <v>255</v>
      </c>
      <c r="L599" t="s">
        <v>41</v>
      </c>
      <c r="M599" t="s">
        <v>41</v>
      </c>
      <c r="N599" t="s">
        <v>255</v>
      </c>
      <c r="O599" t="s">
        <v>41</v>
      </c>
      <c r="P599" t="s">
        <v>41</v>
      </c>
      <c r="Q599" s="2"/>
      <c r="R599" s="2"/>
      <c r="S599" t="s">
        <v>255</v>
      </c>
      <c r="T599" t="s">
        <v>41</v>
      </c>
      <c r="U599" t="s">
        <v>41</v>
      </c>
      <c r="V599" s="2"/>
      <c r="W599" s="2"/>
      <c r="X599" t="s">
        <v>2875</v>
      </c>
      <c r="Y599">
        <v>16.78</v>
      </c>
      <c r="Z599">
        <v>3225.12</v>
      </c>
      <c r="AA599" s="2"/>
      <c r="AB599" s="2"/>
      <c r="AC599" t="s">
        <v>2824</v>
      </c>
      <c r="AD599">
        <v>15.05</v>
      </c>
      <c r="AE599">
        <v>3408.307</v>
      </c>
      <c r="AF599" s="2">
        <f t="shared" si="47"/>
        <v>-0.103098927294398</v>
      </c>
      <c r="AG599" s="2">
        <f t="shared" si="48"/>
        <v>0.0568000570521407</v>
      </c>
      <c r="AH599" t="s">
        <v>2882</v>
      </c>
      <c r="AI599" t="s">
        <v>1958</v>
      </c>
      <c r="AJ599" t="s">
        <v>625</v>
      </c>
    </row>
    <row r="600" hidden="1" spans="1:36">
      <c r="A600">
        <v>113606</v>
      </c>
      <c r="B600" t="s">
        <v>2883</v>
      </c>
      <c r="C600">
        <v>603579</v>
      </c>
      <c r="D600" t="s">
        <v>2884</v>
      </c>
      <c r="E600" t="s">
        <v>1114</v>
      </c>
      <c r="F600" t="s">
        <v>41</v>
      </c>
      <c r="G600" t="s">
        <v>2844</v>
      </c>
      <c r="H600" t="s">
        <v>621</v>
      </c>
      <c r="I600" t="s">
        <v>255</v>
      </c>
      <c r="J600" t="s">
        <v>255</v>
      </c>
      <c r="K600" t="s">
        <v>255</v>
      </c>
      <c r="L600" t="s">
        <v>41</v>
      </c>
      <c r="M600" t="s">
        <v>41</v>
      </c>
      <c r="N600" t="s">
        <v>255</v>
      </c>
      <c r="O600" t="s">
        <v>41</v>
      </c>
      <c r="P600" t="s">
        <v>41</v>
      </c>
      <c r="Q600" s="2"/>
      <c r="R600" s="2"/>
      <c r="S600" t="s">
        <v>255</v>
      </c>
      <c r="T600" t="s">
        <v>41</v>
      </c>
      <c r="U600" t="s">
        <v>41</v>
      </c>
      <c r="V600" s="2"/>
      <c r="W600" s="2"/>
      <c r="X600" t="s">
        <v>2844</v>
      </c>
      <c r="Y600">
        <v>22.16</v>
      </c>
      <c r="Z600">
        <v>3224.533</v>
      </c>
      <c r="AA600" s="2"/>
      <c r="AB600" s="2"/>
      <c r="AC600" t="s">
        <v>2839</v>
      </c>
      <c r="AD600">
        <v>23.36</v>
      </c>
      <c r="AE600">
        <v>3377.727</v>
      </c>
      <c r="AF600" s="2">
        <f t="shared" si="47"/>
        <v>0.0541516245487364</v>
      </c>
      <c r="AG600" s="2">
        <f t="shared" si="48"/>
        <v>0.0475088950865133</v>
      </c>
      <c r="AH600" t="s">
        <v>2885</v>
      </c>
      <c r="AI600" t="s">
        <v>298</v>
      </c>
      <c r="AJ600" t="s">
        <v>625</v>
      </c>
    </row>
    <row r="601" spans="1:36">
      <c r="A601">
        <v>123074</v>
      </c>
      <c r="B601" t="s">
        <v>2886</v>
      </c>
      <c r="C601">
        <v>300752</v>
      </c>
      <c r="D601" t="s">
        <v>2887</v>
      </c>
      <c r="E601" t="s">
        <v>2888</v>
      </c>
      <c r="F601" t="s">
        <v>41</v>
      </c>
      <c r="G601" t="s">
        <v>2889</v>
      </c>
      <c r="H601" t="s">
        <v>621</v>
      </c>
      <c r="I601" t="s">
        <v>255</v>
      </c>
      <c r="J601" t="s">
        <v>255</v>
      </c>
      <c r="K601" t="s">
        <v>2627</v>
      </c>
      <c r="L601">
        <v>17.48</v>
      </c>
      <c r="M601">
        <v>3332.881</v>
      </c>
      <c r="N601" t="s">
        <v>2890</v>
      </c>
      <c r="O601">
        <v>16.38</v>
      </c>
      <c r="P601">
        <v>3350.113</v>
      </c>
      <c r="Q601" s="1">
        <f>(O601-L601)/L601</f>
        <v>-0.0629290617848971</v>
      </c>
      <c r="R601" s="1">
        <f>(P601-M601)/M601</f>
        <v>0.00517030160992846</v>
      </c>
      <c r="S601" t="s">
        <v>2637</v>
      </c>
      <c r="T601">
        <v>18.48</v>
      </c>
      <c r="U601">
        <v>3358.465</v>
      </c>
      <c r="V601" s="1">
        <f>(T601-O601)/O601</f>
        <v>0.128205128205128</v>
      </c>
      <c r="W601" s="1">
        <f>(U601-P601)/P601</f>
        <v>0.00249305023442502</v>
      </c>
      <c r="X601" t="s">
        <v>2889</v>
      </c>
      <c r="Y601">
        <v>17.83</v>
      </c>
      <c r="Z601">
        <v>3272.727</v>
      </c>
      <c r="AA601" s="2">
        <f>(Y601-T601)/T601</f>
        <v>-0.0351731601731603</v>
      </c>
      <c r="AB601" s="2">
        <f>(Z601-U601)/U601</f>
        <v>-0.0255289246724323</v>
      </c>
      <c r="AC601" t="s">
        <v>2891</v>
      </c>
      <c r="AD601">
        <v>18.57</v>
      </c>
      <c r="AE601">
        <v>3346.969</v>
      </c>
      <c r="AF601" s="2">
        <f t="shared" si="47"/>
        <v>0.041503084688727</v>
      </c>
      <c r="AG601" s="2">
        <f t="shared" si="48"/>
        <v>0.0226850574459771</v>
      </c>
      <c r="AH601" t="s">
        <v>2892</v>
      </c>
      <c r="AI601" t="s">
        <v>2893</v>
      </c>
      <c r="AJ601" t="s">
        <v>625</v>
      </c>
    </row>
    <row r="602" spans="1:36">
      <c r="A602">
        <v>123073</v>
      </c>
      <c r="B602" t="s">
        <v>2894</v>
      </c>
      <c r="C602">
        <v>300636</v>
      </c>
      <c r="D602" t="s">
        <v>2895</v>
      </c>
      <c r="E602" t="s">
        <v>1051</v>
      </c>
      <c r="F602" t="s">
        <v>41</v>
      </c>
      <c r="G602" t="s">
        <v>2896</v>
      </c>
      <c r="H602" t="s">
        <v>621</v>
      </c>
      <c r="I602" t="s">
        <v>255</v>
      </c>
      <c r="J602" t="s">
        <v>255</v>
      </c>
      <c r="K602" t="s">
        <v>2615</v>
      </c>
      <c r="L602">
        <v>16.44</v>
      </c>
      <c r="M602">
        <v>3090.569</v>
      </c>
      <c r="N602" t="s">
        <v>2897</v>
      </c>
      <c r="O602">
        <v>13.15</v>
      </c>
      <c r="P602">
        <v>3320.726</v>
      </c>
      <c r="Q602" s="1">
        <f>(O602-L602)/L602</f>
        <v>-0.200121654501217</v>
      </c>
      <c r="R602" s="1">
        <f>(P602-M602)/M602</f>
        <v>0.0744707527966534</v>
      </c>
      <c r="S602" t="s">
        <v>2770</v>
      </c>
      <c r="T602">
        <v>14.51</v>
      </c>
      <c r="U602">
        <v>3279.711</v>
      </c>
      <c r="V602" s="1">
        <f>(T602-O602)/O602</f>
        <v>0.103422053231939</v>
      </c>
      <c r="W602" s="1">
        <f>(U602-P602)/P602</f>
        <v>-0.0123512147644823</v>
      </c>
      <c r="X602" t="s">
        <v>2896</v>
      </c>
      <c r="Y602">
        <v>14.34</v>
      </c>
      <c r="Z602">
        <v>3251.119</v>
      </c>
      <c r="AA602" s="2">
        <f>(Y602-T602)/T602</f>
        <v>-0.0117160578911096</v>
      </c>
      <c r="AB602" s="2">
        <f>(Z602-U602)/U602</f>
        <v>-0.00871784129760203</v>
      </c>
      <c r="AC602" t="s">
        <v>2891</v>
      </c>
      <c r="AD602">
        <v>12.36</v>
      </c>
      <c r="AE602">
        <v>3346.969</v>
      </c>
      <c r="AF602" s="2">
        <f t="shared" si="47"/>
        <v>-0.138075313807531</v>
      </c>
      <c r="AG602" s="2">
        <f t="shared" si="48"/>
        <v>0.0294821567589497</v>
      </c>
      <c r="AH602" t="s">
        <v>2898</v>
      </c>
      <c r="AI602" t="s">
        <v>2899</v>
      </c>
      <c r="AJ602" t="s">
        <v>625</v>
      </c>
    </row>
    <row r="603" hidden="1" spans="1:36">
      <c r="A603">
        <v>127023</v>
      </c>
      <c r="B603" t="s">
        <v>2900</v>
      </c>
      <c r="C603">
        <v>932</v>
      </c>
      <c r="D603" t="s">
        <v>2901</v>
      </c>
      <c r="E603" t="s">
        <v>379</v>
      </c>
      <c r="F603" t="s">
        <v>41</v>
      </c>
      <c r="G603" t="s">
        <v>2558</v>
      </c>
      <c r="H603" t="s">
        <v>621</v>
      </c>
      <c r="I603" t="s">
        <v>255</v>
      </c>
      <c r="J603" t="s">
        <v>255</v>
      </c>
      <c r="K603" t="s">
        <v>255</v>
      </c>
      <c r="L603" t="s">
        <v>41</v>
      </c>
      <c r="M603" t="s">
        <v>41</v>
      </c>
      <c r="N603" t="s">
        <v>255</v>
      </c>
      <c r="O603" t="s">
        <v>41</v>
      </c>
      <c r="P603" t="s">
        <v>41</v>
      </c>
      <c r="Q603" s="2"/>
      <c r="R603" s="2"/>
      <c r="S603" t="s">
        <v>255</v>
      </c>
      <c r="T603" t="s">
        <v>41</v>
      </c>
      <c r="U603" t="s">
        <v>41</v>
      </c>
      <c r="V603" s="2"/>
      <c r="W603" s="2"/>
      <c r="X603" t="s">
        <v>2558</v>
      </c>
      <c r="Y603">
        <v>3.9</v>
      </c>
      <c r="Z603">
        <v>3277.997</v>
      </c>
      <c r="AA603" s="2"/>
      <c r="AB603" s="2"/>
      <c r="AC603" t="s">
        <v>2843</v>
      </c>
      <c r="AD603">
        <v>4.46</v>
      </c>
      <c r="AE603">
        <v>3363.088</v>
      </c>
      <c r="AF603" s="2">
        <f t="shared" si="47"/>
        <v>0.143589743589744</v>
      </c>
      <c r="AG603" s="2">
        <f t="shared" si="48"/>
        <v>0.0259582299800764</v>
      </c>
      <c r="AH603" t="s">
        <v>2902</v>
      </c>
      <c r="AI603" t="s">
        <v>2408</v>
      </c>
      <c r="AJ603" t="s">
        <v>625</v>
      </c>
    </row>
    <row r="604" hidden="1" spans="1:36">
      <c r="A604">
        <v>113040</v>
      </c>
      <c r="B604" t="s">
        <v>2903</v>
      </c>
      <c r="C604">
        <v>601799</v>
      </c>
      <c r="D604" t="s">
        <v>2904</v>
      </c>
      <c r="E604" t="s">
        <v>155</v>
      </c>
      <c r="F604" t="s">
        <v>41</v>
      </c>
      <c r="G604" t="s">
        <v>2162</v>
      </c>
      <c r="H604" t="s">
        <v>621</v>
      </c>
      <c r="I604" t="s">
        <v>255</v>
      </c>
      <c r="J604" t="s">
        <v>255</v>
      </c>
      <c r="K604" t="s">
        <v>255</v>
      </c>
      <c r="L604" t="s">
        <v>41</v>
      </c>
      <c r="M604" t="s">
        <v>41</v>
      </c>
      <c r="N604" t="s">
        <v>255</v>
      </c>
      <c r="O604" t="s">
        <v>41</v>
      </c>
      <c r="P604" t="s">
        <v>41</v>
      </c>
      <c r="Q604" s="2"/>
      <c r="R604" s="2"/>
      <c r="S604" t="s">
        <v>255</v>
      </c>
      <c r="T604" t="s">
        <v>41</v>
      </c>
      <c r="U604" t="s">
        <v>41</v>
      </c>
      <c r="V604" s="2"/>
      <c r="W604" s="2"/>
      <c r="X604" t="s">
        <v>2162</v>
      </c>
      <c r="Y604">
        <v>152.37</v>
      </c>
      <c r="Z604">
        <v>3312.501</v>
      </c>
      <c r="AA604" s="2"/>
      <c r="AB604" s="2"/>
      <c r="AC604" t="s">
        <v>2891</v>
      </c>
      <c r="AD604">
        <v>189.3</v>
      </c>
      <c r="AE604">
        <v>3346.969</v>
      </c>
      <c r="AF604" s="2">
        <f t="shared" si="47"/>
        <v>0.242370545382949</v>
      </c>
      <c r="AG604" s="2">
        <f t="shared" si="48"/>
        <v>0.010405430821002</v>
      </c>
      <c r="AH604" t="s">
        <v>2905</v>
      </c>
      <c r="AI604" t="s">
        <v>2906</v>
      </c>
      <c r="AJ604" t="s">
        <v>625</v>
      </c>
    </row>
    <row r="605" hidden="1" spans="1:36">
      <c r="A605">
        <v>113605</v>
      </c>
      <c r="B605" t="s">
        <v>2907</v>
      </c>
      <c r="C605">
        <v>603233</v>
      </c>
      <c r="D605" t="s">
        <v>2908</v>
      </c>
      <c r="E605" t="s">
        <v>2909</v>
      </c>
      <c r="F605" t="s">
        <v>397</v>
      </c>
      <c r="G605" t="s">
        <v>2162</v>
      </c>
      <c r="H605" t="s">
        <v>33</v>
      </c>
      <c r="I605" t="s">
        <v>255</v>
      </c>
      <c r="J605" t="s">
        <v>255</v>
      </c>
      <c r="K605" t="s">
        <v>255</v>
      </c>
      <c r="L605" t="s">
        <v>41</v>
      </c>
      <c r="M605" t="s">
        <v>41</v>
      </c>
      <c r="N605" t="s">
        <v>255</v>
      </c>
      <c r="O605" t="s">
        <v>41</v>
      </c>
      <c r="P605" t="s">
        <v>41</v>
      </c>
      <c r="Q605" s="2"/>
      <c r="R605" s="2"/>
      <c r="S605" t="s">
        <v>255</v>
      </c>
      <c r="T605" t="s">
        <v>41</v>
      </c>
      <c r="U605" t="s">
        <v>41</v>
      </c>
      <c r="V605" s="2"/>
      <c r="W605" s="2"/>
      <c r="X605" t="s">
        <v>2162</v>
      </c>
      <c r="Y605">
        <v>47.67</v>
      </c>
      <c r="Z605">
        <v>3312.501</v>
      </c>
      <c r="AA605" s="2"/>
      <c r="AB605" s="2"/>
      <c r="AC605" t="s">
        <v>2910</v>
      </c>
      <c r="AD605">
        <v>54.83</v>
      </c>
      <c r="AE605">
        <v>3310.105</v>
      </c>
      <c r="AF605" s="2">
        <f t="shared" si="47"/>
        <v>0.150199286763163</v>
      </c>
      <c r="AG605" s="2">
        <f t="shared" si="48"/>
        <v>-0.00072332053635612</v>
      </c>
      <c r="AH605" t="s">
        <v>2902</v>
      </c>
      <c r="AI605" t="s">
        <v>41</v>
      </c>
      <c r="AJ605" t="s">
        <v>41</v>
      </c>
    </row>
    <row r="606" spans="1:36">
      <c r="A606">
        <v>123071</v>
      </c>
      <c r="B606" t="s">
        <v>2911</v>
      </c>
      <c r="C606">
        <v>300569</v>
      </c>
      <c r="D606" t="s">
        <v>2912</v>
      </c>
      <c r="E606" t="s">
        <v>1015</v>
      </c>
      <c r="F606" t="s">
        <v>56</v>
      </c>
      <c r="G606" t="s">
        <v>2913</v>
      </c>
      <c r="H606" t="s">
        <v>33</v>
      </c>
      <c r="I606" t="s">
        <v>255</v>
      </c>
      <c r="J606" t="s">
        <v>255</v>
      </c>
      <c r="K606" t="s">
        <v>2807</v>
      </c>
      <c r="L606">
        <v>4.33</v>
      </c>
      <c r="M606">
        <v>2984.674</v>
      </c>
      <c r="N606" t="s">
        <v>2914</v>
      </c>
      <c r="O606">
        <v>5.55</v>
      </c>
      <c r="P606">
        <v>3443.286</v>
      </c>
      <c r="Q606" s="1">
        <f>(O606-L606)/L606</f>
        <v>0.28175519630485</v>
      </c>
      <c r="R606" s="1">
        <f>(P606-M606)/M606</f>
        <v>0.153655642123729</v>
      </c>
      <c r="S606" t="s">
        <v>2651</v>
      </c>
      <c r="T606">
        <v>10.05</v>
      </c>
      <c r="U606">
        <v>3217.535</v>
      </c>
      <c r="V606" s="1">
        <f>(T606-O606)/O606</f>
        <v>0.810810810810811</v>
      </c>
      <c r="W606" s="1">
        <f>(U606-P606)/P606</f>
        <v>-0.0655626631072761</v>
      </c>
      <c r="X606" t="s">
        <v>2913</v>
      </c>
      <c r="Y606">
        <v>10.38</v>
      </c>
      <c r="Z606">
        <v>3325.025</v>
      </c>
      <c r="AA606" s="2">
        <f>(Y606-T606)/T606</f>
        <v>0.0328358208955224</v>
      </c>
      <c r="AB606" s="2">
        <f>(Z606-U606)/U606</f>
        <v>0.0334075620001026</v>
      </c>
      <c r="AC606" t="s">
        <v>2664</v>
      </c>
      <c r="AD606">
        <v>9.69</v>
      </c>
      <c r="AE606">
        <v>3362.327</v>
      </c>
      <c r="AF606" s="2">
        <f t="shared" si="47"/>
        <v>-0.0664739884393065</v>
      </c>
      <c r="AG606" s="2">
        <f t="shared" si="48"/>
        <v>0.0112185622664492</v>
      </c>
      <c r="AH606" t="s">
        <v>2905</v>
      </c>
      <c r="AI606" t="s">
        <v>41</v>
      </c>
      <c r="AJ606" t="s">
        <v>41</v>
      </c>
    </row>
    <row r="607" spans="1:36">
      <c r="A607">
        <v>123072</v>
      </c>
      <c r="B607" t="s">
        <v>2915</v>
      </c>
      <c r="C607">
        <v>300729</v>
      </c>
      <c r="D607" t="s">
        <v>2916</v>
      </c>
      <c r="E607" t="s">
        <v>2917</v>
      </c>
      <c r="F607" t="s">
        <v>31</v>
      </c>
      <c r="G607" t="s">
        <v>2913</v>
      </c>
      <c r="H607" t="s">
        <v>33</v>
      </c>
      <c r="I607" t="s">
        <v>255</v>
      </c>
      <c r="J607" t="s">
        <v>255</v>
      </c>
      <c r="K607" t="s">
        <v>2615</v>
      </c>
      <c r="L607">
        <v>18.68</v>
      </c>
      <c r="M607">
        <v>3090.569</v>
      </c>
      <c r="N607" t="s">
        <v>2918</v>
      </c>
      <c r="O607">
        <v>15.15</v>
      </c>
      <c r="P607">
        <v>3214.129</v>
      </c>
      <c r="Q607" s="1">
        <f>(O607-L607)/L607</f>
        <v>-0.188972162740899</v>
      </c>
      <c r="R607" s="1">
        <f>(P607-M607)/M607</f>
        <v>0.0399796930597569</v>
      </c>
      <c r="S607" t="s">
        <v>2622</v>
      </c>
      <c r="T607">
        <v>27.95</v>
      </c>
      <c r="U607">
        <v>3404.802</v>
      </c>
      <c r="V607" s="1">
        <f>(T607-O607)/O607</f>
        <v>0.844884488448845</v>
      </c>
      <c r="W607" s="1">
        <f>(U607-P607)/P607</f>
        <v>0.0593233812332984</v>
      </c>
      <c r="X607" t="s">
        <v>2913</v>
      </c>
      <c r="Y607">
        <v>41.91</v>
      </c>
      <c r="Z607">
        <v>3325.025</v>
      </c>
      <c r="AA607" s="2">
        <f>(Y607-T607)/T607</f>
        <v>0.499463327370304</v>
      </c>
      <c r="AB607" s="2">
        <f>(Z607-U607)/U607</f>
        <v>-0.0234307310674747</v>
      </c>
      <c r="AC607" t="s">
        <v>2919</v>
      </c>
      <c r="AD607">
        <v>33.19</v>
      </c>
      <c r="AE607">
        <v>3360.149</v>
      </c>
      <c r="AF607" s="2">
        <f t="shared" si="47"/>
        <v>-0.208064900978287</v>
      </c>
      <c r="AG607" s="2">
        <f t="shared" si="48"/>
        <v>0.0105635295975218</v>
      </c>
      <c r="AH607" t="s">
        <v>2905</v>
      </c>
      <c r="AI607" t="s">
        <v>41</v>
      </c>
      <c r="AJ607" t="s">
        <v>41</v>
      </c>
    </row>
    <row r="608" spans="1:36">
      <c r="A608">
        <v>123070</v>
      </c>
      <c r="B608" t="s">
        <v>2920</v>
      </c>
      <c r="C608">
        <v>300438</v>
      </c>
      <c r="D608" t="s">
        <v>2921</v>
      </c>
      <c r="E608" t="s">
        <v>2922</v>
      </c>
      <c r="F608" t="s">
        <v>41</v>
      </c>
      <c r="G608" t="s">
        <v>2672</v>
      </c>
      <c r="H608" t="s">
        <v>621</v>
      </c>
      <c r="I608" t="s">
        <v>255</v>
      </c>
      <c r="J608" t="s">
        <v>255</v>
      </c>
      <c r="K608" t="s">
        <v>2799</v>
      </c>
      <c r="L608">
        <v>17.46</v>
      </c>
      <c r="M608">
        <v>3152.813</v>
      </c>
      <c r="N608" t="s">
        <v>2808</v>
      </c>
      <c r="O608">
        <v>18.55</v>
      </c>
      <c r="P608">
        <v>3294.552</v>
      </c>
      <c r="Q608" s="1">
        <f>(O608-L608)/L608</f>
        <v>0.0624284077892325</v>
      </c>
      <c r="R608" s="1">
        <f>(P608-M608)/M608</f>
        <v>0.0449563611923701</v>
      </c>
      <c r="S608" t="s">
        <v>2809</v>
      </c>
      <c r="T608">
        <v>16.36</v>
      </c>
      <c r="U608">
        <v>3292.591</v>
      </c>
      <c r="V608" s="1">
        <f>(T608-O608)/O608</f>
        <v>-0.118059299191375</v>
      </c>
      <c r="W608" s="1">
        <f>(U608-P608)/P608</f>
        <v>-0.000595225086749349</v>
      </c>
      <c r="X608" t="s">
        <v>2672</v>
      </c>
      <c r="Y608">
        <v>18.92</v>
      </c>
      <c r="Z608">
        <v>3328.103</v>
      </c>
      <c r="AA608" s="2">
        <f>(Y608-T608)/T608</f>
        <v>0.156479217603912</v>
      </c>
      <c r="AB608" s="2">
        <f>(Z608-U608)/U608</f>
        <v>0.0107854270390705</v>
      </c>
      <c r="AC608" t="s">
        <v>2923</v>
      </c>
      <c r="AD608">
        <v>21.33</v>
      </c>
      <c r="AE608">
        <v>3312.159</v>
      </c>
      <c r="AF608" s="2">
        <f t="shared" si="47"/>
        <v>0.12737843551797</v>
      </c>
      <c r="AG608" s="2">
        <f t="shared" si="48"/>
        <v>-0.00479071711422392</v>
      </c>
      <c r="AH608" t="s">
        <v>2924</v>
      </c>
      <c r="AI608" t="s">
        <v>1145</v>
      </c>
      <c r="AJ608" t="s">
        <v>625</v>
      </c>
    </row>
    <row r="609" hidden="1" spans="1:36">
      <c r="A609">
        <v>128135</v>
      </c>
      <c r="B609" t="s">
        <v>2925</v>
      </c>
      <c r="C609">
        <v>2557</v>
      </c>
      <c r="D609" t="s">
        <v>2926</v>
      </c>
      <c r="E609" t="s">
        <v>2927</v>
      </c>
      <c r="F609" t="s">
        <v>397</v>
      </c>
      <c r="G609" t="s">
        <v>2672</v>
      </c>
      <c r="H609" t="s">
        <v>33</v>
      </c>
      <c r="I609" t="s">
        <v>255</v>
      </c>
      <c r="J609" t="s">
        <v>255</v>
      </c>
      <c r="K609" t="s">
        <v>255</v>
      </c>
      <c r="L609" t="s">
        <v>41</v>
      </c>
      <c r="M609" t="s">
        <v>41</v>
      </c>
      <c r="N609" t="s">
        <v>255</v>
      </c>
      <c r="O609" t="s">
        <v>41</v>
      </c>
      <c r="P609" t="s">
        <v>41</v>
      </c>
      <c r="Q609" s="2"/>
      <c r="R609" s="2"/>
      <c r="S609" t="s">
        <v>255</v>
      </c>
      <c r="T609" t="s">
        <v>41</v>
      </c>
      <c r="U609" t="s">
        <v>41</v>
      </c>
      <c r="V609" s="2"/>
      <c r="W609" s="2"/>
      <c r="X609" t="s">
        <v>2672</v>
      </c>
      <c r="Y609">
        <v>54.51</v>
      </c>
      <c r="Z609">
        <v>3328.103</v>
      </c>
      <c r="AA609" s="2"/>
      <c r="AB609" s="2"/>
      <c r="AC609" t="s">
        <v>2928</v>
      </c>
      <c r="AD609">
        <v>49.83</v>
      </c>
      <c r="AE609">
        <v>3347.303</v>
      </c>
      <c r="AF609" s="2">
        <f t="shared" si="47"/>
        <v>-0.0858558062740781</v>
      </c>
      <c r="AG609" s="2">
        <f t="shared" si="48"/>
        <v>0.00576905221983809</v>
      </c>
      <c r="AH609" t="s">
        <v>2929</v>
      </c>
      <c r="AI609" t="s">
        <v>41</v>
      </c>
      <c r="AJ609" t="s">
        <v>41</v>
      </c>
    </row>
    <row r="610" hidden="1" spans="1:36">
      <c r="A610">
        <v>127022</v>
      </c>
      <c r="B610" t="s">
        <v>2930</v>
      </c>
      <c r="C610">
        <v>703</v>
      </c>
      <c r="D610" t="s">
        <v>1853</v>
      </c>
      <c r="E610" t="s">
        <v>194</v>
      </c>
      <c r="F610" t="s">
        <v>98</v>
      </c>
      <c r="G610" t="s">
        <v>2592</v>
      </c>
      <c r="H610" t="s">
        <v>33</v>
      </c>
      <c r="I610" t="s">
        <v>255</v>
      </c>
      <c r="J610" t="s">
        <v>255</v>
      </c>
      <c r="K610" t="s">
        <v>255</v>
      </c>
      <c r="L610" t="s">
        <v>41</v>
      </c>
      <c r="M610" t="s">
        <v>41</v>
      </c>
      <c r="N610" t="s">
        <v>255</v>
      </c>
      <c r="O610" t="s">
        <v>41</v>
      </c>
      <c r="P610" t="s">
        <v>41</v>
      </c>
      <c r="Q610" s="2"/>
      <c r="R610" s="2"/>
      <c r="S610" t="s">
        <v>255</v>
      </c>
      <c r="T610" t="s">
        <v>41</v>
      </c>
      <c r="U610" t="s">
        <v>41</v>
      </c>
      <c r="V610" s="2"/>
      <c r="W610" s="2"/>
      <c r="X610" t="s">
        <v>2592</v>
      </c>
      <c r="Y610">
        <v>10.81</v>
      </c>
      <c r="Z610">
        <v>3336.358</v>
      </c>
      <c r="AA610" s="2"/>
      <c r="AB610" s="2"/>
      <c r="AC610" t="s">
        <v>2891</v>
      </c>
      <c r="AD610">
        <v>13.72</v>
      </c>
      <c r="AE610">
        <v>3346.969</v>
      </c>
      <c r="AF610" s="2">
        <f t="shared" si="47"/>
        <v>0.269195189639223</v>
      </c>
      <c r="AG610" s="2">
        <f t="shared" si="48"/>
        <v>0.00318041409225265</v>
      </c>
      <c r="AH610" t="s">
        <v>2931</v>
      </c>
      <c r="AI610" t="s">
        <v>41</v>
      </c>
      <c r="AJ610" t="s">
        <v>41</v>
      </c>
    </row>
    <row r="611" spans="1:36">
      <c r="A611">
        <v>123069</v>
      </c>
      <c r="B611" t="s">
        <v>2932</v>
      </c>
      <c r="C611">
        <v>300505</v>
      </c>
      <c r="D611" t="s">
        <v>2933</v>
      </c>
      <c r="E611" t="s">
        <v>2934</v>
      </c>
      <c r="F611" t="s">
        <v>41</v>
      </c>
      <c r="G611" t="s">
        <v>2592</v>
      </c>
      <c r="H611" t="s">
        <v>621</v>
      </c>
      <c r="I611" t="s">
        <v>255</v>
      </c>
      <c r="J611" t="s">
        <v>255</v>
      </c>
      <c r="K611" t="s">
        <v>2935</v>
      </c>
      <c r="L611">
        <v>9.27</v>
      </c>
      <c r="M611">
        <v>2961.516</v>
      </c>
      <c r="N611" t="s">
        <v>2936</v>
      </c>
      <c r="O611">
        <v>11.95</v>
      </c>
      <c r="P611">
        <v>3386.463</v>
      </c>
      <c r="Q611" s="1">
        <f>(O611-L611)/L611</f>
        <v>0.289104638619202</v>
      </c>
      <c r="R611" s="1">
        <f>(P611-M611)/M611</f>
        <v>0.143489685688006</v>
      </c>
      <c r="S611" t="s">
        <v>2770</v>
      </c>
      <c r="T611">
        <v>12.21</v>
      </c>
      <c r="U611">
        <v>3279.711</v>
      </c>
      <c r="V611" s="1">
        <f>(T611-O611)/O611</f>
        <v>0.0217573221757324</v>
      </c>
      <c r="W611" s="1">
        <f>(U611-P611)/P611</f>
        <v>-0.0315231555755962</v>
      </c>
      <c r="X611" t="s">
        <v>2592</v>
      </c>
      <c r="Y611">
        <v>12.04</v>
      </c>
      <c r="Z611">
        <v>3336.358</v>
      </c>
      <c r="AA611" s="2">
        <f>(Y611-T611)/T611</f>
        <v>-0.0139230139230141</v>
      </c>
      <c r="AB611" s="2">
        <f>(Z611-U611)/U611</f>
        <v>0.0172719486564519</v>
      </c>
      <c r="AC611" t="s">
        <v>2760</v>
      </c>
      <c r="AD611">
        <v>13.53</v>
      </c>
      <c r="AE611">
        <v>3320.133</v>
      </c>
      <c r="AF611" s="2">
        <f t="shared" si="47"/>
        <v>0.12375415282392</v>
      </c>
      <c r="AG611" s="2">
        <f t="shared" si="48"/>
        <v>-0.00486308723464339</v>
      </c>
      <c r="AH611" t="s">
        <v>2937</v>
      </c>
      <c r="AI611" t="s">
        <v>2083</v>
      </c>
      <c r="AJ611" t="s">
        <v>625</v>
      </c>
    </row>
    <row r="612" spans="1:36">
      <c r="A612">
        <v>123068</v>
      </c>
      <c r="B612" t="s">
        <v>2938</v>
      </c>
      <c r="C612">
        <v>300657</v>
      </c>
      <c r="D612" t="s">
        <v>2939</v>
      </c>
      <c r="E612" t="s">
        <v>1135</v>
      </c>
      <c r="F612" t="s">
        <v>41</v>
      </c>
      <c r="G612" t="s">
        <v>2658</v>
      </c>
      <c r="H612" t="s">
        <v>621</v>
      </c>
      <c r="I612" t="s">
        <v>255</v>
      </c>
      <c r="J612" t="s">
        <v>255</v>
      </c>
      <c r="K612" t="s">
        <v>2615</v>
      </c>
      <c r="L612">
        <v>17.13</v>
      </c>
      <c r="M612">
        <v>3090.569</v>
      </c>
      <c r="N612" t="s">
        <v>2940</v>
      </c>
      <c r="O612">
        <v>20.24</v>
      </c>
      <c r="P612">
        <v>3196.768</v>
      </c>
      <c r="Q612" s="1">
        <f>(O612-L612)/L612</f>
        <v>0.181552831290134</v>
      </c>
      <c r="R612" s="1">
        <f>(P612-M612)/M612</f>
        <v>0.0343622808615501</v>
      </c>
      <c r="S612" t="s">
        <v>2622</v>
      </c>
      <c r="T612">
        <v>17.03</v>
      </c>
      <c r="U612">
        <v>3404.802</v>
      </c>
      <c r="V612" s="1">
        <f>(T612-O612)/O612</f>
        <v>-0.158596837944664</v>
      </c>
      <c r="W612" s="1">
        <f>(U612-P612)/P612</f>
        <v>0.0650763521156368</v>
      </c>
      <c r="X612" t="s">
        <v>2658</v>
      </c>
      <c r="Y612">
        <v>14.48</v>
      </c>
      <c r="Z612">
        <v>3332.183</v>
      </c>
      <c r="AA612" s="2">
        <f>(Y612-T612)/T612</f>
        <v>-0.149735760422783</v>
      </c>
      <c r="AB612" s="2">
        <f>(Z612-U612)/U612</f>
        <v>-0.0213284061745735</v>
      </c>
      <c r="AC612" t="s">
        <v>2861</v>
      </c>
      <c r="AD612">
        <v>14.53</v>
      </c>
      <c r="AE612">
        <v>3277.44</v>
      </c>
      <c r="AF612" s="2">
        <f t="shared" si="47"/>
        <v>0.00345303867403308</v>
      </c>
      <c r="AG612" s="2">
        <f t="shared" si="48"/>
        <v>-0.0164285694993342</v>
      </c>
      <c r="AH612" t="s">
        <v>2941</v>
      </c>
      <c r="AI612" t="s">
        <v>2942</v>
      </c>
      <c r="AJ612" t="s">
        <v>625</v>
      </c>
    </row>
    <row r="613" hidden="1" spans="1:36">
      <c r="A613">
        <v>110075</v>
      </c>
      <c r="B613" t="s">
        <v>2943</v>
      </c>
      <c r="C613">
        <v>600029</v>
      </c>
      <c r="D613" t="s">
        <v>2944</v>
      </c>
      <c r="E613" t="s">
        <v>2945</v>
      </c>
      <c r="F613" t="s">
        <v>444</v>
      </c>
      <c r="G613" t="s">
        <v>2658</v>
      </c>
      <c r="H613" t="s">
        <v>33</v>
      </c>
      <c r="I613" t="s">
        <v>255</v>
      </c>
      <c r="J613" t="s">
        <v>255</v>
      </c>
      <c r="K613" t="s">
        <v>255</v>
      </c>
      <c r="L613" t="s">
        <v>41</v>
      </c>
      <c r="M613" t="s">
        <v>41</v>
      </c>
      <c r="N613" t="s">
        <v>255</v>
      </c>
      <c r="O613" t="s">
        <v>41</v>
      </c>
      <c r="P613" t="s">
        <v>41</v>
      </c>
      <c r="Q613" s="2"/>
      <c r="R613" s="2"/>
      <c r="S613" t="s">
        <v>255</v>
      </c>
      <c r="T613" t="s">
        <v>41</v>
      </c>
      <c r="U613" t="s">
        <v>41</v>
      </c>
      <c r="V613" s="2"/>
      <c r="W613" s="2"/>
      <c r="X613" t="s">
        <v>2658</v>
      </c>
      <c r="Y613">
        <v>5.87</v>
      </c>
      <c r="Z613">
        <v>3332.183</v>
      </c>
      <c r="AA613" s="2"/>
      <c r="AB613" s="2"/>
      <c r="AC613" t="s">
        <v>2867</v>
      </c>
      <c r="AD613">
        <v>5.5</v>
      </c>
      <c r="AE613">
        <v>3271.074</v>
      </c>
      <c r="AF613" s="2">
        <f t="shared" si="47"/>
        <v>-0.0630323679727428</v>
      </c>
      <c r="AG613" s="2">
        <f t="shared" si="48"/>
        <v>-0.0183390287988385</v>
      </c>
      <c r="AH613" t="s">
        <v>2937</v>
      </c>
      <c r="AI613" t="s">
        <v>41</v>
      </c>
      <c r="AJ613" t="s">
        <v>41</v>
      </c>
    </row>
    <row r="614" hidden="1" spans="1:36">
      <c r="A614">
        <v>113604</v>
      </c>
      <c r="B614" t="s">
        <v>2946</v>
      </c>
      <c r="C614">
        <v>603528</v>
      </c>
      <c r="D614" t="s">
        <v>2947</v>
      </c>
      <c r="E614" t="s">
        <v>1233</v>
      </c>
      <c r="F614" t="s">
        <v>41</v>
      </c>
      <c r="G614" t="s">
        <v>2543</v>
      </c>
      <c r="H614" t="s">
        <v>621</v>
      </c>
      <c r="I614" t="s">
        <v>255</v>
      </c>
      <c r="J614" t="s">
        <v>255</v>
      </c>
      <c r="K614" t="s">
        <v>255</v>
      </c>
      <c r="L614" t="s">
        <v>41</v>
      </c>
      <c r="M614" t="s">
        <v>41</v>
      </c>
      <c r="N614" t="s">
        <v>255</v>
      </c>
      <c r="O614" t="s">
        <v>41</v>
      </c>
      <c r="P614" t="s">
        <v>41</v>
      </c>
      <c r="Q614" s="2"/>
      <c r="R614" s="2"/>
      <c r="S614" t="s">
        <v>255</v>
      </c>
      <c r="T614" t="s">
        <v>41</v>
      </c>
      <c r="U614" t="s">
        <v>41</v>
      </c>
      <c r="V614" s="2"/>
      <c r="W614" s="2"/>
      <c r="X614" t="s">
        <v>2543</v>
      </c>
      <c r="Y614">
        <v>11.27</v>
      </c>
      <c r="Z614">
        <v>3359.75</v>
      </c>
      <c r="AA614" s="2"/>
      <c r="AB614" s="2"/>
      <c r="AC614" t="s">
        <v>2551</v>
      </c>
      <c r="AD614">
        <v>11.84</v>
      </c>
      <c r="AE614">
        <v>3339.895</v>
      </c>
      <c r="AF614" s="2">
        <f t="shared" si="47"/>
        <v>0.0505767524401065</v>
      </c>
      <c r="AG614" s="2">
        <f t="shared" si="48"/>
        <v>-0.00590966589776026</v>
      </c>
      <c r="AH614" t="s">
        <v>2948</v>
      </c>
      <c r="AI614" t="s">
        <v>352</v>
      </c>
      <c r="AJ614" t="s">
        <v>625</v>
      </c>
    </row>
    <row r="615" hidden="1" spans="1:36">
      <c r="A615">
        <v>128134</v>
      </c>
      <c r="B615" t="s">
        <v>2949</v>
      </c>
      <c r="C615">
        <v>2541</v>
      </c>
      <c r="D615" t="s">
        <v>2950</v>
      </c>
      <c r="E615" t="s">
        <v>344</v>
      </c>
      <c r="F615" t="s">
        <v>397</v>
      </c>
      <c r="G615" t="s">
        <v>2951</v>
      </c>
      <c r="H615" t="s">
        <v>33</v>
      </c>
      <c r="I615" t="s">
        <v>255</v>
      </c>
      <c r="J615" t="s">
        <v>255</v>
      </c>
      <c r="K615" t="s">
        <v>255</v>
      </c>
      <c r="L615" t="s">
        <v>41</v>
      </c>
      <c r="M615" t="s">
        <v>41</v>
      </c>
      <c r="N615" t="s">
        <v>255</v>
      </c>
      <c r="O615" t="s">
        <v>41</v>
      </c>
      <c r="P615" t="s">
        <v>41</v>
      </c>
      <c r="Q615" s="2"/>
      <c r="R615" s="2"/>
      <c r="S615" t="s">
        <v>255</v>
      </c>
      <c r="T615" t="s">
        <v>41</v>
      </c>
      <c r="U615" t="s">
        <v>41</v>
      </c>
      <c r="V615" s="2"/>
      <c r="W615" s="2"/>
      <c r="X615" t="s">
        <v>2951</v>
      </c>
      <c r="Y615">
        <v>33.68</v>
      </c>
      <c r="Z615">
        <v>3272.076</v>
      </c>
      <c r="AA615" s="2"/>
      <c r="AB615" s="2"/>
      <c r="AC615" t="s">
        <v>2875</v>
      </c>
      <c r="AD615">
        <v>27.74</v>
      </c>
      <c r="AE615">
        <v>3225.12</v>
      </c>
      <c r="AF615" s="2">
        <f t="shared" si="47"/>
        <v>-0.176365795724466</v>
      </c>
      <c r="AG615" s="2">
        <f t="shared" si="48"/>
        <v>-0.0143505224206284</v>
      </c>
      <c r="AH615" t="s">
        <v>2952</v>
      </c>
      <c r="AI615" t="s">
        <v>41</v>
      </c>
      <c r="AJ615" t="s">
        <v>41</v>
      </c>
    </row>
    <row r="616" hidden="1" spans="1:36">
      <c r="A616">
        <v>113603</v>
      </c>
      <c r="B616" t="s">
        <v>2953</v>
      </c>
      <c r="C616">
        <v>603606</v>
      </c>
      <c r="D616" t="s">
        <v>2954</v>
      </c>
      <c r="E616" t="s">
        <v>115</v>
      </c>
      <c r="F616" t="s">
        <v>41</v>
      </c>
      <c r="G616" t="s">
        <v>2464</v>
      </c>
      <c r="H616" t="s">
        <v>621</v>
      </c>
      <c r="I616" t="s">
        <v>255</v>
      </c>
      <c r="J616" t="s">
        <v>255</v>
      </c>
      <c r="K616" t="s">
        <v>255</v>
      </c>
      <c r="L616" t="s">
        <v>41</v>
      </c>
      <c r="M616" t="s">
        <v>41</v>
      </c>
      <c r="N616" t="s">
        <v>255</v>
      </c>
      <c r="O616" t="s">
        <v>41</v>
      </c>
      <c r="P616" t="s">
        <v>41</v>
      </c>
      <c r="Q616" s="2"/>
      <c r="R616" s="2"/>
      <c r="S616" t="s">
        <v>255</v>
      </c>
      <c r="T616" t="s">
        <v>41</v>
      </c>
      <c r="U616" t="s">
        <v>41</v>
      </c>
      <c r="V616" s="2"/>
      <c r="W616" s="2"/>
      <c r="X616" t="s">
        <v>2464</v>
      </c>
      <c r="Y616">
        <v>20.83</v>
      </c>
      <c r="Z616">
        <v>3223.176</v>
      </c>
      <c r="AA616" s="2"/>
      <c r="AB616" s="2"/>
      <c r="AC616" t="s">
        <v>2889</v>
      </c>
      <c r="AD616">
        <v>20.91</v>
      </c>
      <c r="AE616">
        <v>3272.727</v>
      </c>
      <c r="AF616" s="2">
        <f t="shared" si="47"/>
        <v>0.00384061449831982</v>
      </c>
      <c r="AG616" s="2">
        <f t="shared" si="48"/>
        <v>0.0153733460412959</v>
      </c>
      <c r="AH616" t="s">
        <v>2955</v>
      </c>
      <c r="AI616" t="s">
        <v>2244</v>
      </c>
      <c r="AJ616" t="s">
        <v>625</v>
      </c>
    </row>
    <row r="617" hidden="1" spans="1:36">
      <c r="A617">
        <v>128133</v>
      </c>
      <c r="B617" t="s">
        <v>2956</v>
      </c>
      <c r="C617">
        <v>2287</v>
      </c>
      <c r="D617" t="s">
        <v>2957</v>
      </c>
      <c r="E617" t="s">
        <v>115</v>
      </c>
      <c r="F617" t="s">
        <v>41</v>
      </c>
      <c r="G617" t="s">
        <v>2605</v>
      </c>
      <c r="H617" t="s">
        <v>621</v>
      </c>
      <c r="I617" t="s">
        <v>255</v>
      </c>
      <c r="J617" t="s">
        <v>255</v>
      </c>
      <c r="K617" t="s">
        <v>255</v>
      </c>
      <c r="L617" t="s">
        <v>41</v>
      </c>
      <c r="M617" t="s">
        <v>41</v>
      </c>
      <c r="N617" t="s">
        <v>255</v>
      </c>
      <c r="O617" t="s">
        <v>41</v>
      </c>
      <c r="P617" t="s">
        <v>41</v>
      </c>
      <c r="Q617" s="2"/>
      <c r="R617" s="2"/>
      <c r="S617" t="s">
        <v>255</v>
      </c>
      <c r="T617" t="s">
        <v>41</v>
      </c>
      <c r="U617" t="s">
        <v>41</v>
      </c>
      <c r="V617" s="2"/>
      <c r="W617" s="2"/>
      <c r="X617" t="s">
        <v>2605</v>
      </c>
      <c r="Y617">
        <v>23.93</v>
      </c>
      <c r="Z617">
        <v>3274.302</v>
      </c>
      <c r="AA617" s="2"/>
      <c r="AB617" s="2"/>
      <c r="AC617" t="s">
        <v>2958</v>
      </c>
      <c r="AD617">
        <v>24.12</v>
      </c>
      <c r="AE617">
        <v>3254.316</v>
      </c>
      <c r="AF617" s="2">
        <f t="shared" si="47"/>
        <v>0.00793982448809032</v>
      </c>
      <c r="AG617" s="2">
        <f t="shared" si="48"/>
        <v>-0.00610389634187693</v>
      </c>
      <c r="AH617" t="s">
        <v>2959</v>
      </c>
      <c r="AI617" t="s">
        <v>203</v>
      </c>
      <c r="AJ617" t="s">
        <v>625</v>
      </c>
    </row>
    <row r="618" spans="1:36">
      <c r="A618">
        <v>123067</v>
      </c>
      <c r="B618" t="s">
        <v>2960</v>
      </c>
      <c r="C618">
        <v>300382</v>
      </c>
      <c r="D618" t="s">
        <v>2961</v>
      </c>
      <c r="E618" t="s">
        <v>2962</v>
      </c>
      <c r="F618" t="s">
        <v>41</v>
      </c>
      <c r="G618" t="s">
        <v>2777</v>
      </c>
      <c r="H618" t="s">
        <v>621</v>
      </c>
      <c r="I618" t="s">
        <v>255</v>
      </c>
      <c r="J618" t="s">
        <v>255</v>
      </c>
      <c r="K618" t="s">
        <v>2722</v>
      </c>
      <c r="L618">
        <v>6.82</v>
      </c>
      <c r="M618">
        <v>2961.516</v>
      </c>
      <c r="N618" t="s">
        <v>2940</v>
      </c>
      <c r="O618">
        <v>8.87</v>
      </c>
      <c r="P618">
        <v>3196.768</v>
      </c>
      <c r="Q618" s="1">
        <f>(O618-L618)/L618</f>
        <v>0.300586510263929</v>
      </c>
      <c r="R618" s="1">
        <f>(P618-M618)/M618</f>
        <v>0.0794363427379761</v>
      </c>
      <c r="S618" t="s">
        <v>2622</v>
      </c>
      <c r="T618">
        <v>8.62</v>
      </c>
      <c r="U618">
        <v>3404.802</v>
      </c>
      <c r="V618" s="1">
        <f>(T618-O618)/O618</f>
        <v>-0.028184892897407</v>
      </c>
      <c r="W618" s="1">
        <f>(U618-P618)/P618</f>
        <v>0.0650763521156368</v>
      </c>
      <c r="X618" t="s">
        <v>2777</v>
      </c>
      <c r="Y618">
        <v>8.84</v>
      </c>
      <c r="Z618">
        <v>3270.435</v>
      </c>
      <c r="AA618" s="2">
        <f>(Y618-T618)/T618</f>
        <v>0.0255220417633411</v>
      </c>
      <c r="AB618" s="2">
        <f>(Z618-U618)/U618</f>
        <v>-0.0394639688299056</v>
      </c>
      <c r="AC618" t="s">
        <v>2658</v>
      </c>
      <c r="AD618">
        <v>9.13</v>
      </c>
      <c r="AE618">
        <v>3332.183</v>
      </c>
      <c r="AF618" s="2">
        <f t="shared" si="47"/>
        <v>0.0328054298642535</v>
      </c>
      <c r="AG618" s="2">
        <f t="shared" si="48"/>
        <v>0.0188806687795355</v>
      </c>
      <c r="AH618" t="s">
        <v>2963</v>
      </c>
      <c r="AI618" t="s">
        <v>2964</v>
      </c>
      <c r="AJ618" t="s">
        <v>625</v>
      </c>
    </row>
    <row r="619" spans="1:36">
      <c r="A619">
        <v>123066</v>
      </c>
      <c r="B619" t="s">
        <v>2965</v>
      </c>
      <c r="C619">
        <v>300687</v>
      </c>
      <c r="D619" t="s">
        <v>2966</v>
      </c>
      <c r="E619" t="s">
        <v>1308</v>
      </c>
      <c r="F619" t="s">
        <v>41</v>
      </c>
      <c r="G619" t="s">
        <v>2579</v>
      </c>
      <c r="H619" t="s">
        <v>621</v>
      </c>
      <c r="I619" t="s">
        <v>255</v>
      </c>
      <c r="J619" t="s">
        <v>255</v>
      </c>
      <c r="K619" t="s">
        <v>2591</v>
      </c>
      <c r="L619">
        <v>13.55</v>
      </c>
      <c r="M619">
        <v>3025.981</v>
      </c>
      <c r="N619" t="s">
        <v>2940</v>
      </c>
      <c r="O619">
        <v>12.01</v>
      </c>
      <c r="P619">
        <v>3196.768</v>
      </c>
      <c r="Q619" s="1">
        <f>(O619-L619)/L619</f>
        <v>-0.113653136531365</v>
      </c>
      <c r="R619" s="1">
        <f>(P619-M619)/M619</f>
        <v>0.0564402089768574</v>
      </c>
      <c r="S619" t="s">
        <v>2967</v>
      </c>
      <c r="T619">
        <v>12.88</v>
      </c>
      <c r="U619">
        <v>3380.683</v>
      </c>
      <c r="V619" s="1">
        <f>(T619-O619)/O619</f>
        <v>0.0724396336386346</v>
      </c>
      <c r="W619" s="1">
        <f>(U619-P619)/P619</f>
        <v>0.0575315443598034</v>
      </c>
      <c r="X619" t="s">
        <v>2579</v>
      </c>
      <c r="Y619">
        <v>15.47</v>
      </c>
      <c r="Z619">
        <v>3283.924</v>
      </c>
      <c r="AA619" s="2">
        <f>(Y619-T619)/T619</f>
        <v>0.201086956521739</v>
      </c>
      <c r="AB619" s="2">
        <f>(Z619-U619)/U619</f>
        <v>-0.0286211395744588</v>
      </c>
      <c r="AC619" t="s">
        <v>2658</v>
      </c>
      <c r="AD619">
        <v>16.21</v>
      </c>
      <c r="AE619">
        <v>3332.183</v>
      </c>
      <c r="AF619" s="2">
        <f t="shared" si="47"/>
        <v>0.0478345184227537</v>
      </c>
      <c r="AG619" s="2">
        <f t="shared" si="48"/>
        <v>0.014695528885565</v>
      </c>
      <c r="AH619" t="s">
        <v>2968</v>
      </c>
      <c r="AI619" t="s">
        <v>2061</v>
      </c>
      <c r="AJ619" t="s">
        <v>625</v>
      </c>
    </row>
    <row r="620" hidden="1" spans="1:36">
      <c r="A620">
        <v>128132</v>
      </c>
      <c r="B620" t="s">
        <v>2969</v>
      </c>
      <c r="C620">
        <v>2941</v>
      </c>
      <c r="D620" t="s">
        <v>2970</v>
      </c>
      <c r="E620" t="s">
        <v>390</v>
      </c>
      <c r="F620" t="s">
        <v>41</v>
      </c>
      <c r="G620" t="s">
        <v>2739</v>
      </c>
      <c r="H620" t="s">
        <v>621</v>
      </c>
      <c r="I620" t="s">
        <v>255</v>
      </c>
      <c r="J620" t="s">
        <v>255</v>
      </c>
      <c r="K620" t="s">
        <v>255</v>
      </c>
      <c r="L620" t="s">
        <v>41</v>
      </c>
      <c r="M620" t="s">
        <v>41</v>
      </c>
      <c r="N620" t="s">
        <v>255</v>
      </c>
      <c r="O620" t="s">
        <v>41</v>
      </c>
      <c r="P620" t="s">
        <v>41</v>
      </c>
      <c r="Q620" s="2"/>
      <c r="R620" s="2"/>
      <c r="S620" t="s">
        <v>255</v>
      </c>
      <c r="T620" t="s">
        <v>41</v>
      </c>
      <c r="U620" t="s">
        <v>41</v>
      </c>
      <c r="V620" s="2"/>
      <c r="W620" s="2"/>
      <c r="X620" t="s">
        <v>2739</v>
      </c>
      <c r="Y620">
        <v>17.63</v>
      </c>
      <c r="Z620">
        <v>3295.68</v>
      </c>
      <c r="AA620" s="2"/>
      <c r="AB620" s="2"/>
      <c r="AC620" t="s">
        <v>2592</v>
      </c>
      <c r="AD620">
        <v>13.98</v>
      </c>
      <c r="AE620">
        <v>3336.358</v>
      </c>
      <c r="AF620" s="2">
        <f t="shared" si="47"/>
        <v>-0.207033465683494</v>
      </c>
      <c r="AG620" s="2">
        <f t="shared" si="48"/>
        <v>0.0123428245460725</v>
      </c>
      <c r="AH620" t="s">
        <v>2968</v>
      </c>
      <c r="AI620" t="s">
        <v>61</v>
      </c>
      <c r="AJ620" t="s">
        <v>625</v>
      </c>
    </row>
    <row r="621" hidden="1" spans="1:36">
      <c r="A621">
        <v>128131</v>
      </c>
      <c r="B621" t="s">
        <v>2971</v>
      </c>
      <c r="C621">
        <v>2815</v>
      </c>
      <c r="D621" t="s">
        <v>2972</v>
      </c>
      <c r="E621" t="s">
        <v>1608</v>
      </c>
      <c r="F621" t="s">
        <v>41</v>
      </c>
      <c r="G621" t="s">
        <v>2809</v>
      </c>
      <c r="H621" t="s">
        <v>621</v>
      </c>
      <c r="I621" t="s">
        <v>255</v>
      </c>
      <c r="J621" t="s">
        <v>255</v>
      </c>
      <c r="K621" t="s">
        <v>255</v>
      </c>
      <c r="L621" t="s">
        <v>41</v>
      </c>
      <c r="M621" t="s">
        <v>41</v>
      </c>
      <c r="N621" t="s">
        <v>255</v>
      </c>
      <c r="O621" t="s">
        <v>41</v>
      </c>
      <c r="P621" t="s">
        <v>41</v>
      </c>
      <c r="Q621" s="2"/>
      <c r="R621" s="2"/>
      <c r="S621" t="s">
        <v>255</v>
      </c>
      <c r="T621" t="s">
        <v>41</v>
      </c>
      <c r="U621" t="s">
        <v>41</v>
      </c>
      <c r="V621" s="2"/>
      <c r="W621" s="2"/>
      <c r="X621" t="s">
        <v>2809</v>
      </c>
      <c r="Y621">
        <v>17.08</v>
      </c>
      <c r="Z621">
        <v>3292.591</v>
      </c>
      <c r="AA621" s="2"/>
      <c r="AB621" s="2"/>
      <c r="AC621" t="s">
        <v>2651</v>
      </c>
      <c r="AD621">
        <v>16.12</v>
      </c>
      <c r="AE621">
        <v>3217.535</v>
      </c>
      <c r="AF621" s="2">
        <f t="shared" si="47"/>
        <v>-0.0562060889929741</v>
      </c>
      <c r="AG621" s="2">
        <f t="shared" si="48"/>
        <v>-0.0227954215995853</v>
      </c>
      <c r="AH621" t="s">
        <v>2973</v>
      </c>
      <c r="AI621" t="s">
        <v>392</v>
      </c>
      <c r="AJ621" t="s">
        <v>625</v>
      </c>
    </row>
    <row r="622" spans="1:36">
      <c r="A622">
        <v>123065</v>
      </c>
      <c r="B622" t="s">
        <v>2974</v>
      </c>
      <c r="C622">
        <v>300246</v>
      </c>
      <c r="D622" t="s">
        <v>2975</v>
      </c>
      <c r="E622" t="s">
        <v>1188</v>
      </c>
      <c r="F622" t="s">
        <v>56</v>
      </c>
      <c r="G622" t="s">
        <v>2976</v>
      </c>
      <c r="H622" t="s">
        <v>33</v>
      </c>
      <c r="I622" t="s">
        <v>255</v>
      </c>
      <c r="J622" t="s">
        <v>255</v>
      </c>
      <c r="K622" t="s">
        <v>2807</v>
      </c>
      <c r="L622">
        <v>22.8</v>
      </c>
      <c r="M622">
        <v>2984.674</v>
      </c>
      <c r="N622" t="s">
        <v>2940</v>
      </c>
      <c r="O622">
        <v>23.74</v>
      </c>
      <c r="P622">
        <v>3196.768</v>
      </c>
      <c r="Q622" s="1">
        <f>(O622-L622)/L622</f>
        <v>0.0412280701754385</v>
      </c>
      <c r="R622" s="1">
        <f>(P622-M622)/M622</f>
        <v>0.0710610271004472</v>
      </c>
      <c r="S622" t="s">
        <v>2967</v>
      </c>
      <c r="T622">
        <v>24.22</v>
      </c>
      <c r="U622">
        <v>3380.683</v>
      </c>
      <c r="V622" s="1">
        <f>(T622-O622)/O622</f>
        <v>0.0202190395956192</v>
      </c>
      <c r="W622" s="1">
        <f>(U622-P622)/P622</f>
        <v>0.0575315443598034</v>
      </c>
      <c r="X622" t="s">
        <v>2976</v>
      </c>
      <c r="Y622">
        <v>25.64</v>
      </c>
      <c r="Z622">
        <v>3355.367</v>
      </c>
      <c r="AA622" s="2">
        <f>(Y622-T622)/T622</f>
        <v>0.0586292320396367</v>
      </c>
      <c r="AB622" s="2">
        <f>(Z622-U622)/U622</f>
        <v>-0.00748842763429751</v>
      </c>
      <c r="AC622" t="s">
        <v>2464</v>
      </c>
      <c r="AD622">
        <v>23.25</v>
      </c>
      <c r="AE622">
        <v>3223.176</v>
      </c>
      <c r="AF622" s="2">
        <f t="shared" si="47"/>
        <v>-0.093213728549142</v>
      </c>
      <c r="AG622" s="2">
        <f t="shared" si="48"/>
        <v>-0.0393968826658903</v>
      </c>
      <c r="AH622" t="s">
        <v>2977</v>
      </c>
      <c r="AI622" t="s">
        <v>41</v>
      </c>
      <c r="AJ622" t="s">
        <v>41</v>
      </c>
    </row>
    <row r="623" spans="1:36">
      <c r="A623">
        <v>123064</v>
      </c>
      <c r="B623" t="s">
        <v>2978</v>
      </c>
      <c r="C623">
        <v>300482</v>
      </c>
      <c r="D623" t="s">
        <v>2979</v>
      </c>
      <c r="E623" t="s">
        <v>1114</v>
      </c>
      <c r="F623" t="s">
        <v>397</v>
      </c>
      <c r="G623" t="s">
        <v>2980</v>
      </c>
      <c r="H623" t="s">
        <v>33</v>
      </c>
      <c r="I623" t="s">
        <v>255</v>
      </c>
      <c r="J623" t="s">
        <v>255</v>
      </c>
      <c r="K623" t="s">
        <v>2722</v>
      </c>
      <c r="L623">
        <v>76.41</v>
      </c>
      <c r="M623">
        <v>2961.516</v>
      </c>
      <c r="N623" t="s">
        <v>2940</v>
      </c>
      <c r="O623">
        <v>69.94</v>
      </c>
      <c r="P623">
        <v>3196.768</v>
      </c>
      <c r="Q623" s="1">
        <f>(O623-L623)/L623</f>
        <v>-0.084674780787855</v>
      </c>
      <c r="R623" s="1">
        <f>(P623-M623)/M623</f>
        <v>0.0794363427379761</v>
      </c>
      <c r="S623" t="s">
        <v>2967</v>
      </c>
      <c r="T623">
        <v>68.02</v>
      </c>
      <c r="U623">
        <v>3380.683</v>
      </c>
      <c r="V623" s="1">
        <f>(T623-O623)/O623</f>
        <v>-0.0274521018015442</v>
      </c>
      <c r="W623" s="1">
        <f>(U623-P623)/P623</f>
        <v>0.0575315443598034</v>
      </c>
      <c r="X623" t="s">
        <v>2980</v>
      </c>
      <c r="Y623">
        <v>75.8</v>
      </c>
      <c r="Z623">
        <v>3410.607</v>
      </c>
      <c r="AA623" s="2">
        <f>(Y623-T623)/T623</f>
        <v>0.114378124081153</v>
      </c>
      <c r="AB623" s="2">
        <f>(Z623-U623)/U623</f>
        <v>0.00885146581326909</v>
      </c>
      <c r="AC623" t="s">
        <v>2770</v>
      </c>
      <c r="AD623">
        <v>64.22</v>
      </c>
      <c r="AE623">
        <v>3279.711</v>
      </c>
      <c r="AF623" s="2">
        <f t="shared" si="47"/>
        <v>-0.152770448548813</v>
      </c>
      <c r="AG623" s="2">
        <f t="shared" si="48"/>
        <v>-0.0383790920501835</v>
      </c>
      <c r="AH623" t="s">
        <v>2981</v>
      </c>
      <c r="AI623" t="s">
        <v>41</v>
      </c>
      <c r="AJ623" t="s">
        <v>41</v>
      </c>
    </row>
    <row r="624" hidden="1" spans="1:36">
      <c r="A624">
        <v>128130</v>
      </c>
      <c r="B624" t="s">
        <v>2982</v>
      </c>
      <c r="C624">
        <v>2067</v>
      </c>
      <c r="D624" t="s">
        <v>2983</v>
      </c>
      <c r="E624" t="s">
        <v>1883</v>
      </c>
      <c r="F624" t="s">
        <v>41</v>
      </c>
      <c r="G624" t="s">
        <v>2984</v>
      </c>
      <c r="H624" t="s">
        <v>621</v>
      </c>
      <c r="I624" t="s">
        <v>255</v>
      </c>
      <c r="J624" t="s">
        <v>255</v>
      </c>
      <c r="K624" t="s">
        <v>255</v>
      </c>
      <c r="L624" t="s">
        <v>41</v>
      </c>
      <c r="M624" t="s">
        <v>41</v>
      </c>
      <c r="N624" t="s">
        <v>255</v>
      </c>
      <c r="O624" t="s">
        <v>41</v>
      </c>
      <c r="P624" t="s">
        <v>41</v>
      </c>
      <c r="Q624" s="2"/>
      <c r="R624" s="2"/>
      <c r="S624" t="s">
        <v>255</v>
      </c>
      <c r="T624" t="s">
        <v>41</v>
      </c>
      <c r="U624" t="s">
        <v>41</v>
      </c>
      <c r="V624" s="2"/>
      <c r="W624" s="2"/>
      <c r="X624" t="s">
        <v>2984</v>
      </c>
      <c r="Y624">
        <v>3.52</v>
      </c>
      <c r="Z624">
        <v>3395.678</v>
      </c>
      <c r="AA624" s="2"/>
      <c r="AB624" s="2"/>
      <c r="AC624" t="s">
        <v>2985</v>
      </c>
      <c r="AD624">
        <v>3.67</v>
      </c>
      <c r="AE624">
        <v>3338.09</v>
      </c>
      <c r="AF624" s="2">
        <f t="shared" si="47"/>
        <v>0.0426136363636363</v>
      </c>
      <c r="AG624" s="2">
        <f t="shared" si="48"/>
        <v>-0.0169592052014354</v>
      </c>
      <c r="AH624" t="s">
        <v>2986</v>
      </c>
      <c r="AI624" t="s">
        <v>192</v>
      </c>
      <c r="AJ624" t="s">
        <v>625</v>
      </c>
    </row>
    <row r="625" hidden="1" spans="1:36">
      <c r="A625">
        <v>128129</v>
      </c>
      <c r="B625" t="s">
        <v>2987</v>
      </c>
      <c r="C625">
        <v>2958</v>
      </c>
      <c r="D625" t="s">
        <v>2988</v>
      </c>
      <c r="E625" t="s">
        <v>237</v>
      </c>
      <c r="F625" t="s">
        <v>444</v>
      </c>
      <c r="G625" t="s">
        <v>2989</v>
      </c>
      <c r="H625" t="s">
        <v>33</v>
      </c>
      <c r="I625" t="s">
        <v>255</v>
      </c>
      <c r="J625" t="s">
        <v>255</v>
      </c>
      <c r="K625" t="s">
        <v>255</v>
      </c>
      <c r="L625" t="s">
        <v>41</v>
      </c>
      <c r="M625" t="s">
        <v>41</v>
      </c>
      <c r="N625" t="s">
        <v>255</v>
      </c>
      <c r="O625" t="s">
        <v>41</v>
      </c>
      <c r="P625" t="s">
        <v>41</v>
      </c>
      <c r="Q625" s="2"/>
      <c r="R625" s="2"/>
      <c r="S625" t="s">
        <v>255</v>
      </c>
      <c r="T625" t="s">
        <v>41</v>
      </c>
      <c r="U625" t="s">
        <v>41</v>
      </c>
      <c r="V625" s="2"/>
      <c r="W625" s="2"/>
      <c r="X625" t="s">
        <v>2989</v>
      </c>
      <c r="Y625">
        <v>5.04</v>
      </c>
      <c r="Z625">
        <v>3373.578</v>
      </c>
      <c r="AA625" s="2"/>
      <c r="AB625" s="2"/>
      <c r="AC625" t="s">
        <v>2985</v>
      </c>
      <c r="AD625">
        <v>5</v>
      </c>
      <c r="AE625">
        <v>3338.09</v>
      </c>
      <c r="AF625" s="2">
        <f t="shared" si="47"/>
        <v>-0.00793650793650794</v>
      </c>
      <c r="AG625" s="2">
        <f t="shared" si="48"/>
        <v>-0.0105193951347797</v>
      </c>
      <c r="AH625" t="s">
        <v>2990</v>
      </c>
      <c r="AI625" t="s">
        <v>41</v>
      </c>
      <c r="AJ625" t="s">
        <v>41</v>
      </c>
    </row>
    <row r="626" hidden="1" spans="1:36">
      <c r="A626">
        <v>113039</v>
      </c>
      <c r="B626" t="s">
        <v>2991</v>
      </c>
      <c r="C626">
        <v>601619</v>
      </c>
      <c r="D626" t="s">
        <v>2992</v>
      </c>
      <c r="E626" t="s">
        <v>2993</v>
      </c>
      <c r="F626" t="s">
        <v>397</v>
      </c>
      <c r="G626" t="s">
        <v>2437</v>
      </c>
      <c r="H626" t="s">
        <v>33</v>
      </c>
      <c r="I626" t="s">
        <v>255</v>
      </c>
      <c r="J626" t="s">
        <v>255</v>
      </c>
      <c r="K626" t="s">
        <v>255</v>
      </c>
      <c r="L626" t="s">
        <v>41</v>
      </c>
      <c r="M626" t="s">
        <v>41</v>
      </c>
      <c r="N626" t="s">
        <v>255</v>
      </c>
      <c r="O626" t="s">
        <v>41</v>
      </c>
      <c r="P626" t="s">
        <v>41</v>
      </c>
      <c r="Q626" s="2"/>
      <c r="R626" s="2"/>
      <c r="S626" t="s">
        <v>255</v>
      </c>
      <c r="T626" t="s">
        <v>41</v>
      </c>
      <c r="U626" t="s">
        <v>41</v>
      </c>
      <c r="V626" s="2"/>
      <c r="W626" s="2"/>
      <c r="X626" t="s">
        <v>2437</v>
      </c>
      <c r="Y626">
        <v>2.77</v>
      </c>
      <c r="Z626">
        <v>3385.638</v>
      </c>
      <c r="AA626" s="2"/>
      <c r="AB626" s="2"/>
      <c r="AC626" t="s">
        <v>2777</v>
      </c>
      <c r="AD626">
        <v>2.66</v>
      </c>
      <c r="AE626">
        <v>3270.435</v>
      </c>
      <c r="AF626" s="2">
        <f t="shared" si="47"/>
        <v>-0.03971119133574</v>
      </c>
      <c r="AG626" s="2">
        <f t="shared" si="48"/>
        <v>-0.0340269692152557</v>
      </c>
      <c r="AH626" t="s">
        <v>2994</v>
      </c>
      <c r="AI626" t="s">
        <v>41</v>
      </c>
      <c r="AJ626" t="s">
        <v>41</v>
      </c>
    </row>
    <row r="627" hidden="1" spans="1:36">
      <c r="A627">
        <v>113602</v>
      </c>
      <c r="B627" t="s">
        <v>2995</v>
      </c>
      <c r="C627">
        <v>603228</v>
      </c>
      <c r="D627" t="s">
        <v>1383</v>
      </c>
      <c r="E627" t="s">
        <v>2996</v>
      </c>
      <c r="F627" t="s">
        <v>41</v>
      </c>
      <c r="G627" t="s">
        <v>2437</v>
      </c>
      <c r="H627" t="s">
        <v>621</v>
      </c>
      <c r="I627" t="s">
        <v>255</v>
      </c>
      <c r="J627" t="s">
        <v>255</v>
      </c>
      <c r="K627" t="s">
        <v>255</v>
      </c>
      <c r="L627" t="s">
        <v>41</v>
      </c>
      <c r="M627" t="s">
        <v>41</v>
      </c>
      <c r="N627" t="s">
        <v>255</v>
      </c>
      <c r="O627" t="s">
        <v>41</v>
      </c>
      <c r="P627" t="s">
        <v>41</v>
      </c>
      <c r="Q627" s="2"/>
      <c r="R627" s="2"/>
      <c r="S627" t="s">
        <v>255</v>
      </c>
      <c r="T627" t="s">
        <v>41</v>
      </c>
      <c r="U627" t="s">
        <v>41</v>
      </c>
      <c r="V627" s="2"/>
      <c r="W627" s="2"/>
      <c r="X627" t="s">
        <v>2437</v>
      </c>
      <c r="Y627">
        <v>31.79</v>
      </c>
      <c r="Z627">
        <v>3385.638</v>
      </c>
      <c r="AA627" s="2"/>
      <c r="AB627" s="2"/>
      <c r="AC627" t="s">
        <v>2605</v>
      </c>
      <c r="AD627">
        <v>31.18</v>
      </c>
      <c r="AE627">
        <v>3274.302</v>
      </c>
      <c r="AF627" s="2">
        <f t="shared" si="47"/>
        <v>-0.0191884240327147</v>
      </c>
      <c r="AG627" s="2">
        <f t="shared" si="48"/>
        <v>-0.0328847915813799</v>
      </c>
      <c r="AH627" t="s">
        <v>2994</v>
      </c>
      <c r="AI627" t="s">
        <v>655</v>
      </c>
      <c r="AJ627" t="s">
        <v>625</v>
      </c>
    </row>
    <row r="628" hidden="1" spans="1:36">
      <c r="A628">
        <v>113601</v>
      </c>
      <c r="B628" t="s">
        <v>2997</v>
      </c>
      <c r="C628">
        <v>603716</v>
      </c>
      <c r="D628" t="s">
        <v>2998</v>
      </c>
      <c r="E628" t="s">
        <v>2999</v>
      </c>
      <c r="F628" t="s">
        <v>3000</v>
      </c>
      <c r="G628" t="s">
        <v>2967</v>
      </c>
      <c r="H628" t="s">
        <v>33</v>
      </c>
      <c r="I628" t="s">
        <v>255</v>
      </c>
      <c r="J628" t="s">
        <v>255</v>
      </c>
      <c r="K628" t="s">
        <v>255</v>
      </c>
      <c r="L628" t="s">
        <v>41</v>
      </c>
      <c r="M628" t="s">
        <v>41</v>
      </c>
      <c r="N628" t="s">
        <v>255</v>
      </c>
      <c r="O628" t="s">
        <v>41</v>
      </c>
      <c r="P628" t="s">
        <v>41</v>
      </c>
      <c r="Q628" s="2"/>
      <c r="R628" s="2"/>
      <c r="S628" t="s">
        <v>255</v>
      </c>
      <c r="T628" t="s">
        <v>41</v>
      </c>
      <c r="U628" t="s">
        <v>41</v>
      </c>
      <c r="V628" s="2"/>
      <c r="W628" s="2"/>
      <c r="X628" t="s">
        <v>2967</v>
      </c>
      <c r="Y628">
        <v>16.32</v>
      </c>
      <c r="Z628">
        <v>3380.683</v>
      </c>
      <c r="AA628" s="2"/>
      <c r="AB628" s="2"/>
      <c r="AC628" t="s">
        <v>2739</v>
      </c>
      <c r="AD628">
        <v>17.6</v>
      </c>
      <c r="AE628">
        <v>3295.68</v>
      </c>
      <c r="AF628" s="2">
        <f t="shared" si="47"/>
        <v>0.0784313725490197</v>
      </c>
      <c r="AG628" s="2">
        <f t="shared" si="48"/>
        <v>-0.0251437357480723</v>
      </c>
      <c r="AH628" t="s">
        <v>3001</v>
      </c>
      <c r="AI628" t="s">
        <v>41</v>
      </c>
      <c r="AJ628" t="s">
        <v>41</v>
      </c>
    </row>
    <row r="629" hidden="1" spans="1:36">
      <c r="A629">
        <v>128128</v>
      </c>
      <c r="B629" t="s">
        <v>3002</v>
      </c>
      <c r="C629">
        <v>2408</v>
      </c>
      <c r="D629" t="s">
        <v>3003</v>
      </c>
      <c r="E629" t="s">
        <v>3004</v>
      </c>
      <c r="F629" t="s">
        <v>397</v>
      </c>
      <c r="G629" t="s">
        <v>3005</v>
      </c>
      <c r="H629" t="s">
        <v>33</v>
      </c>
      <c r="I629" t="s">
        <v>255</v>
      </c>
      <c r="J629" t="s">
        <v>255</v>
      </c>
      <c r="K629" t="s">
        <v>255</v>
      </c>
      <c r="L629" t="s">
        <v>41</v>
      </c>
      <c r="M629" t="s">
        <v>41</v>
      </c>
      <c r="N629" t="s">
        <v>255</v>
      </c>
      <c r="O629" t="s">
        <v>41</v>
      </c>
      <c r="P629" t="s">
        <v>41</v>
      </c>
      <c r="Q629" s="2"/>
      <c r="R629" s="2"/>
      <c r="S629" t="s">
        <v>255</v>
      </c>
      <c r="T629" t="s">
        <v>41</v>
      </c>
      <c r="U629" t="s">
        <v>41</v>
      </c>
      <c r="V629" s="2"/>
      <c r="W629" s="2"/>
      <c r="X629" t="s">
        <v>3005</v>
      </c>
      <c r="Y629">
        <v>5.04</v>
      </c>
      <c r="Z629">
        <v>3363.899</v>
      </c>
      <c r="AA629" s="2"/>
      <c r="AB629" s="2"/>
      <c r="AC629" t="s">
        <v>2739</v>
      </c>
      <c r="AD629">
        <v>5.8</v>
      </c>
      <c r="AE629">
        <v>3295.68</v>
      </c>
      <c r="AF629" s="2">
        <f t="shared" si="47"/>
        <v>0.150793650793651</v>
      </c>
      <c r="AG629" s="2">
        <f t="shared" si="48"/>
        <v>-0.0202797408602339</v>
      </c>
      <c r="AH629" t="s">
        <v>3006</v>
      </c>
      <c r="AI629" t="s">
        <v>41</v>
      </c>
      <c r="AJ629" t="s">
        <v>41</v>
      </c>
    </row>
    <row r="630" hidden="1" spans="1:36">
      <c r="A630">
        <v>128127</v>
      </c>
      <c r="B630" t="s">
        <v>3007</v>
      </c>
      <c r="C630">
        <v>2775</v>
      </c>
      <c r="D630" t="s">
        <v>3008</v>
      </c>
      <c r="E630" t="s">
        <v>1462</v>
      </c>
      <c r="F630" t="s">
        <v>1208</v>
      </c>
      <c r="G630" t="s">
        <v>3005</v>
      </c>
      <c r="H630" t="s">
        <v>33</v>
      </c>
      <c r="I630" t="s">
        <v>255</v>
      </c>
      <c r="J630" t="s">
        <v>255</v>
      </c>
      <c r="K630" t="s">
        <v>255</v>
      </c>
      <c r="L630" t="s">
        <v>41</v>
      </c>
      <c r="M630" t="s">
        <v>41</v>
      </c>
      <c r="N630" t="s">
        <v>255</v>
      </c>
      <c r="O630" t="s">
        <v>41</v>
      </c>
      <c r="P630" t="s">
        <v>41</v>
      </c>
      <c r="Q630" s="2"/>
      <c r="R630" s="2"/>
      <c r="S630" t="s">
        <v>255</v>
      </c>
      <c r="T630" t="s">
        <v>41</v>
      </c>
      <c r="U630" t="s">
        <v>41</v>
      </c>
      <c r="V630" s="2"/>
      <c r="W630" s="2"/>
      <c r="X630" t="s">
        <v>3005</v>
      </c>
      <c r="Y630">
        <v>4.44</v>
      </c>
      <c r="Z630">
        <v>3363.899</v>
      </c>
      <c r="AA630" s="2"/>
      <c r="AB630" s="2"/>
      <c r="AC630" t="s">
        <v>3009</v>
      </c>
      <c r="AD630">
        <v>4.45</v>
      </c>
      <c r="AE630">
        <v>3260.346</v>
      </c>
      <c r="AF630" s="2">
        <f t="shared" si="47"/>
        <v>0.0022522522522522</v>
      </c>
      <c r="AG630" s="2">
        <f t="shared" si="48"/>
        <v>-0.0307836234084317</v>
      </c>
      <c r="AH630" t="s">
        <v>3006</v>
      </c>
      <c r="AI630" t="s">
        <v>41</v>
      </c>
      <c r="AJ630" t="s">
        <v>41</v>
      </c>
    </row>
    <row r="631" hidden="1" spans="1:36">
      <c r="A631">
        <v>110074</v>
      </c>
      <c r="B631" t="s">
        <v>3010</v>
      </c>
      <c r="C631">
        <v>600577</v>
      </c>
      <c r="D631" t="s">
        <v>3011</v>
      </c>
      <c r="E631" t="s">
        <v>3012</v>
      </c>
      <c r="F631" t="s">
        <v>397</v>
      </c>
      <c r="G631" t="s">
        <v>3013</v>
      </c>
      <c r="H631" t="s">
        <v>33</v>
      </c>
      <c r="I631" t="s">
        <v>255</v>
      </c>
      <c r="J631" t="s">
        <v>255</v>
      </c>
      <c r="K631" t="s">
        <v>255</v>
      </c>
      <c r="L631" t="s">
        <v>41</v>
      </c>
      <c r="M631" t="s">
        <v>41</v>
      </c>
      <c r="N631" t="s">
        <v>255</v>
      </c>
      <c r="O631" t="s">
        <v>41</v>
      </c>
      <c r="P631" t="s">
        <v>41</v>
      </c>
      <c r="Q631" s="2"/>
      <c r="R631" s="2"/>
      <c r="S631" t="s">
        <v>255</v>
      </c>
      <c r="T631" t="s">
        <v>41</v>
      </c>
      <c r="U631" t="s">
        <v>41</v>
      </c>
      <c r="V631" s="2"/>
      <c r="W631" s="2"/>
      <c r="X631" t="s">
        <v>3013</v>
      </c>
      <c r="Y631">
        <v>3.15</v>
      </c>
      <c r="Z631">
        <v>3408.129</v>
      </c>
      <c r="AA631" s="2"/>
      <c r="AB631" s="2"/>
      <c r="AC631" t="s">
        <v>3014</v>
      </c>
      <c r="AD631">
        <v>3.29</v>
      </c>
      <c r="AE631">
        <v>3316.935</v>
      </c>
      <c r="AF631" s="2">
        <f t="shared" si="47"/>
        <v>0.0444444444444445</v>
      </c>
      <c r="AG631" s="2">
        <f t="shared" si="48"/>
        <v>-0.0267577899780202</v>
      </c>
      <c r="AH631" t="s">
        <v>3015</v>
      </c>
      <c r="AI631" t="s">
        <v>41</v>
      </c>
      <c r="AJ631" t="s">
        <v>41</v>
      </c>
    </row>
    <row r="632" hidden="1" spans="1:36">
      <c r="A632">
        <v>110072</v>
      </c>
      <c r="B632" t="s">
        <v>3016</v>
      </c>
      <c r="C632">
        <v>600297</v>
      </c>
      <c r="D632" t="s">
        <v>3017</v>
      </c>
      <c r="E632" t="s">
        <v>3018</v>
      </c>
      <c r="F632" t="s">
        <v>41</v>
      </c>
      <c r="G632" t="s">
        <v>3019</v>
      </c>
      <c r="H632" t="s">
        <v>621</v>
      </c>
      <c r="I632" t="s">
        <v>255</v>
      </c>
      <c r="J632" t="s">
        <v>255</v>
      </c>
      <c r="K632" t="s">
        <v>255</v>
      </c>
      <c r="L632" t="s">
        <v>41</v>
      </c>
      <c r="M632" t="s">
        <v>41</v>
      </c>
      <c r="N632" t="s">
        <v>255</v>
      </c>
      <c r="O632" t="s">
        <v>41</v>
      </c>
      <c r="P632" t="s">
        <v>41</v>
      </c>
      <c r="Q632" s="2"/>
      <c r="R632" s="2"/>
      <c r="S632" t="s">
        <v>255</v>
      </c>
      <c r="T632" t="s">
        <v>41</v>
      </c>
      <c r="U632" t="s">
        <v>41</v>
      </c>
      <c r="V632" s="2"/>
      <c r="W632" s="2"/>
      <c r="X632" t="s">
        <v>3019</v>
      </c>
      <c r="Y632">
        <v>4.05</v>
      </c>
      <c r="Z632">
        <v>3451.089</v>
      </c>
      <c r="AA632" s="2"/>
      <c r="AB632" s="2"/>
      <c r="AC632" t="s">
        <v>2739</v>
      </c>
      <c r="AD632">
        <v>3.78</v>
      </c>
      <c r="AE632">
        <v>3295.68</v>
      </c>
      <c r="AF632" s="2">
        <f t="shared" si="47"/>
        <v>-0.0666666666666667</v>
      </c>
      <c r="AG632" s="2">
        <f t="shared" si="48"/>
        <v>-0.0450318725480566</v>
      </c>
      <c r="AH632" t="s">
        <v>3020</v>
      </c>
      <c r="AI632" t="s">
        <v>3021</v>
      </c>
      <c r="AJ632" t="s">
        <v>3022</v>
      </c>
    </row>
    <row r="633" hidden="1" spans="1:36">
      <c r="A633">
        <v>113600</v>
      </c>
      <c r="B633" t="s">
        <v>3023</v>
      </c>
      <c r="C633">
        <v>603978</v>
      </c>
      <c r="D633" t="s">
        <v>3024</v>
      </c>
      <c r="E633" t="s">
        <v>3025</v>
      </c>
      <c r="F633" t="s">
        <v>41</v>
      </c>
      <c r="G633" t="s">
        <v>2897</v>
      </c>
      <c r="H633" t="s">
        <v>621</v>
      </c>
      <c r="I633" t="s">
        <v>255</v>
      </c>
      <c r="J633" t="s">
        <v>255</v>
      </c>
      <c r="K633" t="s">
        <v>255</v>
      </c>
      <c r="L633" t="s">
        <v>41</v>
      </c>
      <c r="M633" t="s">
        <v>41</v>
      </c>
      <c r="N633" t="s">
        <v>255</v>
      </c>
      <c r="O633" t="s">
        <v>41</v>
      </c>
      <c r="P633" t="s">
        <v>41</v>
      </c>
      <c r="Q633" s="2"/>
      <c r="R633" s="2"/>
      <c r="S633" t="s">
        <v>255</v>
      </c>
      <c r="T633" t="s">
        <v>41</v>
      </c>
      <c r="U633" t="s">
        <v>41</v>
      </c>
      <c r="V633" s="2"/>
      <c r="W633" s="2"/>
      <c r="X633" t="s">
        <v>2897</v>
      </c>
      <c r="Y633">
        <v>23.41</v>
      </c>
      <c r="Z633">
        <v>3320.726</v>
      </c>
      <c r="AA633" s="2"/>
      <c r="AB633" s="2"/>
      <c r="AC633" t="s">
        <v>3009</v>
      </c>
      <c r="AD633">
        <v>22.1</v>
      </c>
      <c r="AE633">
        <v>3260.346</v>
      </c>
      <c r="AF633" s="2">
        <f t="shared" si="47"/>
        <v>-0.0559589918838103</v>
      </c>
      <c r="AG633" s="2">
        <f t="shared" si="48"/>
        <v>-0.0181827708760073</v>
      </c>
      <c r="AH633" t="s">
        <v>3026</v>
      </c>
      <c r="AI633" t="s">
        <v>437</v>
      </c>
      <c r="AJ633" t="s">
        <v>625</v>
      </c>
    </row>
    <row r="634" hidden="1" spans="1:36">
      <c r="A634">
        <v>127021</v>
      </c>
      <c r="B634" t="s">
        <v>3027</v>
      </c>
      <c r="C634">
        <v>70</v>
      </c>
      <c r="D634" t="s">
        <v>3028</v>
      </c>
      <c r="E634" t="s">
        <v>667</v>
      </c>
      <c r="F634" t="s">
        <v>41</v>
      </c>
      <c r="G634" t="s">
        <v>3029</v>
      </c>
      <c r="H634" t="s">
        <v>621</v>
      </c>
      <c r="I634" t="s">
        <v>255</v>
      </c>
      <c r="J634" t="s">
        <v>255</v>
      </c>
      <c r="K634" t="s">
        <v>255</v>
      </c>
      <c r="L634" t="s">
        <v>41</v>
      </c>
      <c r="M634" t="s">
        <v>41</v>
      </c>
      <c r="N634" t="s">
        <v>255</v>
      </c>
      <c r="O634" t="s">
        <v>41</v>
      </c>
      <c r="P634" t="s">
        <v>41</v>
      </c>
      <c r="Q634" s="2"/>
      <c r="R634" s="2"/>
      <c r="S634" t="s">
        <v>255</v>
      </c>
      <c r="T634" t="s">
        <v>41</v>
      </c>
      <c r="U634" t="s">
        <v>41</v>
      </c>
      <c r="V634" s="2"/>
      <c r="W634" s="2"/>
      <c r="X634" t="s">
        <v>3029</v>
      </c>
      <c r="Y634">
        <v>12.98</v>
      </c>
      <c r="Z634">
        <v>3354.035</v>
      </c>
      <c r="AA634" s="2"/>
      <c r="AB634" s="2"/>
      <c r="AC634" t="s">
        <v>2976</v>
      </c>
      <c r="AD634">
        <v>11.27</v>
      </c>
      <c r="AE634">
        <v>3355.367</v>
      </c>
      <c r="AF634" s="2">
        <f t="shared" si="47"/>
        <v>-0.131741140215717</v>
      </c>
      <c r="AG634" s="2">
        <f t="shared" si="48"/>
        <v>0.000397133601766331</v>
      </c>
      <c r="AH634" t="s">
        <v>436</v>
      </c>
      <c r="AI634" t="s">
        <v>1066</v>
      </c>
      <c r="AJ634" t="s">
        <v>625</v>
      </c>
    </row>
    <row r="635" hidden="1" spans="1:36">
      <c r="A635">
        <v>128126</v>
      </c>
      <c r="B635" t="s">
        <v>3030</v>
      </c>
      <c r="C635">
        <v>2460</v>
      </c>
      <c r="D635" t="s">
        <v>3031</v>
      </c>
      <c r="E635" t="s">
        <v>3032</v>
      </c>
      <c r="F635" t="s">
        <v>41</v>
      </c>
      <c r="G635" t="s">
        <v>2936</v>
      </c>
      <c r="H635" t="s">
        <v>621</v>
      </c>
      <c r="I635" t="s">
        <v>255</v>
      </c>
      <c r="J635" t="s">
        <v>255</v>
      </c>
      <c r="K635" t="s">
        <v>255</v>
      </c>
      <c r="L635" t="s">
        <v>41</v>
      </c>
      <c r="M635" t="s">
        <v>41</v>
      </c>
      <c r="N635" t="s">
        <v>255</v>
      </c>
      <c r="O635" t="s">
        <v>41</v>
      </c>
      <c r="P635" t="s">
        <v>41</v>
      </c>
      <c r="Q635" s="2"/>
      <c r="R635" s="2"/>
      <c r="S635" t="s">
        <v>255</v>
      </c>
      <c r="T635" t="s">
        <v>41</v>
      </c>
      <c r="U635" t="s">
        <v>41</v>
      </c>
      <c r="V635" s="2"/>
      <c r="W635" s="2"/>
      <c r="X635" t="s">
        <v>2936</v>
      </c>
      <c r="Y635">
        <v>38.55</v>
      </c>
      <c r="Z635">
        <v>3386.463</v>
      </c>
      <c r="AA635" s="2"/>
      <c r="AB635" s="2"/>
      <c r="AC635" t="s">
        <v>3033</v>
      </c>
      <c r="AD635">
        <v>33.39</v>
      </c>
      <c r="AE635">
        <v>3316.417</v>
      </c>
      <c r="AF635" s="2">
        <f t="shared" si="47"/>
        <v>-0.133852140077821</v>
      </c>
      <c r="AG635" s="2">
        <f t="shared" si="48"/>
        <v>-0.0206841179129966</v>
      </c>
      <c r="AH635" t="s">
        <v>3034</v>
      </c>
      <c r="AI635" t="s">
        <v>3035</v>
      </c>
      <c r="AJ635" t="s">
        <v>625</v>
      </c>
    </row>
    <row r="636" hidden="1" spans="1:36">
      <c r="A636">
        <v>113599</v>
      </c>
      <c r="B636" t="s">
        <v>3036</v>
      </c>
      <c r="C636">
        <v>603871</v>
      </c>
      <c r="D636" t="s">
        <v>3037</v>
      </c>
      <c r="E636" t="s">
        <v>2207</v>
      </c>
      <c r="F636" t="s">
        <v>41</v>
      </c>
      <c r="G636" t="s">
        <v>3038</v>
      </c>
      <c r="H636" t="s">
        <v>621</v>
      </c>
      <c r="I636" t="s">
        <v>255</v>
      </c>
      <c r="J636" t="s">
        <v>255</v>
      </c>
      <c r="K636" t="s">
        <v>255</v>
      </c>
      <c r="L636" t="s">
        <v>41</v>
      </c>
      <c r="M636" t="s">
        <v>41</v>
      </c>
      <c r="N636" t="s">
        <v>255</v>
      </c>
      <c r="O636" t="s">
        <v>41</v>
      </c>
      <c r="P636" t="s">
        <v>41</v>
      </c>
      <c r="Q636" s="2"/>
      <c r="R636" s="2"/>
      <c r="S636" t="s">
        <v>255</v>
      </c>
      <c r="T636" t="s">
        <v>41</v>
      </c>
      <c r="U636" t="s">
        <v>41</v>
      </c>
      <c r="V636" s="2"/>
      <c r="W636" s="2"/>
      <c r="X636" t="s">
        <v>3038</v>
      </c>
      <c r="Y636">
        <v>3.78</v>
      </c>
      <c r="Z636">
        <v>3377.565</v>
      </c>
      <c r="AA636" s="2"/>
      <c r="AB636" s="2"/>
      <c r="AC636" t="s">
        <v>2809</v>
      </c>
      <c r="AD636">
        <v>4.84</v>
      </c>
      <c r="AE636">
        <v>3292.591</v>
      </c>
      <c r="AF636" s="2">
        <f t="shared" si="47"/>
        <v>0.28042328042328</v>
      </c>
      <c r="AG636" s="2">
        <f t="shared" si="48"/>
        <v>-0.025158361127025</v>
      </c>
      <c r="AH636" t="s">
        <v>3039</v>
      </c>
      <c r="AI636" t="s">
        <v>1938</v>
      </c>
      <c r="AJ636" t="s">
        <v>625</v>
      </c>
    </row>
    <row r="637" hidden="1" spans="1:36">
      <c r="A637">
        <v>113598</v>
      </c>
      <c r="B637" t="s">
        <v>3040</v>
      </c>
      <c r="C637">
        <v>603966</v>
      </c>
      <c r="D637" t="s">
        <v>3041</v>
      </c>
      <c r="E637" t="s">
        <v>80</v>
      </c>
      <c r="F637" t="s">
        <v>41</v>
      </c>
      <c r="G637" t="s">
        <v>2688</v>
      </c>
      <c r="H637" t="s">
        <v>621</v>
      </c>
      <c r="I637" t="s">
        <v>255</v>
      </c>
      <c r="J637" t="s">
        <v>255</v>
      </c>
      <c r="K637" t="s">
        <v>255</v>
      </c>
      <c r="L637" t="s">
        <v>41</v>
      </c>
      <c r="M637" t="s">
        <v>41</v>
      </c>
      <c r="N637" t="s">
        <v>255</v>
      </c>
      <c r="O637" t="s">
        <v>41</v>
      </c>
      <c r="P637" t="s">
        <v>41</v>
      </c>
      <c r="Q637" s="2"/>
      <c r="R637" s="2"/>
      <c r="S637" t="s">
        <v>255</v>
      </c>
      <c r="T637" t="s">
        <v>41</v>
      </c>
      <c r="U637" t="s">
        <v>41</v>
      </c>
      <c r="V637" s="2"/>
      <c r="W637" s="2"/>
      <c r="X637" t="s">
        <v>2688</v>
      </c>
      <c r="Y637">
        <v>7.72</v>
      </c>
      <c r="Z637">
        <v>3310.007</v>
      </c>
      <c r="AA637" s="2"/>
      <c r="AB637" s="2"/>
      <c r="AC637" t="s">
        <v>2989</v>
      </c>
      <c r="AD637">
        <v>8.79</v>
      </c>
      <c r="AE637">
        <v>3373.578</v>
      </c>
      <c r="AF637" s="2">
        <f t="shared" si="47"/>
        <v>0.13860103626943</v>
      </c>
      <c r="AG637" s="2">
        <f t="shared" si="48"/>
        <v>0.0192056995649858</v>
      </c>
      <c r="AH637" t="s">
        <v>3042</v>
      </c>
      <c r="AI637" t="s">
        <v>321</v>
      </c>
      <c r="AJ637" t="s">
        <v>625</v>
      </c>
    </row>
    <row r="638" hidden="1" spans="1:36">
      <c r="A638">
        <v>113038</v>
      </c>
      <c r="B638" t="s">
        <v>3043</v>
      </c>
      <c r="C638">
        <v>601012</v>
      </c>
      <c r="D638" t="s">
        <v>2168</v>
      </c>
      <c r="E638" t="s">
        <v>237</v>
      </c>
      <c r="F638" t="s">
        <v>41</v>
      </c>
      <c r="G638" t="s">
        <v>2688</v>
      </c>
      <c r="H638" t="s">
        <v>621</v>
      </c>
      <c r="I638" t="s">
        <v>255</v>
      </c>
      <c r="J638" t="s">
        <v>255</v>
      </c>
      <c r="K638" t="s">
        <v>255</v>
      </c>
      <c r="L638" t="s">
        <v>41</v>
      </c>
      <c r="M638" t="s">
        <v>41</v>
      </c>
      <c r="N638" t="s">
        <v>255</v>
      </c>
      <c r="O638" t="s">
        <v>41</v>
      </c>
      <c r="P638" t="s">
        <v>41</v>
      </c>
      <c r="Q638" s="2"/>
      <c r="R638" s="2"/>
      <c r="S638" t="s">
        <v>255</v>
      </c>
      <c r="T638" t="s">
        <v>41</v>
      </c>
      <c r="U638" t="s">
        <v>41</v>
      </c>
      <c r="V638" s="2"/>
      <c r="W638" s="2"/>
      <c r="X638" t="s">
        <v>2688</v>
      </c>
      <c r="Y638">
        <v>28</v>
      </c>
      <c r="Z638">
        <v>3310.007</v>
      </c>
      <c r="AA638" s="2"/>
      <c r="AB638" s="2"/>
      <c r="AC638" t="s">
        <v>3033</v>
      </c>
      <c r="AD638">
        <v>31.42</v>
      </c>
      <c r="AE638">
        <v>3316.417</v>
      </c>
      <c r="AF638" s="2">
        <f t="shared" si="47"/>
        <v>0.122142857142857</v>
      </c>
      <c r="AG638" s="2">
        <f t="shared" si="48"/>
        <v>0.00193655179581187</v>
      </c>
      <c r="AH638" t="s">
        <v>3044</v>
      </c>
      <c r="AI638" t="s">
        <v>2566</v>
      </c>
      <c r="AJ638" t="s">
        <v>625</v>
      </c>
    </row>
    <row r="639" hidden="1" spans="1:36">
      <c r="A639">
        <v>113597</v>
      </c>
      <c r="B639" t="s">
        <v>3045</v>
      </c>
      <c r="C639">
        <v>603912</v>
      </c>
      <c r="D639" t="s">
        <v>3046</v>
      </c>
      <c r="E639" t="s">
        <v>218</v>
      </c>
      <c r="F639" t="s">
        <v>56</v>
      </c>
      <c r="G639" t="s">
        <v>2825</v>
      </c>
      <c r="H639" t="s">
        <v>33</v>
      </c>
      <c r="I639" t="s">
        <v>255</v>
      </c>
      <c r="J639" t="s">
        <v>255</v>
      </c>
      <c r="K639" t="s">
        <v>255</v>
      </c>
      <c r="L639" t="s">
        <v>41</v>
      </c>
      <c r="M639" t="s">
        <v>41</v>
      </c>
      <c r="N639" t="s">
        <v>255</v>
      </c>
      <c r="O639" t="s">
        <v>41</v>
      </c>
      <c r="P639" t="s">
        <v>41</v>
      </c>
      <c r="Q639" s="2"/>
      <c r="R639" s="2"/>
      <c r="S639" t="s">
        <v>255</v>
      </c>
      <c r="T639" t="s">
        <v>41</v>
      </c>
      <c r="U639" t="s">
        <v>41</v>
      </c>
      <c r="V639" s="2"/>
      <c r="W639" s="2"/>
      <c r="X639" t="s">
        <v>2825</v>
      </c>
      <c r="Y639">
        <v>10.01</v>
      </c>
      <c r="Z639">
        <v>3286.822</v>
      </c>
      <c r="AA639" s="2"/>
      <c r="AB639" s="2"/>
      <c r="AC639" t="s">
        <v>2967</v>
      </c>
      <c r="AD639">
        <v>9.25</v>
      </c>
      <c r="AE639">
        <v>3380.683</v>
      </c>
      <c r="AF639" s="2">
        <f t="shared" si="47"/>
        <v>-0.0759240759240759</v>
      </c>
      <c r="AG639" s="2">
        <f t="shared" si="48"/>
        <v>0.0285567639501013</v>
      </c>
      <c r="AH639" t="s">
        <v>3044</v>
      </c>
      <c r="AI639" t="s">
        <v>41</v>
      </c>
      <c r="AJ639" t="s">
        <v>41</v>
      </c>
    </row>
    <row r="640" hidden="1" spans="1:36">
      <c r="A640">
        <v>128125</v>
      </c>
      <c r="B640" t="s">
        <v>3047</v>
      </c>
      <c r="C640">
        <v>2949</v>
      </c>
      <c r="D640" t="s">
        <v>3048</v>
      </c>
      <c r="E640" t="s">
        <v>223</v>
      </c>
      <c r="F640" t="s">
        <v>56</v>
      </c>
      <c r="G640" t="s">
        <v>2825</v>
      </c>
      <c r="H640" t="s">
        <v>33</v>
      </c>
      <c r="I640" t="s">
        <v>255</v>
      </c>
      <c r="J640" t="s">
        <v>255</v>
      </c>
      <c r="K640" t="s">
        <v>255</v>
      </c>
      <c r="L640" t="s">
        <v>41</v>
      </c>
      <c r="M640" t="s">
        <v>41</v>
      </c>
      <c r="N640" t="s">
        <v>255</v>
      </c>
      <c r="O640" t="s">
        <v>41</v>
      </c>
      <c r="P640" t="s">
        <v>41</v>
      </c>
      <c r="Q640" s="2"/>
      <c r="R640" s="2"/>
      <c r="S640" t="s">
        <v>255</v>
      </c>
      <c r="T640" t="s">
        <v>41</v>
      </c>
      <c r="U640" t="s">
        <v>41</v>
      </c>
      <c r="V640" s="2"/>
      <c r="W640" s="2"/>
      <c r="X640" t="s">
        <v>2825</v>
      </c>
      <c r="Y640">
        <v>28.88</v>
      </c>
      <c r="Z640">
        <v>3286.822</v>
      </c>
      <c r="AA640" s="2"/>
      <c r="AB640" s="2"/>
      <c r="AC640" t="s">
        <v>2967</v>
      </c>
      <c r="AD640">
        <v>30.67</v>
      </c>
      <c r="AE640">
        <v>3380.683</v>
      </c>
      <c r="AF640" s="2">
        <f t="shared" si="47"/>
        <v>0.0619806094182826</v>
      </c>
      <c r="AG640" s="2">
        <f t="shared" si="48"/>
        <v>0.0285567639501013</v>
      </c>
      <c r="AH640" t="s">
        <v>3044</v>
      </c>
      <c r="AI640" t="s">
        <v>41</v>
      </c>
      <c r="AJ640" t="s">
        <v>41</v>
      </c>
    </row>
    <row r="641" hidden="1" spans="1:36">
      <c r="A641">
        <v>113596</v>
      </c>
      <c r="B641" t="s">
        <v>3049</v>
      </c>
      <c r="C641">
        <v>603887</v>
      </c>
      <c r="D641" t="s">
        <v>3050</v>
      </c>
      <c r="E641" t="s">
        <v>232</v>
      </c>
      <c r="F641" t="s">
        <v>41</v>
      </c>
      <c r="G641" t="s">
        <v>3051</v>
      </c>
      <c r="H641" t="s">
        <v>621</v>
      </c>
      <c r="I641" t="s">
        <v>255</v>
      </c>
      <c r="J641" t="s">
        <v>255</v>
      </c>
      <c r="K641" t="s">
        <v>255</v>
      </c>
      <c r="L641" t="s">
        <v>41</v>
      </c>
      <c r="M641" t="s">
        <v>41</v>
      </c>
      <c r="N641" t="s">
        <v>255</v>
      </c>
      <c r="O641" t="s">
        <v>41</v>
      </c>
      <c r="P641" t="s">
        <v>41</v>
      </c>
      <c r="Q641" s="2"/>
      <c r="R641" s="2"/>
      <c r="S641" t="s">
        <v>255</v>
      </c>
      <c r="T641" t="s">
        <v>41</v>
      </c>
      <c r="U641" t="s">
        <v>41</v>
      </c>
      <c r="V641" s="2"/>
      <c r="W641" s="2"/>
      <c r="X641" t="s">
        <v>3051</v>
      </c>
      <c r="Y641">
        <v>22.84</v>
      </c>
      <c r="Z641">
        <v>3227.96</v>
      </c>
      <c r="AA641" s="2"/>
      <c r="AB641" s="2"/>
      <c r="AC641" t="s">
        <v>3005</v>
      </c>
      <c r="AD641">
        <v>25.2</v>
      </c>
      <c r="AE641">
        <v>3363.899</v>
      </c>
      <c r="AF641" s="2">
        <f t="shared" si="47"/>
        <v>0.103327495621716</v>
      </c>
      <c r="AG641" s="2">
        <f t="shared" si="48"/>
        <v>0.0421129753776378</v>
      </c>
      <c r="AH641" t="s">
        <v>3052</v>
      </c>
      <c r="AI641" t="s">
        <v>3053</v>
      </c>
      <c r="AJ641" t="s">
        <v>625</v>
      </c>
    </row>
    <row r="642" hidden="1" spans="1:36">
      <c r="A642">
        <v>123063</v>
      </c>
      <c r="B642" t="s">
        <v>3054</v>
      </c>
      <c r="C642">
        <v>300021</v>
      </c>
      <c r="D642" t="s">
        <v>3055</v>
      </c>
      <c r="E642" t="s">
        <v>3056</v>
      </c>
      <c r="F642" t="s">
        <v>41</v>
      </c>
      <c r="G642" t="s">
        <v>3051</v>
      </c>
      <c r="H642" t="s">
        <v>621</v>
      </c>
      <c r="I642" t="s">
        <v>255</v>
      </c>
      <c r="J642" t="s">
        <v>255</v>
      </c>
      <c r="K642" t="s">
        <v>255</v>
      </c>
      <c r="L642" t="s">
        <v>41</v>
      </c>
      <c r="M642" t="s">
        <v>41</v>
      </c>
      <c r="N642" t="s">
        <v>255</v>
      </c>
      <c r="O642" t="s">
        <v>41</v>
      </c>
      <c r="P642" t="s">
        <v>41</v>
      </c>
      <c r="Q642" s="2"/>
      <c r="R642" s="2"/>
      <c r="S642" t="s">
        <v>255</v>
      </c>
      <c r="T642" t="s">
        <v>41</v>
      </c>
      <c r="U642" t="s">
        <v>41</v>
      </c>
      <c r="V642" s="2"/>
      <c r="W642" s="2"/>
      <c r="X642" t="s">
        <v>3051</v>
      </c>
      <c r="Y642">
        <v>4.37</v>
      </c>
      <c r="Z642">
        <v>3227.96</v>
      </c>
      <c r="AA642" s="2"/>
      <c r="AB642" s="2"/>
      <c r="AC642" t="s">
        <v>3005</v>
      </c>
      <c r="AD642">
        <v>5.82</v>
      </c>
      <c r="AE642">
        <v>3363.899</v>
      </c>
      <c r="AF642" s="2">
        <f t="shared" si="47"/>
        <v>0.331807780320366</v>
      </c>
      <c r="AG642" s="2">
        <f t="shared" si="48"/>
        <v>0.0421129753776378</v>
      </c>
      <c r="AH642" t="s">
        <v>3052</v>
      </c>
      <c r="AI642" t="s">
        <v>191</v>
      </c>
      <c r="AJ642" t="s">
        <v>625</v>
      </c>
    </row>
    <row r="643" hidden="1" spans="1:36">
      <c r="A643">
        <v>128124</v>
      </c>
      <c r="B643" t="s">
        <v>3057</v>
      </c>
      <c r="C643">
        <v>2022</v>
      </c>
      <c r="D643" t="s">
        <v>3058</v>
      </c>
      <c r="E643" t="s">
        <v>3059</v>
      </c>
      <c r="F643" t="s">
        <v>31</v>
      </c>
      <c r="G643" t="s">
        <v>3051</v>
      </c>
      <c r="H643" t="s">
        <v>33</v>
      </c>
      <c r="I643" t="s">
        <v>255</v>
      </c>
      <c r="J643" t="s">
        <v>255</v>
      </c>
      <c r="K643" t="s">
        <v>255</v>
      </c>
      <c r="L643" t="s">
        <v>41</v>
      </c>
      <c r="M643" t="s">
        <v>41</v>
      </c>
      <c r="N643" t="s">
        <v>255</v>
      </c>
      <c r="O643" t="s">
        <v>41</v>
      </c>
      <c r="P643" t="s">
        <v>41</v>
      </c>
      <c r="Q643" s="2"/>
      <c r="R643" s="2"/>
      <c r="S643" t="s">
        <v>255</v>
      </c>
      <c r="T643" t="s">
        <v>41</v>
      </c>
      <c r="U643" t="s">
        <v>41</v>
      </c>
      <c r="V643" s="2"/>
      <c r="W643" s="2"/>
      <c r="X643" t="s">
        <v>3051</v>
      </c>
      <c r="Y643">
        <v>21.27</v>
      </c>
      <c r="Z643">
        <v>3227.96</v>
      </c>
      <c r="AA643" s="2"/>
      <c r="AB643" s="2"/>
      <c r="AC643" t="s">
        <v>3005</v>
      </c>
      <c r="AD643">
        <v>19.6</v>
      </c>
      <c r="AE643">
        <v>3363.899</v>
      </c>
      <c r="AF643" s="2">
        <f t="shared" ref="AF643:AF706" si="49">(AD643-Y643)/Y643</f>
        <v>-0.0785143394452279</v>
      </c>
      <c r="AG643" s="2">
        <f t="shared" ref="AG643:AG706" si="50">(AE643-Z643)/Z643</f>
        <v>0.0421129753776378</v>
      </c>
      <c r="AH643" t="s">
        <v>3052</v>
      </c>
      <c r="AI643" t="s">
        <v>41</v>
      </c>
      <c r="AJ643" t="s">
        <v>41</v>
      </c>
    </row>
    <row r="644" hidden="1" spans="1:36">
      <c r="A644">
        <v>123062</v>
      </c>
      <c r="B644" t="s">
        <v>3060</v>
      </c>
      <c r="C644">
        <v>300554</v>
      </c>
      <c r="D644" t="s">
        <v>3061</v>
      </c>
      <c r="E644" t="s">
        <v>3062</v>
      </c>
      <c r="F644" t="s">
        <v>41</v>
      </c>
      <c r="G644" t="s">
        <v>2492</v>
      </c>
      <c r="H644" t="s">
        <v>621</v>
      </c>
      <c r="I644" t="s">
        <v>255</v>
      </c>
      <c r="J644" t="s">
        <v>255</v>
      </c>
      <c r="K644" t="s">
        <v>255</v>
      </c>
      <c r="L644" t="s">
        <v>41</v>
      </c>
      <c r="M644" t="s">
        <v>41</v>
      </c>
      <c r="N644" t="s">
        <v>255</v>
      </c>
      <c r="O644" t="s">
        <v>41</v>
      </c>
      <c r="P644" t="s">
        <v>41</v>
      </c>
      <c r="Q644" s="2"/>
      <c r="R644" s="2"/>
      <c r="S644" t="s">
        <v>255</v>
      </c>
      <c r="T644" t="s">
        <v>41</v>
      </c>
      <c r="U644" t="s">
        <v>41</v>
      </c>
      <c r="V644" s="2"/>
      <c r="W644" s="2"/>
      <c r="X644" t="s">
        <v>2492</v>
      </c>
      <c r="Y644">
        <v>17.43</v>
      </c>
      <c r="Z644">
        <v>3205.227</v>
      </c>
      <c r="AA644" s="2"/>
      <c r="AB644" s="2"/>
      <c r="AC644" t="s">
        <v>2669</v>
      </c>
      <c r="AD644">
        <v>22.49</v>
      </c>
      <c r="AE644">
        <v>3438.801</v>
      </c>
      <c r="AF644" s="2">
        <f t="shared" si="49"/>
        <v>0.290304073436603</v>
      </c>
      <c r="AG644" s="2">
        <f t="shared" si="50"/>
        <v>0.0728728417675254</v>
      </c>
      <c r="AH644" t="s">
        <v>3063</v>
      </c>
      <c r="AI644" t="s">
        <v>1660</v>
      </c>
      <c r="AJ644" t="s">
        <v>625</v>
      </c>
    </row>
    <row r="645" hidden="1" spans="1:36">
      <c r="A645">
        <v>128123</v>
      </c>
      <c r="B645" t="s">
        <v>3064</v>
      </c>
      <c r="C645">
        <v>2749</v>
      </c>
      <c r="D645" t="s">
        <v>3065</v>
      </c>
      <c r="E645" t="s">
        <v>1308</v>
      </c>
      <c r="F645" t="s">
        <v>41</v>
      </c>
      <c r="G645" t="s">
        <v>2492</v>
      </c>
      <c r="H645" t="s">
        <v>621</v>
      </c>
      <c r="I645" t="s">
        <v>255</v>
      </c>
      <c r="J645" t="s">
        <v>255</v>
      </c>
      <c r="K645" t="s">
        <v>255</v>
      </c>
      <c r="L645" t="s">
        <v>41</v>
      </c>
      <c r="M645" t="s">
        <v>41</v>
      </c>
      <c r="N645" t="s">
        <v>255</v>
      </c>
      <c r="O645" t="s">
        <v>41</v>
      </c>
      <c r="P645" t="s">
        <v>41</v>
      </c>
      <c r="Q645" s="2"/>
      <c r="R645" s="2"/>
      <c r="S645" t="s">
        <v>255</v>
      </c>
      <c r="T645" t="s">
        <v>41</v>
      </c>
      <c r="U645" t="s">
        <v>41</v>
      </c>
      <c r="V645" s="2"/>
      <c r="W645" s="2"/>
      <c r="X645" t="s">
        <v>2492</v>
      </c>
      <c r="Y645">
        <v>11.23</v>
      </c>
      <c r="Z645">
        <v>3205.227</v>
      </c>
      <c r="AA645" s="2"/>
      <c r="AB645" s="2"/>
      <c r="AC645" t="s">
        <v>3013</v>
      </c>
      <c r="AD645">
        <v>11.84</v>
      </c>
      <c r="AE645">
        <v>3408.129</v>
      </c>
      <c r="AF645" s="2">
        <f t="shared" si="49"/>
        <v>0.0543187889581478</v>
      </c>
      <c r="AG645" s="2">
        <f t="shared" si="50"/>
        <v>0.0633034727337565</v>
      </c>
      <c r="AH645" t="s">
        <v>3066</v>
      </c>
      <c r="AI645" t="s">
        <v>790</v>
      </c>
      <c r="AJ645" t="s">
        <v>625</v>
      </c>
    </row>
    <row r="646" hidden="1" spans="1:36">
      <c r="A646">
        <v>110073</v>
      </c>
      <c r="B646" t="s">
        <v>3067</v>
      </c>
      <c r="C646">
        <v>600061</v>
      </c>
      <c r="D646" t="s">
        <v>3068</v>
      </c>
      <c r="E646" t="s">
        <v>200</v>
      </c>
      <c r="F646" t="s">
        <v>444</v>
      </c>
      <c r="G646" t="s">
        <v>2940</v>
      </c>
      <c r="H646" t="s">
        <v>33</v>
      </c>
      <c r="I646" t="s">
        <v>255</v>
      </c>
      <c r="J646" t="s">
        <v>255</v>
      </c>
      <c r="K646" t="s">
        <v>255</v>
      </c>
      <c r="L646" t="s">
        <v>41</v>
      </c>
      <c r="M646" t="s">
        <v>41</v>
      </c>
      <c r="N646" t="s">
        <v>255</v>
      </c>
      <c r="O646" t="s">
        <v>41</v>
      </c>
      <c r="P646" t="s">
        <v>41</v>
      </c>
      <c r="Q646" s="2"/>
      <c r="R646" s="2"/>
      <c r="S646" t="s">
        <v>255</v>
      </c>
      <c r="T646" t="s">
        <v>41</v>
      </c>
      <c r="U646" t="s">
        <v>41</v>
      </c>
      <c r="V646" s="2"/>
      <c r="W646" s="2"/>
      <c r="X646" t="s">
        <v>2940</v>
      </c>
      <c r="Y646">
        <v>8.81</v>
      </c>
      <c r="Z646">
        <v>3196.768</v>
      </c>
      <c r="AA646" s="2"/>
      <c r="AB646" s="2"/>
      <c r="AC646" t="s">
        <v>3005</v>
      </c>
      <c r="AD646">
        <v>9.11</v>
      </c>
      <c r="AE646">
        <v>3363.899</v>
      </c>
      <c r="AF646" s="2">
        <f t="shared" si="49"/>
        <v>0.0340522133938705</v>
      </c>
      <c r="AG646" s="2">
        <f t="shared" si="50"/>
        <v>0.0522812415539695</v>
      </c>
      <c r="AH646" t="s">
        <v>3069</v>
      </c>
      <c r="AI646" t="s">
        <v>41</v>
      </c>
      <c r="AJ646" t="s">
        <v>41</v>
      </c>
    </row>
    <row r="647" hidden="1" spans="1:36">
      <c r="A647">
        <v>113037</v>
      </c>
      <c r="B647" t="s">
        <v>3070</v>
      </c>
      <c r="C647">
        <v>601860</v>
      </c>
      <c r="D647" t="s">
        <v>3071</v>
      </c>
      <c r="E647" t="s">
        <v>3072</v>
      </c>
      <c r="F647" t="s">
        <v>98</v>
      </c>
      <c r="G647" t="s">
        <v>2657</v>
      </c>
      <c r="H647" t="s">
        <v>33</v>
      </c>
      <c r="I647" t="s">
        <v>255</v>
      </c>
      <c r="J647" t="s">
        <v>255</v>
      </c>
      <c r="K647" t="s">
        <v>255</v>
      </c>
      <c r="L647" t="s">
        <v>41</v>
      </c>
      <c r="M647" t="s">
        <v>41</v>
      </c>
      <c r="N647" t="s">
        <v>255</v>
      </c>
      <c r="O647" t="s">
        <v>41</v>
      </c>
      <c r="P647" t="s">
        <v>41</v>
      </c>
      <c r="Q647" s="2"/>
      <c r="R647" s="2"/>
      <c r="S647" t="s">
        <v>255</v>
      </c>
      <c r="T647" t="s">
        <v>41</v>
      </c>
      <c r="U647" t="s">
        <v>41</v>
      </c>
      <c r="V647" s="2"/>
      <c r="W647" s="2"/>
      <c r="X647" t="s">
        <v>2657</v>
      </c>
      <c r="Y647">
        <v>4.1</v>
      </c>
      <c r="Z647">
        <v>3325.11</v>
      </c>
      <c r="AA647" s="2"/>
      <c r="AB647" s="2"/>
      <c r="AC647" t="s">
        <v>2669</v>
      </c>
      <c r="AD647">
        <v>4.14</v>
      </c>
      <c r="AE647">
        <v>3438.801</v>
      </c>
      <c r="AF647" s="2">
        <f t="shared" si="49"/>
        <v>0.00975609756097562</v>
      </c>
      <c r="AG647" s="2">
        <f t="shared" si="50"/>
        <v>0.0341916508025298</v>
      </c>
      <c r="AH647" t="s">
        <v>3073</v>
      </c>
      <c r="AI647" t="s">
        <v>41</v>
      </c>
      <c r="AJ647" t="s">
        <v>41</v>
      </c>
    </row>
    <row r="648" hidden="1" spans="1:36">
      <c r="A648">
        <v>128122</v>
      </c>
      <c r="B648" t="s">
        <v>3074</v>
      </c>
      <c r="C648">
        <v>2436</v>
      </c>
      <c r="D648" t="s">
        <v>3075</v>
      </c>
      <c r="E648" t="s">
        <v>3076</v>
      </c>
      <c r="F648" t="s">
        <v>41</v>
      </c>
      <c r="G648" t="s">
        <v>2657</v>
      </c>
      <c r="H648" t="s">
        <v>621</v>
      </c>
      <c r="I648" t="s">
        <v>255</v>
      </c>
      <c r="J648" t="s">
        <v>255</v>
      </c>
      <c r="K648" t="s">
        <v>255</v>
      </c>
      <c r="L648" t="s">
        <v>41</v>
      </c>
      <c r="M648" t="s">
        <v>41</v>
      </c>
      <c r="N648" t="s">
        <v>255</v>
      </c>
      <c r="O648" t="s">
        <v>41</v>
      </c>
      <c r="P648" t="s">
        <v>41</v>
      </c>
      <c r="Q648" s="2"/>
      <c r="R648" s="2"/>
      <c r="S648" t="s">
        <v>255</v>
      </c>
      <c r="T648" t="s">
        <v>41</v>
      </c>
      <c r="U648" t="s">
        <v>41</v>
      </c>
      <c r="V648" s="2"/>
      <c r="W648" s="2"/>
      <c r="X648" t="s">
        <v>2657</v>
      </c>
      <c r="Y648">
        <v>13.25</v>
      </c>
      <c r="Z648">
        <v>3325.11</v>
      </c>
      <c r="AA648" s="2"/>
      <c r="AB648" s="2"/>
      <c r="AC648" t="s">
        <v>2669</v>
      </c>
      <c r="AD648">
        <v>12.73</v>
      </c>
      <c r="AE648">
        <v>3438.801</v>
      </c>
      <c r="AF648" s="2">
        <f t="shared" si="49"/>
        <v>-0.0392452830188679</v>
      </c>
      <c r="AG648" s="2">
        <f t="shared" si="50"/>
        <v>0.0341916508025298</v>
      </c>
      <c r="AH648" t="s">
        <v>74</v>
      </c>
      <c r="AI648" t="s">
        <v>253</v>
      </c>
      <c r="AJ648" t="s">
        <v>3077</v>
      </c>
    </row>
    <row r="649" hidden="1" spans="1:36">
      <c r="A649">
        <v>123061</v>
      </c>
      <c r="B649" t="s">
        <v>3078</v>
      </c>
      <c r="C649">
        <v>300424</v>
      </c>
      <c r="D649" t="s">
        <v>3079</v>
      </c>
      <c r="E649" t="s">
        <v>776</v>
      </c>
      <c r="F649" t="s">
        <v>1208</v>
      </c>
      <c r="G649" t="s">
        <v>2730</v>
      </c>
      <c r="H649" t="s">
        <v>33</v>
      </c>
      <c r="I649" t="s">
        <v>255</v>
      </c>
      <c r="J649" t="s">
        <v>255</v>
      </c>
      <c r="K649" t="s">
        <v>255</v>
      </c>
      <c r="L649" t="s">
        <v>41</v>
      </c>
      <c r="M649" t="s">
        <v>41</v>
      </c>
      <c r="N649" t="s">
        <v>255</v>
      </c>
      <c r="O649" t="s">
        <v>41</v>
      </c>
      <c r="P649" t="s">
        <v>41</v>
      </c>
      <c r="Q649" s="2"/>
      <c r="R649" s="2"/>
      <c r="S649" t="s">
        <v>255</v>
      </c>
      <c r="T649" t="s">
        <v>41</v>
      </c>
      <c r="U649" t="s">
        <v>41</v>
      </c>
      <c r="V649" s="2"/>
      <c r="W649" s="2"/>
      <c r="X649" t="s">
        <v>2730</v>
      </c>
      <c r="Y649">
        <v>15.94</v>
      </c>
      <c r="Z649">
        <v>3333.164</v>
      </c>
      <c r="AA649" s="2"/>
      <c r="AB649" s="2"/>
      <c r="AC649" t="s">
        <v>3019</v>
      </c>
      <c r="AD649">
        <v>17.51</v>
      </c>
      <c r="AE649">
        <v>3451.089</v>
      </c>
      <c r="AF649" s="2">
        <f t="shared" si="49"/>
        <v>0.0984943538268508</v>
      </c>
      <c r="AG649" s="2">
        <f t="shared" si="50"/>
        <v>0.0353792972683011</v>
      </c>
      <c r="AH649" t="s">
        <v>3080</v>
      </c>
      <c r="AI649" t="s">
        <v>41</v>
      </c>
      <c r="AJ649" t="s">
        <v>41</v>
      </c>
    </row>
    <row r="650" hidden="1" spans="1:36">
      <c r="A650">
        <v>123060</v>
      </c>
      <c r="B650" t="s">
        <v>3081</v>
      </c>
      <c r="C650">
        <v>300416</v>
      </c>
      <c r="D650" t="s">
        <v>3082</v>
      </c>
      <c r="E650" t="s">
        <v>1258</v>
      </c>
      <c r="F650" t="s">
        <v>41</v>
      </c>
      <c r="G650" t="s">
        <v>2699</v>
      </c>
      <c r="H650" t="s">
        <v>621</v>
      </c>
      <c r="I650" t="s">
        <v>255</v>
      </c>
      <c r="J650" t="s">
        <v>255</v>
      </c>
      <c r="K650" t="s">
        <v>255</v>
      </c>
      <c r="L650" t="s">
        <v>41</v>
      </c>
      <c r="M650" t="s">
        <v>41</v>
      </c>
      <c r="N650" t="s">
        <v>255</v>
      </c>
      <c r="O650" t="s">
        <v>41</v>
      </c>
      <c r="P650" t="s">
        <v>41</v>
      </c>
      <c r="Q650" s="2"/>
      <c r="R650" s="2"/>
      <c r="S650" t="s">
        <v>255</v>
      </c>
      <c r="T650" t="s">
        <v>41</v>
      </c>
      <c r="U650" t="s">
        <v>41</v>
      </c>
      <c r="V650" s="2"/>
      <c r="W650" s="2"/>
      <c r="X650" t="s">
        <v>2699</v>
      </c>
      <c r="Y650">
        <v>10.74</v>
      </c>
      <c r="Z650">
        <v>3320.895</v>
      </c>
      <c r="AA650" s="2"/>
      <c r="AB650" s="2"/>
      <c r="AC650" t="s">
        <v>2669</v>
      </c>
      <c r="AD650">
        <v>12.38</v>
      </c>
      <c r="AE650">
        <v>3438.801</v>
      </c>
      <c r="AF650" s="2">
        <f t="shared" si="49"/>
        <v>0.152700186219739</v>
      </c>
      <c r="AG650" s="2">
        <f t="shared" si="50"/>
        <v>0.035504284236629</v>
      </c>
      <c r="AH650" t="s">
        <v>3083</v>
      </c>
      <c r="AI650" t="s">
        <v>1543</v>
      </c>
      <c r="AJ650" t="s">
        <v>625</v>
      </c>
    </row>
    <row r="651" hidden="1" spans="1:36">
      <c r="A651">
        <v>113594</v>
      </c>
      <c r="B651" t="s">
        <v>3084</v>
      </c>
      <c r="C651">
        <v>603516</v>
      </c>
      <c r="D651" t="s">
        <v>3085</v>
      </c>
      <c r="E651" t="s">
        <v>218</v>
      </c>
      <c r="F651" t="s">
        <v>41</v>
      </c>
      <c r="G651" t="s">
        <v>2699</v>
      </c>
      <c r="H651" t="s">
        <v>621</v>
      </c>
      <c r="I651" t="s">
        <v>255</v>
      </c>
      <c r="J651" t="s">
        <v>255</v>
      </c>
      <c r="K651" t="s">
        <v>255</v>
      </c>
      <c r="L651" t="s">
        <v>41</v>
      </c>
      <c r="M651" t="s">
        <v>41</v>
      </c>
      <c r="N651" t="s">
        <v>255</v>
      </c>
      <c r="O651" t="s">
        <v>41</v>
      </c>
      <c r="P651" t="s">
        <v>41</v>
      </c>
      <c r="Q651" s="2"/>
      <c r="R651" s="2"/>
      <c r="S651" t="s">
        <v>255</v>
      </c>
      <c r="T651" t="s">
        <v>41</v>
      </c>
      <c r="U651" t="s">
        <v>41</v>
      </c>
      <c r="V651" s="2"/>
      <c r="W651" s="2"/>
      <c r="X651" t="s">
        <v>2699</v>
      </c>
      <c r="Y651">
        <v>26.69</v>
      </c>
      <c r="Z651">
        <v>3320.895</v>
      </c>
      <c r="AA651" s="2"/>
      <c r="AB651" s="2"/>
      <c r="AC651" t="s">
        <v>3086</v>
      </c>
      <c r="AD651">
        <v>28.21</v>
      </c>
      <c r="AE651">
        <v>3403.807</v>
      </c>
      <c r="AF651" s="2">
        <f t="shared" si="49"/>
        <v>0.0569501686024728</v>
      </c>
      <c r="AG651" s="2">
        <f t="shared" si="50"/>
        <v>0.0249667634779178</v>
      </c>
      <c r="AH651" t="s">
        <v>3087</v>
      </c>
      <c r="AI651" t="s">
        <v>3088</v>
      </c>
      <c r="AJ651" t="s">
        <v>625</v>
      </c>
    </row>
    <row r="652" hidden="1" spans="1:36">
      <c r="A652">
        <v>113595</v>
      </c>
      <c r="B652" t="s">
        <v>3089</v>
      </c>
      <c r="C652">
        <v>603007</v>
      </c>
      <c r="D652" t="s">
        <v>3090</v>
      </c>
      <c r="E652" t="s">
        <v>80</v>
      </c>
      <c r="F652" t="s">
        <v>41</v>
      </c>
      <c r="G652" t="s">
        <v>2699</v>
      </c>
      <c r="H652" t="s">
        <v>621</v>
      </c>
      <c r="I652" t="s">
        <v>255</v>
      </c>
      <c r="J652" t="s">
        <v>255</v>
      </c>
      <c r="K652" t="s">
        <v>255</v>
      </c>
      <c r="L652" t="s">
        <v>41</v>
      </c>
      <c r="M652" t="s">
        <v>41</v>
      </c>
      <c r="N652" t="s">
        <v>255</v>
      </c>
      <c r="O652" t="s">
        <v>41</v>
      </c>
      <c r="P652" t="s">
        <v>41</v>
      </c>
      <c r="Q652" s="2"/>
      <c r="R652" s="2"/>
      <c r="S652" t="s">
        <v>255</v>
      </c>
      <c r="T652" t="s">
        <v>41</v>
      </c>
      <c r="U652" t="s">
        <v>41</v>
      </c>
      <c r="V652" s="2"/>
      <c r="W652" s="2"/>
      <c r="X652" t="s">
        <v>2699</v>
      </c>
      <c r="Y652">
        <v>3.8</v>
      </c>
      <c r="Z652">
        <v>3320.895</v>
      </c>
      <c r="AA652" s="2"/>
      <c r="AB652" s="2"/>
      <c r="AC652" t="s">
        <v>3019</v>
      </c>
      <c r="AD652">
        <v>4.04</v>
      </c>
      <c r="AE652">
        <v>3451.089</v>
      </c>
      <c r="AF652" s="2">
        <f t="shared" si="49"/>
        <v>0.0631578947368422</v>
      </c>
      <c r="AG652" s="2">
        <f t="shared" si="50"/>
        <v>0.0392044915602571</v>
      </c>
      <c r="AH652" t="s">
        <v>3087</v>
      </c>
      <c r="AI652" t="s">
        <v>3091</v>
      </c>
      <c r="AJ652" t="s">
        <v>625</v>
      </c>
    </row>
    <row r="653" hidden="1" spans="1:36">
      <c r="A653">
        <v>127020</v>
      </c>
      <c r="B653" t="s">
        <v>3092</v>
      </c>
      <c r="C653">
        <v>60</v>
      </c>
      <c r="D653" t="s">
        <v>3093</v>
      </c>
      <c r="E653" t="s">
        <v>2783</v>
      </c>
      <c r="F653" t="s">
        <v>41</v>
      </c>
      <c r="G653" t="s">
        <v>3094</v>
      </c>
      <c r="H653" t="s">
        <v>621</v>
      </c>
      <c r="I653" t="s">
        <v>255</v>
      </c>
      <c r="J653" t="s">
        <v>255</v>
      </c>
      <c r="K653" t="s">
        <v>255</v>
      </c>
      <c r="L653" t="s">
        <v>41</v>
      </c>
      <c r="M653" t="s">
        <v>41</v>
      </c>
      <c r="N653" t="s">
        <v>255</v>
      </c>
      <c r="O653" t="s">
        <v>41</v>
      </c>
      <c r="P653" t="s">
        <v>41</v>
      </c>
      <c r="Q653" s="2"/>
      <c r="R653" s="2"/>
      <c r="S653" t="s">
        <v>255</v>
      </c>
      <c r="T653" t="s">
        <v>41</v>
      </c>
      <c r="U653" t="s">
        <v>41</v>
      </c>
      <c r="V653" s="2"/>
      <c r="W653" s="2"/>
      <c r="X653" t="s">
        <v>3094</v>
      </c>
      <c r="Y653">
        <v>4.28</v>
      </c>
      <c r="Z653">
        <v>3314.149</v>
      </c>
      <c r="AA653" s="2"/>
      <c r="AB653" s="2"/>
      <c r="AC653" t="s">
        <v>3095</v>
      </c>
      <c r="AD653">
        <v>4.12</v>
      </c>
      <c r="AE653">
        <v>3360.099</v>
      </c>
      <c r="AF653" s="2">
        <f t="shared" si="49"/>
        <v>-0.0373831775700935</v>
      </c>
      <c r="AG653" s="2">
        <f t="shared" si="50"/>
        <v>0.0138647960607686</v>
      </c>
      <c r="AH653" t="s">
        <v>3083</v>
      </c>
      <c r="AI653" t="s">
        <v>90</v>
      </c>
      <c r="AJ653" t="s">
        <v>625</v>
      </c>
    </row>
    <row r="654" hidden="1" spans="1:36">
      <c r="A654">
        <v>113593</v>
      </c>
      <c r="B654" t="s">
        <v>3096</v>
      </c>
      <c r="C654">
        <v>603131</v>
      </c>
      <c r="D654" t="s">
        <v>3097</v>
      </c>
      <c r="E654" t="s">
        <v>140</v>
      </c>
      <c r="F654" t="s">
        <v>708</v>
      </c>
      <c r="G654" t="s">
        <v>3094</v>
      </c>
      <c r="H654" t="s">
        <v>33</v>
      </c>
      <c r="I654" t="s">
        <v>255</v>
      </c>
      <c r="J654" t="s">
        <v>255</v>
      </c>
      <c r="K654" t="s">
        <v>255</v>
      </c>
      <c r="L654" t="s">
        <v>41</v>
      </c>
      <c r="M654" t="s">
        <v>41</v>
      </c>
      <c r="N654" t="s">
        <v>255</v>
      </c>
      <c r="O654" t="s">
        <v>41</v>
      </c>
      <c r="P654" t="s">
        <v>41</v>
      </c>
      <c r="Q654" s="2"/>
      <c r="R654" s="2"/>
      <c r="S654" t="s">
        <v>255</v>
      </c>
      <c r="T654" t="s">
        <v>41</v>
      </c>
      <c r="U654" t="s">
        <v>41</v>
      </c>
      <c r="V654" s="2"/>
      <c r="W654" s="2"/>
      <c r="X654" t="s">
        <v>3094</v>
      </c>
      <c r="Y654">
        <v>21.57</v>
      </c>
      <c r="Z654">
        <v>3314.149</v>
      </c>
      <c r="AA654" s="2"/>
      <c r="AB654" s="2"/>
      <c r="AC654" t="s">
        <v>3098</v>
      </c>
      <c r="AD654">
        <v>22.97</v>
      </c>
      <c r="AE654">
        <v>3379.252</v>
      </c>
      <c r="AF654" s="2">
        <f t="shared" si="49"/>
        <v>0.0649049605934167</v>
      </c>
      <c r="AG654" s="2">
        <f t="shared" si="50"/>
        <v>0.0196439568649448</v>
      </c>
      <c r="AH654" t="s">
        <v>3083</v>
      </c>
      <c r="AI654" t="s">
        <v>41</v>
      </c>
      <c r="AJ654" t="s">
        <v>41</v>
      </c>
    </row>
    <row r="655" hidden="1" spans="1:36">
      <c r="A655">
        <v>128120</v>
      </c>
      <c r="B655" t="s">
        <v>3099</v>
      </c>
      <c r="C655">
        <v>2921</v>
      </c>
      <c r="D655" t="s">
        <v>3100</v>
      </c>
      <c r="E655" t="s">
        <v>3101</v>
      </c>
      <c r="F655" t="s">
        <v>41</v>
      </c>
      <c r="G655" t="s">
        <v>2918</v>
      </c>
      <c r="H655" t="s">
        <v>621</v>
      </c>
      <c r="I655" t="s">
        <v>255</v>
      </c>
      <c r="J655" t="s">
        <v>255</v>
      </c>
      <c r="K655" t="s">
        <v>255</v>
      </c>
      <c r="L655" t="s">
        <v>41</v>
      </c>
      <c r="M655" t="s">
        <v>41</v>
      </c>
      <c r="N655" t="s">
        <v>255</v>
      </c>
      <c r="O655" t="s">
        <v>41</v>
      </c>
      <c r="P655" t="s">
        <v>41</v>
      </c>
      <c r="Q655" s="2"/>
      <c r="R655" s="2"/>
      <c r="S655" t="s">
        <v>255</v>
      </c>
      <c r="T655" t="s">
        <v>41</v>
      </c>
      <c r="U655" t="s">
        <v>41</v>
      </c>
      <c r="V655" s="2"/>
      <c r="W655" s="2"/>
      <c r="X655" t="s">
        <v>2918</v>
      </c>
      <c r="Y655">
        <v>15.22</v>
      </c>
      <c r="Z655">
        <v>3214.129</v>
      </c>
      <c r="AA655" s="2"/>
      <c r="AB655" s="2"/>
      <c r="AC655" t="s">
        <v>2669</v>
      </c>
      <c r="AD655">
        <v>16.65</v>
      </c>
      <c r="AE655">
        <v>3438.801</v>
      </c>
      <c r="AF655" s="2">
        <f t="shared" si="49"/>
        <v>0.0939553219448093</v>
      </c>
      <c r="AG655" s="2">
        <f t="shared" si="50"/>
        <v>0.0699013636353737</v>
      </c>
      <c r="AH655" t="s">
        <v>3102</v>
      </c>
      <c r="AI655" t="s">
        <v>3103</v>
      </c>
      <c r="AJ655" t="s">
        <v>625</v>
      </c>
    </row>
    <row r="656" hidden="1" spans="1:36">
      <c r="A656">
        <v>128121</v>
      </c>
      <c r="B656" t="s">
        <v>3104</v>
      </c>
      <c r="C656">
        <v>2930</v>
      </c>
      <c r="D656" t="s">
        <v>3105</v>
      </c>
      <c r="E656" t="s">
        <v>566</v>
      </c>
      <c r="F656" t="s">
        <v>56</v>
      </c>
      <c r="G656" t="s">
        <v>2918</v>
      </c>
      <c r="H656" t="s">
        <v>33</v>
      </c>
      <c r="I656" t="s">
        <v>255</v>
      </c>
      <c r="J656" t="s">
        <v>255</v>
      </c>
      <c r="K656" t="s">
        <v>255</v>
      </c>
      <c r="L656" t="s">
        <v>41</v>
      </c>
      <c r="M656" t="s">
        <v>41</v>
      </c>
      <c r="N656" t="s">
        <v>255</v>
      </c>
      <c r="O656" t="s">
        <v>41</v>
      </c>
      <c r="P656" t="s">
        <v>41</v>
      </c>
      <c r="Q656" s="2"/>
      <c r="R656" s="2"/>
      <c r="S656" t="s">
        <v>255</v>
      </c>
      <c r="T656" t="s">
        <v>41</v>
      </c>
      <c r="U656" t="s">
        <v>41</v>
      </c>
      <c r="V656" s="2"/>
      <c r="W656" s="2"/>
      <c r="X656" t="s">
        <v>2918</v>
      </c>
      <c r="Y656">
        <v>17.45</v>
      </c>
      <c r="Z656">
        <v>3214.129</v>
      </c>
      <c r="AA656" s="2"/>
      <c r="AB656" s="2"/>
      <c r="AC656" t="s">
        <v>3029</v>
      </c>
      <c r="AD656">
        <v>21.75</v>
      </c>
      <c r="AE656">
        <v>3354.035</v>
      </c>
      <c r="AF656" s="2">
        <f t="shared" si="49"/>
        <v>0.246418338108883</v>
      </c>
      <c r="AG656" s="2">
        <f t="shared" si="50"/>
        <v>0.0435284333640622</v>
      </c>
      <c r="AH656" t="s">
        <v>3102</v>
      </c>
      <c r="AI656" t="s">
        <v>41</v>
      </c>
      <c r="AJ656" t="s">
        <v>41</v>
      </c>
    </row>
    <row r="657" hidden="1" spans="1:36">
      <c r="A657">
        <v>127019</v>
      </c>
      <c r="B657" t="s">
        <v>3106</v>
      </c>
      <c r="C657">
        <v>688</v>
      </c>
      <c r="D657" t="s">
        <v>3107</v>
      </c>
      <c r="E657" t="s">
        <v>390</v>
      </c>
      <c r="F657" t="s">
        <v>31</v>
      </c>
      <c r="G657" t="s">
        <v>3108</v>
      </c>
      <c r="H657" t="s">
        <v>33</v>
      </c>
      <c r="I657" t="s">
        <v>255</v>
      </c>
      <c r="J657" t="s">
        <v>255</v>
      </c>
      <c r="K657" t="s">
        <v>255</v>
      </c>
      <c r="L657" t="s">
        <v>41</v>
      </c>
      <c r="M657" t="s">
        <v>41</v>
      </c>
      <c r="N657" t="s">
        <v>255</v>
      </c>
      <c r="O657" t="s">
        <v>41</v>
      </c>
      <c r="P657" t="s">
        <v>41</v>
      </c>
      <c r="Q657" s="2"/>
      <c r="R657" s="2"/>
      <c r="S657" t="s">
        <v>255</v>
      </c>
      <c r="T657" t="s">
        <v>41</v>
      </c>
      <c r="U657" t="s">
        <v>41</v>
      </c>
      <c r="V657" s="2"/>
      <c r="W657" s="2"/>
      <c r="X657" t="s">
        <v>3108</v>
      </c>
      <c r="Y657">
        <v>21.43</v>
      </c>
      <c r="Z657">
        <v>3361.304</v>
      </c>
      <c r="AA657" s="2"/>
      <c r="AB657" s="2"/>
      <c r="AC657" t="s">
        <v>3098</v>
      </c>
      <c r="AD657">
        <v>24.32</v>
      </c>
      <c r="AE657">
        <v>3379.252</v>
      </c>
      <c r="AF657" s="2">
        <f t="shared" si="49"/>
        <v>0.134857676154923</v>
      </c>
      <c r="AG657" s="2">
        <f t="shared" si="50"/>
        <v>0.00533959439550837</v>
      </c>
      <c r="AH657" t="s">
        <v>3109</v>
      </c>
      <c r="AI657" t="s">
        <v>121</v>
      </c>
      <c r="AJ657" t="s">
        <v>625</v>
      </c>
    </row>
    <row r="658" hidden="1" spans="1:36">
      <c r="A658">
        <v>123059</v>
      </c>
      <c r="B658" t="s">
        <v>3110</v>
      </c>
      <c r="C658">
        <v>300231</v>
      </c>
      <c r="D658" t="s">
        <v>3111</v>
      </c>
      <c r="E658" t="s">
        <v>3112</v>
      </c>
      <c r="F658" t="s">
        <v>56</v>
      </c>
      <c r="G658" t="s">
        <v>3108</v>
      </c>
      <c r="H658" t="s">
        <v>33</v>
      </c>
      <c r="I658" t="s">
        <v>255</v>
      </c>
      <c r="J658" t="s">
        <v>255</v>
      </c>
      <c r="K658" t="s">
        <v>255</v>
      </c>
      <c r="L658" t="s">
        <v>41</v>
      </c>
      <c r="M658" t="s">
        <v>41</v>
      </c>
      <c r="N658" t="s">
        <v>255</v>
      </c>
      <c r="O658" t="s">
        <v>41</v>
      </c>
      <c r="P658" t="s">
        <v>41</v>
      </c>
      <c r="Q658" s="2"/>
      <c r="R658" s="2"/>
      <c r="S658" t="s">
        <v>255</v>
      </c>
      <c r="T658" t="s">
        <v>41</v>
      </c>
      <c r="U658" t="s">
        <v>41</v>
      </c>
      <c r="V658" s="2"/>
      <c r="W658" s="2"/>
      <c r="X658" t="s">
        <v>3108</v>
      </c>
      <c r="Y658">
        <v>8.73</v>
      </c>
      <c r="Z658">
        <v>3361.304</v>
      </c>
      <c r="AA658" s="2"/>
      <c r="AB658" s="2"/>
      <c r="AC658" t="s">
        <v>2628</v>
      </c>
      <c r="AD658">
        <v>9.5</v>
      </c>
      <c r="AE658">
        <v>3319.266</v>
      </c>
      <c r="AF658" s="2">
        <f t="shared" si="49"/>
        <v>0.0882016036655211</v>
      </c>
      <c r="AG658" s="2">
        <f t="shared" si="50"/>
        <v>-0.0125064558278573</v>
      </c>
      <c r="AH658" t="s">
        <v>3109</v>
      </c>
      <c r="AI658" t="s">
        <v>41</v>
      </c>
      <c r="AJ658" t="s">
        <v>41</v>
      </c>
    </row>
    <row r="659" hidden="1" spans="1:36">
      <c r="A659">
        <v>123058</v>
      </c>
      <c r="B659" t="s">
        <v>3113</v>
      </c>
      <c r="C659">
        <v>300207</v>
      </c>
      <c r="D659" t="s">
        <v>3114</v>
      </c>
      <c r="E659" t="s">
        <v>3115</v>
      </c>
      <c r="F659" t="s">
        <v>41</v>
      </c>
      <c r="G659" t="s">
        <v>2734</v>
      </c>
      <c r="H659" t="s">
        <v>621</v>
      </c>
      <c r="I659" t="s">
        <v>255</v>
      </c>
      <c r="J659" t="s">
        <v>255</v>
      </c>
      <c r="K659" t="s">
        <v>255</v>
      </c>
      <c r="L659" t="s">
        <v>41</v>
      </c>
      <c r="M659" t="s">
        <v>41</v>
      </c>
      <c r="N659" t="s">
        <v>255</v>
      </c>
      <c r="O659" t="s">
        <v>41</v>
      </c>
      <c r="P659" t="s">
        <v>41</v>
      </c>
      <c r="Q659" s="2"/>
      <c r="R659" s="2"/>
      <c r="S659" t="s">
        <v>255</v>
      </c>
      <c r="T659" t="s">
        <v>41</v>
      </c>
      <c r="U659" t="s">
        <v>41</v>
      </c>
      <c r="V659" s="2"/>
      <c r="W659" s="2"/>
      <c r="X659" t="s">
        <v>2734</v>
      </c>
      <c r="Y659">
        <v>23.4</v>
      </c>
      <c r="Z659">
        <v>3414.619</v>
      </c>
      <c r="AA659" s="2"/>
      <c r="AB659" s="2"/>
      <c r="AC659" t="s">
        <v>3029</v>
      </c>
      <c r="AD659">
        <v>25.86</v>
      </c>
      <c r="AE659">
        <v>3354.035</v>
      </c>
      <c r="AF659" s="2">
        <f t="shared" si="49"/>
        <v>0.105128205128205</v>
      </c>
      <c r="AG659" s="2">
        <f t="shared" si="50"/>
        <v>-0.0177425358436769</v>
      </c>
      <c r="AH659" t="s">
        <v>3116</v>
      </c>
      <c r="AI659" t="s">
        <v>2175</v>
      </c>
      <c r="AJ659" t="s">
        <v>625</v>
      </c>
    </row>
    <row r="660" hidden="1" spans="1:36">
      <c r="A660">
        <v>128119</v>
      </c>
      <c r="B660" t="s">
        <v>3117</v>
      </c>
      <c r="C660">
        <v>2726</v>
      </c>
      <c r="D660" t="s">
        <v>3118</v>
      </c>
      <c r="E660" t="s">
        <v>1462</v>
      </c>
      <c r="F660" t="s">
        <v>1208</v>
      </c>
      <c r="G660" t="s">
        <v>2914</v>
      </c>
      <c r="H660" t="s">
        <v>33</v>
      </c>
      <c r="I660" t="s">
        <v>255</v>
      </c>
      <c r="J660" t="s">
        <v>255</v>
      </c>
      <c r="K660" t="s">
        <v>255</v>
      </c>
      <c r="L660" t="s">
        <v>41</v>
      </c>
      <c r="M660" t="s">
        <v>41</v>
      </c>
      <c r="N660" t="s">
        <v>255</v>
      </c>
      <c r="O660" t="s">
        <v>41</v>
      </c>
      <c r="P660" t="s">
        <v>41</v>
      </c>
      <c r="Q660" s="2"/>
      <c r="R660" s="2"/>
      <c r="S660" t="s">
        <v>255</v>
      </c>
      <c r="T660" t="s">
        <v>41</v>
      </c>
      <c r="U660" t="s">
        <v>41</v>
      </c>
      <c r="V660" s="2"/>
      <c r="W660" s="2"/>
      <c r="X660" t="s">
        <v>2914</v>
      </c>
      <c r="Y660">
        <v>10.96</v>
      </c>
      <c r="Z660">
        <v>3443.286</v>
      </c>
      <c r="AA660" s="2"/>
      <c r="AB660" s="2"/>
      <c r="AC660" t="s">
        <v>3029</v>
      </c>
      <c r="AD660">
        <v>11.61</v>
      </c>
      <c r="AE660">
        <v>3354.035</v>
      </c>
      <c r="AF660" s="2">
        <f t="shared" si="49"/>
        <v>0.0593065693430656</v>
      </c>
      <c r="AG660" s="2">
        <f t="shared" si="50"/>
        <v>-0.0259202982267521</v>
      </c>
      <c r="AH660" t="s">
        <v>3116</v>
      </c>
      <c r="AI660" t="s">
        <v>41</v>
      </c>
      <c r="AJ660" t="s">
        <v>41</v>
      </c>
    </row>
    <row r="661" hidden="1" spans="1:36">
      <c r="A661">
        <v>110071</v>
      </c>
      <c r="B661" t="s">
        <v>3119</v>
      </c>
      <c r="C661">
        <v>600929</v>
      </c>
      <c r="D661" t="s">
        <v>3120</v>
      </c>
      <c r="E661" t="s">
        <v>2207</v>
      </c>
      <c r="F661" t="s">
        <v>41</v>
      </c>
      <c r="G661" t="s">
        <v>3121</v>
      </c>
      <c r="H661" t="s">
        <v>621</v>
      </c>
      <c r="I661" t="s">
        <v>255</v>
      </c>
      <c r="J661" t="s">
        <v>255</v>
      </c>
      <c r="K661" t="s">
        <v>255</v>
      </c>
      <c r="L661" t="s">
        <v>41</v>
      </c>
      <c r="M661" t="s">
        <v>41</v>
      </c>
      <c r="N661" t="s">
        <v>255</v>
      </c>
      <c r="O661" t="s">
        <v>41</v>
      </c>
      <c r="P661" t="s">
        <v>41</v>
      </c>
      <c r="Q661" s="2"/>
      <c r="R661" s="2"/>
      <c r="S661" t="s">
        <v>255</v>
      </c>
      <c r="T661" t="s">
        <v>41</v>
      </c>
      <c r="U661" t="s">
        <v>41</v>
      </c>
      <c r="V661" s="2"/>
      <c r="W661" s="2"/>
      <c r="X661" t="s">
        <v>3121</v>
      </c>
      <c r="Y661">
        <v>6.07</v>
      </c>
      <c r="Z661">
        <v>3383.322</v>
      </c>
      <c r="AA661" s="2"/>
      <c r="AB661" s="2"/>
      <c r="AC661" t="s">
        <v>2688</v>
      </c>
      <c r="AD661">
        <v>6.22</v>
      </c>
      <c r="AE661">
        <v>3310.007</v>
      </c>
      <c r="AF661" s="2">
        <f t="shared" si="49"/>
        <v>0.0247116968698516</v>
      </c>
      <c r="AG661" s="2">
        <f t="shared" si="50"/>
        <v>-0.0216695307156694</v>
      </c>
      <c r="AH661" t="s">
        <v>3122</v>
      </c>
      <c r="AI661" t="s">
        <v>1242</v>
      </c>
      <c r="AJ661" t="s">
        <v>625</v>
      </c>
    </row>
    <row r="662" hidden="1" spans="1:36">
      <c r="A662">
        <v>113592</v>
      </c>
      <c r="B662" t="s">
        <v>3123</v>
      </c>
      <c r="C662">
        <v>603345</v>
      </c>
      <c r="D662" t="s">
        <v>3124</v>
      </c>
      <c r="E662" t="s">
        <v>1183</v>
      </c>
      <c r="F662" t="s">
        <v>41</v>
      </c>
      <c r="G662" t="s">
        <v>2835</v>
      </c>
      <c r="H662" t="s">
        <v>621</v>
      </c>
      <c r="I662" t="s">
        <v>255</v>
      </c>
      <c r="J662" t="s">
        <v>255</v>
      </c>
      <c r="K662" t="s">
        <v>255</v>
      </c>
      <c r="L662" t="s">
        <v>41</v>
      </c>
      <c r="M662" t="s">
        <v>41</v>
      </c>
      <c r="N662" t="s">
        <v>255</v>
      </c>
      <c r="O662" t="s">
        <v>41</v>
      </c>
      <c r="P662" t="s">
        <v>41</v>
      </c>
      <c r="Q662" s="2"/>
      <c r="R662" s="2"/>
      <c r="S662" t="s">
        <v>255</v>
      </c>
      <c r="T662" t="s">
        <v>41</v>
      </c>
      <c r="U662" t="s">
        <v>41</v>
      </c>
      <c r="V662" s="2"/>
      <c r="W662" s="2"/>
      <c r="X662" t="s">
        <v>2835</v>
      </c>
      <c r="Y662">
        <v>113.6</v>
      </c>
      <c r="Z662">
        <v>3403.44</v>
      </c>
      <c r="AA662" s="2"/>
      <c r="AB662" s="2"/>
      <c r="AC662" t="s">
        <v>2688</v>
      </c>
      <c r="AD662">
        <v>135.04</v>
      </c>
      <c r="AE662">
        <v>3310.007</v>
      </c>
      <c r="AF662" s="2">
        <f t="shared" si="49"/>
        <v>0.188732394366197</v>
      </c>
      <c r="AG662" s="2">
        <f t="shared" si="50"/>
        <v>-0.0274525186282115</v>
      </c>
      <c r="AH662" t="s">
        <v>3125</v>
      </c>
      <c r="AI662" t="s">
        <v>3126</v>
      </c>
      <c r="AJ662" t="s">
        <v>625</v>
      </c>
    </row>
    <row r="663" hidden="1" spans="1:36">
      <c r="A663">
        <v>113036</v>
      </c>
      <c r="B663" t="s">
        <v>3127</v>
      </c>
      <c r="C663">
        <v>601789</v>
      </c>
      <c r="D663" t="s">
        <v>3128</v>
      </c>
      <c r="E663" t="s">
        <v>1470</v>
      </c>
      <c r="F663" t="s">
        <v>41</v>
      </c>
      <c r="G663" t="s">
        <v>2627</v>
      </c>
      <c r="H663" t="s">
        <v>621</v>
      </c>
      <c r="I663" t="s">
        <v>255</v>
      </c>
      <c r="J663" t="s">
        <v>255</v>
      </c>
      <c r="K663" t="s">
        <v>255</v>
      </c>
      <c r="L663" t="s">
        <v>41</v>
      </c>
      <c r="M663" t="s">
        <v>41</v>
      </c>
      <c r="N663" t="s">
        <v>255</v>
      </c>
      <c r="O663" t="s">
        <v>41</v>
      </c>
      <c r="P663" t="s">
        <v>41</v>
      </c>
      <c r="Q663" s="2"/>
      <c r="R663" s="2"/>
      <c r="S663" t="s">
        <v>255</v>
      </c>
      <c r="T663" t="s">
        <v>41</v>
      </c>
      <c r="U663" t="s">
        <v>41</v>
      </c>
      <c r="V663" s="2"/>
      <c r="W663" s="2"/>
      <c r="X663" t="s">
        <v>2627</v>
      </c>
      <c r="Y663">
        <v>4.79</v>
      </c>
      <c r="Z663">
        <v>3332.881</v>
      </c>
      <c r="AA663" s="2"/>
      <c r="AB663" s="2"/>
      <c r="AC663" t="s">
        <v>2936</v>
      </c>
      <c r="AD663">
        <v>4.58</v>
      </c>
      <c r="AE663">
        <v>3386.463</v>
      </c>
      <c r="AF663" s="2">
        <f t="shared" si="49"/>
        <v>-0.0438413361169102</v>
      </c>
      <c r="AG663" s="2">
        <f t="shared" si="50"/>
        <v>0.0160767816192658</v>
      </c>
      <c r="AH663" t="s">
        <v>3129</v>
      </c>
      <c r="AI663" t="s">
        <v>2023</v>
      </c>
      <c r="AJ663" t="s">
        <v>625</v>
      </c>
    </row>
    <row r="664" hidden="1" spans="1:36">
      <c r="A664">
        <v>128118</v>
      </c>
      <c r="B664" t="s">
        <v>3130</v>
      </c>
      <c r="C664">
        <v>2861</v>
      </c>
      <c r="D664" t="s">
        <v>3131</v>
      </c>
      <c r="E664" t="s">
        <v>218</v>
      </c>
      <c r="F664" t="s">
        <v>41</v>
      </c>
      <c r="G664" t="s">
        <v>2615</v>
      </c>
      <c r="H664" t="s">
        <v>621</v>
      </c>
      <c r="I664" t="s">
        <v>255</v>
      </c>
      <c r="J664" t="s">
        <v>255</v>
      </c>
      <c r="K664" t="s">
        <v>255</v>
      </c>
      <c r="L664" t="s">
        <v>41</v>
      </c>
      <c r="M664" t="s">
        <v>41</v>
      </c>
      <c r="N664" t="s">
        <v>255</v>
      </c>
      <c r="O664" t="s">
        <v>41</v>
      </c>
      <c r="P664" t="s">
        <v>41</v>
      </c>
      <c r="Q664" s="2"/>
      <c r="R664" s="2"/>
      <c r="S664" t="s">
        <v>255</v>
      </c>
      <c r="T664" t="s">
        <v>41</v>
      </c>
      <c r="U664" t="s">
        <v>41</v>
      </c>
      <c r="V664" s="2"/>
      <c r="W664" s="2"/>
      <c r="X664" t="s">
        <v>2615</v>
      </c>
      <c r="Y664">
        <v>21.36</v>
      </c>
      <c r="Z664">
        <v>3090.569</v>
      </c>
      <c r="AA664" s="2"/>
      <c r="AB664" s="2"/>
      <c r="AC664" t="s">
        <v>3038</v>
      </c>
      <c r="AD664">
        <v>22.35</v>
      </c>
      <c r="AE664">
        <v>3377.565</v>
      </c>
      <c r="AF664" s="2">
        <f t="shared" si="49"/>
        <v>0.0463483146067417</v>
      </c>
      <c r="AG664" s="2">
        <f t="shared" si="50"/>
        <v>0.0928618645951603</v>
      </c>
      <c r="AH664" t="s">
        <v>3132</v>
      </c>
      <c r="AI664" t="s">
        <v>1117</v>
      </c>
      <c r="AJ664" t="s">
        <v>625</v>
      </c>
    </row>
    <row r="665" hidden="1" spans="1:36">
      <c r="A665">
        <v>128117</v>
      </c>
      <c r="B665" t="s">
        <v>3133</v>
      </c>
      <c r="C665">
        <v>2838</v>
      </c>
      <c r="D665" t="s">
        <v>3134</v>
      </c>
      <c r="E665" t="s">
        <v>1051</v>
      </c>
      <c r="F665" t="s">
        <v>41</v>
      </c>
      <c r="G665" t="s">
        <v>2615</v>
      </c>
      <c r="H665" t="s">
        <v>621</v>
      </c>
      <c r="I665" t="s">
        <v>255</v>
      </c>
      <c r="J665" t="s">
        <v>255</v>
      </c>
      <c r="K665" t="s">
        <v>255</v>
      </c>
      <c r="L665" t="s">
        <v>41</v>
      </c>
      <c r="M665" t="s">
        <v>41</v>
      </c>
      <c r="N665" t="s">
        <v>255</v>
      </c>
      <c r="O665" t="s">
        <v>41</v>
      </c>
      <c r="P665" t="s">
        <v>41</v>
      </c>
      <c r="Q665" s="2"/>
      <c r="R665" s="2"/>
      <c r="S665" t="s">
        <v>255</v>
      </c>
      <c r="T665" t="s">
        <v>41</v>
      </c>
      <c r="U665" t="s">
        <v>41</v>
      </c>
      <c r="V665" s="2"/>
      <c r="W665" s="2"/>
      <c r="X665" t="s">
        <v>2615</v>
      </c>
      <c r="Y665">
        <v>28.02</v>
      </c>
      <c r="Z665">
        <v>3090.569</v>
      </c>
      <c r="AA665" s="2"/>
      <c r="AB665" s="2"/>
      <c r="AC665" t="s">
        <v>3094</v>
      </c>
      <c r="AD665">
        <v>33.16</v>
      </c>
      <c r="AE665">
        <v>3314.149</v>
      </c>
      <c r="AF665" s="2">
        <f t="shared" si="49"/>
        <v>0.18344039971449</v>
      </c>
      <c r="AG665" s="2">
        <f t="shared" si="50"/>
        <v>0.0723426657033057</v>
      </c>
      <c r="AH665" t="s">
        <v>3132</v>
      </c>
      <c r="AI665" t="s">
        <v>318</v>
      </c>
      <c r="AJ665" t="s">
        <v>625</v>
      </c>
    </row>
    <row r="666" hidden="1" spans="1:36">
      <c r="A666">
        <v>123057</v>
      </c>
      <c r="B666" t="s">
        <v>3135</v>
      </c>
      <c r="C666">
        <v>300586</v>
      </c>
      <c r="D666" t="s">
        <v>3136</v>
      </c>
      <c r="E666" t="s">
        <v>3137</v>
      </c>
      <c r="F666" t="s">
        <v>41</v>
      </c>
      <c r="G666" t="s">
        <v>2591</v>
      </c>
      <c r="H666" t="s">
        <v>621</v>
      </c>
      <c r="I666" t="s">
        <v>255</v>
      </c>
      <c r="J666" t="s">
        <v>255</v>
      </c>
      <c r="K666" t="s">
        <v>255</v>
      </c>
      <c r="L666" t="s">
        <v>41</v>
      </c>
      <c r="M666" t="s">
        <v>41</v>
      </c>
      <c r="N666" t="s">
        <v>255</v>
      </c>
      <c r="O666" t="s">
        <v>41</v>
      </c>
      <c r="P666" t="s">
        <v>41</v>
      </c>
      <c r="Q666" s="2"/>
      <c r="R666" s="2"/>
      <c r="S666" t="s">
        <v>255</v>
      </c>
      <c r="T666" t="s">
        <v>41</v>
      </c>
      <c r="U666" t="s">
        <v>41</v>
      </c>
      <c r="V666" s="2"/>
      <c r="W666" s="2"/>
      <c r="X666" t="s">
        <v>2591</v>
      </c>
      <c r="Y666">
        <v>6.72</v>
      </c>
      <c r="Z666">
        <v>3025.981</v>
      </c>
      <c r="AA666" s="2"/>
      <c r="AB666" s="2"/>
      <c r="AC666" t="s">
        <v>2492</v>
      </c>
      <c r="AD666">
        <v>6.83</v>
      </c>
      <c r="AE666">
        <v>3205.227</v>
      </c>
      <c r="AF666" s="2">
        <f t="shared" si="49"/>
        <v>0.0163690476190477</v>
      </c>
      <c r="AG666" s="2">
        <f t="shared" si="50"/>
        <v>0.0592356660534219</v>
      </c>
      <c r="AH666" t="s">
        <v>3138</v>
      </c>
      <c r="AI666" t="s">
        <v>1080</v>
      </c>
      <c r="AJ666" t="s">
        <v>625</v>
      </c>
    </row>
    <row r="667" hidden="1" spans="1:36">
      <c r="A667">
        <v>113591</v>
      </c>
      <c r="B667" t="s">
        <v>3139</v>
      </c>
      <c r="C667">
        <v>603687</v>
      </c>
      <c r="D667" t="s">
        <v>3140</v>
      </c>
      <c r="E667" t="s">
        <v>667</v>
      </c>
      <c r="F667" t="s">
        <v>41</v>
      </c>
      <c r="G667" t="s">
        <v>2591</v>
      </c>
      <c r="H667" t="s">
        <v>621</v>
      </c>
      <c r="I667" t="s">
        <v>255</v>
      </c>
      <c r="J667" t="s">
        <v>255</v>
      </c>
      <c r="K667" t="s">
        <v>255</v>
      </c>
      <c r="L667" t="s">
        <v>41</v>
      </c>
      <c r="M667" t="s">
        <v>41</v>
      </c>
      <c r="N667" t="s">
        <v>255</v>
      </c>
      <c r="O667" t="s">
        <v>41</v>
      </c>
      <c r="P667" t="s">
        <v>41</v>
      </c>
      <c r="Q667" s="2"/>
      <c r="R667" s="2"/>
      <c r="S667" t="s">
        <v>255</v>
      </c>
      <c r="T667" t="s">
        <v>41</v>
      </c>
      <c r="U667" t="s">
        <v>41</v>
      </c>
      <c r="V667" s="2"/>
      <c r="W667" s="2"/>
      <c r="X667" t="s">
        <v>2591</v>
      </c>
      <c r="Y667">
        <v>13.49</v>
      </c>
      <c r="Z667">
        <v>3025.981</v>
      </c>
      <c r="AA667" s="2"/>
      <c r="AB667" s="2"/>
      <c r="AC667" t="s">
        <v>2657</v>
      </c>
      <c r="AD667">
        <v>13.95</v>
      </c>
      <c r="AE667">
        <v>3325.11</v>
      </c>
      <c r="AF667" s="2">
        <f t="shared" si="49"/>
        <v>0.03409933283914</v>
      </c>
      <c r="AG667" s="2">
        <f t="shared" si="50"/>
        <v>0.0988535618696878</v>
      </c>
      <c r="AH667" t="s">
        <v>3141</v>
      </c>
      <c r="AI667" t="s">
        <v>422</v>
      </c>
      <c r="AJ667" t="s">
        <v>625</v>
      </c>
    </row>
    <row r="668" hidden="1" spans="1:36">
      <c r="A668">
        <v>127018</v>
      </c>
      <c r="B668" t="s">
        <v>3142</v>
      </c>
      <c r="C668">
        <v>761</v>
      </c>
      <c r="D668" t="s">
        <v>3143</v>
      </c>
      <c r="E668" t="s">
        <v>3144</v>
      </c>
      <c r="F668" t="s">
        <v>444</v>
      </c>
      <c r="G668" t="s">
        <v>2722</v>
      </c>
      <c r="H668" t="s">
        <v>33</v>
      </c>
      <c r="I668" t="s">
        <v>255</v>
      </c>
      <c r="J668" t="s">
        <v>255</v>
      </c>
      <c r="K668" t="s">
        <v>255</v>
      </c>
      <c r="L668" t="s">
        <v>41</v>
      </c>
      <c r="M668" t="s">
        <v>41</v>
      </c>
      <c r="N668" t="s">
        <v>255</v>
      </c>
      <c r="O668" t="s">
        <v>41</v>
      </c>
      <c r="P668" t="s">
        <v>41</v>
      </c>
      <c r="Q668" s="2"/>
      <c r="R668" s="2"/>
      <c r="S668" t="s">
        <v>255</v>
      </c>
      <c r="T668" t="s">
        <v>41</v>
      </c>
      <c r="U668" t="s">
        <v>41</v>
      </c>
      <c r="V668" s="2"/>
      <c r="W668" s="2"/>
      <c r="X668" t="s">
        <v>2722</v>
      </c>
      <c r="Y668">
        <v>2.12</v>
      </c>
      <c r="Z668">
        <v>2961.516</v>
      </c>
      <c r="AA668" s="2"/>
      <c r="AB668" s="2"/>
      <c r="AC668" t="s">
        <v>3145</v>
      </c>
      <c r="AD668">
        <v>2.45</v>
      </c>
      <c r="AE668">
        <v>3371.688</v>
      </c>
      <c r="AF668" s="2">
        <f t="shared" si="49"/>
        <v>0.155660377358491</v>
      </c>
      <c r="AG668" s="2">
        <f t="shared" si="50"/>
        <v>0.138500686810404</v>
      </c>
      <c r="AH668" t="s">
        <v>3146</v>
      </c>
      <c r="AI668" t="s">
        <v>41</v>
      </c>
      <c r="AJ668" t="s">
        <v>41</v>
      </c>
    </row>
    <row r="669" hidden="1" spans="1:36">
      <c r="A669">
        <v>128116</v>
      </c>
      <c r="B669" t="s">
        <v>3147</v>
      </c>
      <c r="C669">
        <v>2961</v>
      </c>
      <c r="D669" t="s">
        <v>3148</v>
      </c>
      <c r="E669" t="s">
        <v>178</v>
      </c>
      <c r="F669" t="s">
        <v>397</v>
      </c>
      <c r="G669" t="s">
        <v>2722</v>
      </c>
      <c r="H669" t="s">
        <v>33</v>
      </c>
      <c r="I669" t="s">
        <v>255</v>
      </c>
      <c r="J669" t="s">
        <v>255</v>
      </c>
      <c r="K669" t="s">
        <v>255</v>
      </c>
      <c r="L669" t="s">
        <v>41</v>
      </c>
      <c r="M669" t="s">
        <v>41</v>
      </c>
      <c r="N669" t="s">
        <v>255</v>
      </c>
      <c r="O669" t="s">
        <v>41</v>
      </c>
      <c r="P669" t="s">
        <v>41</v>
      </c>
      <c r="Q669" s="2"/>
      <c r="R669" s="2"/>
      <c r="S669" t="s">
        <v>255</v>
      </c>
      <c r="T669" t="s">
        <v>41</v>
      </c>
      <c r="U669" t="s">
        <v>41</v>
      </c>
      <c r="V669" s="2"/>
      <c r="W669" s="2"/>
      <c r="X669" t="s">
        <v>2722</v>
      </c>
      <c r="Y669">
        <v>25.64</v>
      </c>
      <c r="Z669">
        <v>2961.516</v>
      </c>
      <c r="AA669" s="2"/>
      <c r="AB669" s="2"/>
      <c r="AC669" t="s">
        <v>2940</v>
      </c>
      <c r="AD669">
        <v>27.3</v>
      </c>
      <c r="AE669">
        <v>3196.768</v>
      </c>
      <c r="AF669" s="2">
        <f t="shared" si="49"/>
        <v>0.0647425897035881</v>
      </c>
      <c r="AG669" s="2">
        <f t="shared" si="50"/>
        <v>0.0794363427379761</v>
      </c>
      <c r="AH669" t="s">
        <v>3146</v>
      </c>
      <c r="AI669" t="s">
        <v>41</v>
      </c>
      <c r="AJ669" t="s">
        <v>41</v>
      </c>
    </row>
    <row r="670" hidden="1" spans="1:36">
      <c r="A670">
        <v>113590</v>
      </c>
      <c r="B670" t="s">
        <v>3149</v>
      </c>
      <c r="C670">
        <v>603187</v>
      </c>
      <c r="D670" t="s">
        <v>3150</v>
      </c>
      <c r="E670" t="s">
        <v>522</v>
      </c>
      <c r="F670" t="s">
        <v>41</v>
      </c>
      <c r="G670" t="s">
        <v>2722</v>
      </c>
      <c r="H670" t="s">
        <v>621</v>
      </c>
      <c r="I670" t="s">
        <v>255</v>
      </c>
      <c r="J670" t="s">
        <v>255</v>
      </c>
      <c r="K670" t="s">
        <v>255</v>
      </c>
      <c r="L670" t="s">
        <v>41</v>
      </c>
      <c r="M670" t="s">
        <v>41</v>
      </c>
      <c r="N670" t="s">
        <v>255</v>
      </c>
      <c r="O670" t="s">
        <v>41</v>
      </c>
      <c r="P670" t="s">
        <v>41</v>
      </c>
      <c r="Q670" s="2"/>
      <c r="R670" s="2"/>
      <c r="S670" t="s">
        <v>255</v>
      </c>
      <c r="T670" t="s">
        <v>41</v>
      </c>
      <c r="U670" t="s">
        <v>41</v>
      </c>
      <c r="V670" s="2"/>
      <c r="W670" s="2"/>
      <c r="X670" t="s">
        <v>2722</v>
      </c>
      <c r="Y670">
        <v>16.52</v>
      </c>
      <c r="Z670">
        <v>2961.516</v>
      </c>
      <c r="AA670" s="2"/>
      <c r="AB670" s="2"/>
      <c r="AC670" t="s">
        <v>2492</v>
      </c>
      <c r="AD670">
        <v>22.76</v>
      </c>
      <c r="AE670">
        <v>3205.227</v>
      </c>
      <c r="AF670" s="2">
        <f t="shared" si="49"/>
        <v>0.37772397094431</v>
      </c>
      <c r="AG670" s="2">
        <f t="shared" si="50"/>
        <v>0.0822926501156839</v>
      </c>
      <c r="AH670" t="s">
        <v>3146</v>
      </c>
      <c r="AI670" t="s">
        <v>3126</v>
      </c>
      <c r="AJ670" t="s">
        <v>625</v>
      </c>
    </row>
    <row r="671" hidden="1" spans="1:36">
      <c r="A671">
        <v>128115</v>
      </c>
      <c r="B671" t="s">
        <v>1983</v>
      </c>
      <c r="C671">
        <v>2444</v>
      </c>
      <c r="D671" t="s">
        <v>3151</v>
      </c>
      <c r="E671" t="s">
        <v>3152</v>
      </c>
      <c r="F671" t="s">
        <v>41</v>
      </c>
      <c r="G671" t="s">
        <v>3153</v>
      </c>
      <c r="H671" t="s">
        <v>621</v>
      </c>
      <c r="I671" t="s">
        <v>255</v>
      </c>
      <c r="J671" t="s">
        <v>255</v>
      </c>
      <c r="K671" t="s">
        <v>255</v>
      </c>
      <c r="L671" t="s">
        <v>41</v>
      </c>
      <c r="M671" t="s">
        <v>41</v>
      </c>
      <c r="N671" t="s">
        <v>255</v>
      </c>
      <c r="O671" t="s">
        <v>41</v>
      </c>
      <c r="P671" t="s">
        <v>41</v>
      </c>
      <c r="Q671" s="2"/>
      <c r="R671" s="2"/>
      <c r="S671" t="s">
        <v>255</v>
      </c>
      <c r="T671" t="s">
        <v>41</v>
      </c>
      <c r="U671" t="s">
        <v>41</v>
      </c>
      <c r="V671" s="2"/>
      <c r="W671" s="2"/>
      <c r="X671" t="s">
        <v>3153</v>
      </c>
      <c r="Y671">
        <v>10.48</v>
      </c>
      <c r="Z671">
        <v>2979.551</v>
      </c>
      <c r="AA671" s="2"/>
      <c r="AB671" s="2"/>
      <c r="AC671" t="s">
        <v>3154</v>
      </c>
      <c r="AD671">
        <v>12.94</v>
      </c>
      <c r="AE671">
        <v>3210.099</v>
      </c>
      <c r="AF671" s="2">
        <f t="shared" si="49"/>
        <v>0.234732824427481</v>
      </c>
      <c r="AG671" s="2">
        <f t="shared" si="50"/>
        <v>0.0773767591157192</v>
      </c>
      <c r="AH671" t="s">
        <v>3155</v>
      </c>
      <c r="AI671" t="s">
        <v>2472</v>
      </c>
      <c r="AJ671" t="s">
        <v>625</v>
      </c>
    </row>
    <row r="672" hidden="1" spans="1:36">
      <c r="A672">
        <v>113589</v>
      </c>
      <c r="B672" t="s">
        <v>3156</v>
      </c>
      <c r="C672">
        <v>603608</v>
      </c>
      <c r="D672" t="s">
        <v>3157</v>
      </c>
      <c r="E672" t="s">
        <v>1114</v>
      </c>
      <c r="F672" t="s">
        <v>1208</v>
      </c>
      <c r="G672" t="s">
        <v>3153</v>
      </c>
      <c r="H672" t="s">
        <v>33</v>
      </c>
      <c r="I672" t="s">
        <v>255</v>
      </c>
      <c r="J672" t="s">
        <v>255</v>
      </c>
      <c r="K672" t="s">
        <v>255</v>
      </c>
      <c r="L672" t="s">
        <v>41</v>
      </c>
      <c r="M672" t="s">
        <v>41</v>
      </c>
      <c r="N672" t="s">
        <v>255</v>
      </c>
      <c r="O672" t="s">
        <v>41</v>
      </c>
      <c r="P672" t="s">
        <v>41</v>
      </c>
      <c r="Q672" s="2"/>
      <c r="R672" s="2"/>
      <c r="S672" t="s">
        <v>255</v>
      </c>
      <c r="T672" t="s">
        <v>41</v>
      </c>
      <c r="U672" t="s">
        <v>41</v>
      </c>
      <c r="V672" s="2"/>
      <c r="W672" s="2"/>
      <c r="X672" t="s">
        <v>3153</v>
      </c>
      <c r="Y672">
        <v>10.75</v>
      </c>
      <c r="Z672">
        <v>2979.551</v>
      </c>
      <c r="AA672" s="2"/>
      <c r="AB672" s="2"/>
      <c r="AC672" t="s">
        <v>3154</v>
      </c>
      <c r="AD672">
        <v>9.29</v>
      </c>
      <c r="AE672">
        <v>3210.099</v>
      </c>
      <c r="AF672" s="2">
        <f t="shared" si="49"/>
        <v>-0.135813953488372</v>
      </c>
      <c r="AG672" s="2">
        <f t="shared" si="50"/>
        <v>0.0773767591157192</v>
      </c>
      <c r="AH672" t="s">
        <v>3158</v>
      </c>
      <c r="AI672" t="s">
        <v>41</v>
      </c>
      <c r="AJ672" t="s">
        <v>41</v>
      </c>
    </row>
    <row r="673" hidden="1" spans="1:36">
      <c r="A673">
        <v>123056</v>
      </c>
      <c r="B673" t="s">
        <v>3159</v>
      </c>
      <c r="C673">
        <v>300511</v>
      </c>
      <c r="D673" t="s">
        <v>3160</v>
      </c>
      <c r="E673" t="s">
        <v>3161</v>
      </c>
      <c r="F673" t="s">
        <v>41</v>
      </c>
      <c r="G673" t="s">
        <v>3153</v>
      </c>
      <c r="H673" t="s">
        <v>621</v>
      </c>
      <c r="I673" t="s">
        <v>255</v>
      </c>
      <c r="J673" t="s">
        <v>255</v>
      </c>
      <c r="K673" t="s">
        <v>255</v>
      </c>
      <c r="L673" t="s">
        <v>41</v>
      </c>
      <c r="M673" t="s">
        <v>41</v>
      </c>
      <c r="N673" t="s">
        <v>255</v>
      </c>
      <c r="O673" t="s">
        <v>41</v>
      </c>
      <c r="P673" t="s">
        <v>41</v>
      </c>
      <c r="Q673" s="2"/>
      <c r="R673" s="2"/>
      <c r="S673" t="s">
        <v>255</v>
      </c>
      <c r="T673" t="s">
        <v>41</v>
      </c>
      <c r="U673" t="s">
        <v>41</v>
      </c>
      <c r="V673" s="2"/>
      <c r="W673" s="2"/>
      <c r="X673" t="s">
        <v>3153</v>
      </c>
      <c r="Y673">
        <v>10.73</v>
      </c>
      <c r="Z673">
        <v>2979.551</v>
      </c>
      <c r="AA673" s="2"/>
      <c r="AB673" s="2"/>
      <c r="AC673" t="s">
        <v>2940</v>
      </c>
      <c r="AD673">
        <v>16.98</v>
      </c>
      <c r="AE673">
        <v>3196.768</v>
      </c>
      <c r="AF673" s="2">
        <f t="shared" si="49"/>
        <v>0.582479030754893</v>
      </c>
      <c r="AG673" s="2">
        <f t="shared" si="50"/>
        <v>0.0729025950554295</v>
      </c>
      <c r="AH673" t="s">
        <v>3158</v>
      </c>
      <c r="AI673" t="s">
        <v>295</v>
      </c>
      <c r="AJ673" t="s">
        <v>625</v>
      </c>
    </row>
    <row r="674" hidden="1" spans="1:36">
      <c r="A674">
        <v>128114</v>
      </c>
      <c r="B674" t="s">
        <v>3162</v>
      </c>
      <c r="C674">
        <v>2157</v>
      </c>
      <c r="D674" t="s">
        <v>3163</v>
      </c>
      <c r="E674" t="s">
        <v>3164</v>
      </c>
      <c r="F674" t="s">
        <v>41</v>
      </c>
      <c r="G674" t="s">
        <v>3165</v>
      </c>
      <c r="H674" t="s">
        <v>621</v>
      </c>
      <c r="I674" t="s">
        <v>255</v>
      </c>
      <c r="J674" t="s">
        <v>255</v>
      </c>
      <c r="K674" t="s">
        <v>255</v>
      </c>
      <c r="L674" t="s">
        <v>41</v>
      </c>
      <c r="M674" t="s">
        <v>41</v>
      </c>
      <c r="N674" t="s">
        <v>255</v>
      </c>
      <c r="O674" t="s">
        <v>41</v>
      </c>
      <c r="P674" t="s">
        <v>41</v>
      </c>
      <c r="Q674" s="2"/>
      <c r="R674" s="2"/>
      <c r="S674" t="s">
        <v>255</v>
      </c>
      <c r="T674" t="s">
        <v>41</v>
      </c>
      <c r="U674" t="s">
        <v>41</v>
      </c>
      <c r="V674" s="2"/>
      <c r="W674" s="2"/>
      <c r="X674" t="s">
        <v>3165</v>
      </c>
      <c r="Y674">
        <v>15.99</v>
      </c>
      <c r="Z674">
        <v>2935.873</v>
      </c>
      <c r="AA674" s="2"/>
      <c r="AB674" s="2"/>
      <c r="AC674" t="s">
        <v>3108</v>
      </c>
      <c r="AD674">
        <v>19.17</v>
      </c>
      <c r="AE674">
        <v>3361.304</v>
      </c>
      <c r="AF674" s="2">
        <f t="shared" si="49"/>
        <v>0.198874296435272</v>
      </c>
      <c r="AG674" s="2">
        <f t="shared" si="50"/>
        <v>0.144907834909753</v>
      </c>
      <c r="AH674" t="s">
        <v>3166</v>
      </c>
      <c r="AI674" t="s">
        <v>639</v>
      </c>
      <c r="AJ674" t="s">
        <v>3167</v>
      </c>
    </row>
    <row r="675" hidden="1" spans="1:36">
      <c r="A675">
        <v>113588</v>
      </c>
      <c r="B675" t="s">
        <v>3168</v>
      </c>
      <c r="C675">
        <v>603108</v>
      </c>
      <c r="D675" t="s">
        <v>3169</v>
      </c>
      <c r="E675" t="s">
        <v>667</v>
      </c>
      <c r="F675" t="s">
        <v>397</v>
      </c>
      <c r="G675" t="s">
        <v>3165</v>
      </c>
      <c r="H675" t="s">
        <v>33</v>
      </c>
      <c r="I675" t="s">
        <v>255</v>
      </c>
      <c r="J675" t="s">
        <v>255</v>
      </c>
      <c r="K675" t="s">
        <v>255</v>
      </c>
      <c r="L675" t="s">
        <v>41</v>
      </c>
      <c r="M675" t="s">
        <v>41</v>
      </c>
      <c r="N675" t="s">
        <v>255</v>
      </c>
      <c r="O675" t="s">
        <v>41</v>
      </c>
      <c r="P675" t="s">
        <v>41</v>
      </c>
      <c r="Q675" s="2"/>
      <c r="R675" s="2"/>
      <c r="S675" t="s">
        <v>255</v>
      </c>
      <c r="T675" t="s">
        <v>41</v>
      </c>
      <c r="U675" t="s">
        <v>41</v>
      </c>
      <c r="V675" s="2"/>
      <c r="W675" s="2"/>
      <c r="X675" t="s">
        <v>3165</v>
      </c>
      <c r="Y675">
        <v>13.99</v>
      </c>
      <c r="Z675">
        <v>2935.873</v>
      </c>
      <c r="AA675" s="2"/>
      <c r="AB675" s="2"/>
      <c r="AC675" t="s">
        <v>2914</v>
      </c>
      <c r="AD675">
        <v>15</v>
      </c>
      <c r="AE675">
        <v>3443.286</v>
      </c>
      <c r="AF675" s="2">
        <f t="shared" si="49"/>
        <v>0.0721944245889921</v>
      </c>
      <c r="AG675" s="2">
        <f t="shared" si="50"/>
        <v>0.172832067327163</v>
      </c>
      <c r="AH675" t="s">
        <v>3166</v>
      </c>
      <c r="AI675" t="s">
        <v>41</v>
      </c>
      <c r="AJ675" t="s">
        <v>41</v>
      </c>
    </row>
    <row r="676" hidden="1" spans="1:36">
      <c r="A676">
        <v>123055</v>
      </c>
      <c r="B676" t="s">
        <v>3170</v>
      </c>
      <c r="C676">
        <v>300138</v>
      </c>
      <c r="D676" t="s">
        <v>3171</v>
      </c>
      <c r="E676" t="s">
        <v>170</v>
      </c>
      <c r="F676" t="s">
        <v>41</v>
      </c>
      <c r="G676" t="s">
        <v>3165</v>
      </c>
      <c r="H676" t="s">
        <v>621</v>
      </c>
      <c r="I676" t="s">
        <v>255</v>
      </c>
      <c r="J676" t="s">
        <v>255</v>
      </c>
      <c r="K676" t="s">
        <v>255</v>
      </c>
      <c r="L676" t="s">
        <v>41</v>
      </c>
      <c r="M676" t="s">
        <v>41</v>
      </c>
      <c r="N676" t="s">
        <v>255</v>
      </c>
      <c r="O676" t="s">
        <v>41</v>
      </c>
      <c r="P676" t="s">
        <v>41</v>
      </c>
      <c r="Q676" s="2"/>
      <c r="R676" s="2"/>
      <c r="S676" t="s">
        <v>255</v>
      </c>
      <c r="T676" t="s">
        <v>41</v>
      </c>
      <c r="U676" t="s">
        <v>41</v>
      </c>
      <c r="V676" s="2"/>
      <c r="W676" s="2"/>
      <c r="X676" t="s">
        <v>3165</v>
      </c>
      <c r="Y676">
        <v>11.15</v>
      </c>
      <c r="Z676">
        <v>2935.873</v>
      </c>
      <c r="AA676" s="2"/>
      <c r="AB676" s="2"/>
      <c r="AC676" t="s">
        <v>2914</v>
      </c>
      <c r="AD676">
        <v>12.59</v>
      </c>
      <c r="AE676">
        <v>3443.286</v>
      </c>
      <c r="AF676" s="2">
        <f t="shared" si="49"/>
        <v>0.12914798206278</v>
      </c>
      <c r="AG676" s="2">
        <f t="shared" si="50"/>
        <v>0.172832067327163</v>
      </c>
      <c r="AH676" t="s">
        <v>3172</v>
      </c>
      <c r="AI676" t="s">
        <v>2352</v>
      </c>
      <c r="AJ676" t="s">
        <v>625</v>
      </c>
    </row>
    <row r="677" hidden="1" spans="1:36">
      <c r="A677">
        <v>128113</v>
      </c>
      <c r="B677" t="s">
        <v>3173</v>
      </c>
      <c r="C677">
        <v>2832</v>
      </c>
      <c r="D677" t="s">
        <v>3174</v>
      </c>
      <c r="E677" t="s">
        <v>3175</v>
      </c>
      <c r="F677" t="s">
        <v>41</v>
      </c>
      <c r="G677" t="s">
        <v>3176</v>
      </c>
      <c r="H677" t="s">
        <v>621</v>
      </c>
      <c r="I677" t="s">
        <v>255</v>
      </c>
      <c r="J677" t="s">
        <v>255</v>
      </c>
      <c r="K677" t="s">
        <v>255</v>
      </c>
      <c r="L677" t="s">
        <v>41</v>
      </c>
      <c r="M677" t="s">
        <v>41</v>
      </c>
      <c r="N677" t="s">
        <v>255</v>
      </c>
      <c r="O677" t="s">
        <v>41</v>
      </c>
      <c r="P677" t="s">
        <v>41</v>
      </c>
      <c r="Q677" s="2"/>
      <c r="R677" s="2"/>
      <c r="S677" t="s">
        <v>255</v>
      </c>
      <c r="T677" t="s">
        <v>41</v>
      </c>
      <c r="U677" t="s">
        <v>41</v>
      </c>
      <c r="V677" s="2"/>
      <c r="W677" s="2"/>
      <c r="X677" t="s">
        <v>3176</v>
      </c>
      <c r="Y677">
        <v>11.84</v>
      </c>
      <c r="Z677">
        <v>2890.031</v>
      </c>
      <c r="AA677" s="2"/>
      <c r="AB677" s="2"/>
      <c r="AC677" t="s">
        <v>3108</v>
      </c>
      <c r="AD677">
        <v>16.55</v>
      </c>
      <c r="AE677">
        <v>3361.304</v>
      </c>
      <c r="AF677" s="2">
        <f t="shared" si="49"/>
        <v>0.397804054054054</v>
      </c>
      <c r="AG677" s="2">
        <f t="shared" si="50"/>
        <v>0.163068493036926</v>
      </c>
      <c r="AH677" t="s">
        <v>3177</v>
      </c>
      <c r="AI677" t="s">
        <v>1927</v>
      </c>
      <c r="AJ677" t="s">
        <v>625</v>
      </c>
    </row>
    <row r="678" hidden="1" spans="1:36">
      <c r="A678">
        <v>113587</v>
      </c>
      <c r="B678" t="s">
        <v>3178</v>
      </c>
      <c r="C678">
        <v>603039</v>
      </c>
      <c r="D678" t="s">
        <v>3179</v>
      </c>
      <c r="E678" t="s">
        <v>1021</v>
      </c>
      <c r="F678" t="s">
        <v>41</v>
      </c>
      <c r="G678" t="s">
        <v>3176</v>
      </c>
      <c r="H678" t="s">
        <v>621</v>
      </c>
      <c r="I678" t="s">
        <v>255</v>
      </c>
      <c r="J678" t="s">
        <v>255</v>
      </c>
      <c r="K678" t="s">
        <v>255</v>
      </c>
      <c r="L678" t="s">
        <v>41</v>
      </c>
      <c r="M678" t="s">
        <v>41</v>
      </c>
      <c r="N678" t="s">
        <v>255</v>
      </c>
      <c r="O678" t="s">
        <v>41</v>
      </c>
      <c r="P678" t="s">
        <v>41</v>
      </c>
      <c r="Q678" s="2"/>
      <c r="R678" s="2"/>
      <c r="S678" t="s">
        <v>255</v>
      </c>
      <c r="T678" t="s">
        <v>41</v>
      </c>
      <c r="U678" t="s">
        <v>41</v>
      </c>
      <c r="V678" s="2"/>
      <c r="W678" s="2"/>
      <c r="X678" t="s">
        <v>3176</v>
      </c>
      <c r="Y678">
        <v>52.03</v>
      </c>
      <c r="Z678">
        <v>2890.031</v>
      </c>
      <c r="AA678" s="2"/>
      <c r="AB678" s="2"/>
      <c r="AC678" t="s">
        <v>2734</v>
      </c>
      <c r="AD678">
        <v>64.23</v>
      </c>
      <c r="AE678">
        <v>3414.619</v>
      </c>
      <c r="AF678" s="2">
        <f t="shared" si="49"/>
        <v>0.234480107630213</v>
      </c>
      <c r="AG678" s="2">
        <f t="shared" si="50"/>
        <v>0.181516392038701</v>
      </c>
      <c r="AH678" t="s">
        <v>3180</v>
      </c>
      <c r="AI678" t="s">
        <v>2676</v>
      </c>
      <c r="AJ678" t="s">
        <v>625</v>
      </c>
    </row>
    <row r="679" hidden="1" spans="1:36">
      <c r="A679">
        <v>128112</v>
      </c>
      <c r="B679" t="s">
        <v>3181</v>
      </c>
      <c r="C679">
        <v>2241</v>
      </c>
      <c r="D679" t="s">
        <v>3182</v>
      </c>
      <c r="E679" t="s">
        <v>379</v>
      </c>
      <c r="F679" t="s">
        <v>41</v>
      </c>
      <c r="G679" t="s">
        <v>3183</v>
      </c>
      <c r="H679" t="s">
        <v>621</v>
      </c>
      <c r="I679" t="s">
        <v>255</v>
      </c>
      <c r="J679" t="s">
        <v>255</v>
      </c>
      <c r="K679" t="s">
        <v>255</v>
      </c>
      <c r="L679" t="s">
        <v>41</v>
      </c>
      <c r="M679" t="s">
        <v>41</v>
      </c>
      <c r="N679" t="s">
        <v>255</v>
      </c>
      <c r="O679" t="s">
        <v>41</v>
      </c>
      <c r="P679" t="s">
        <v>41</v>
      </c>
      <c r="Q679" s="2"/>
      <c r="R679" s="2"/>
      <c r="S679" t="s">
        <v>255</v>
      </c>
      <c r="T679" t="s">
        <v>41</v>
      </c>
      <c r="U679" t="s">
        <v>41</v>
      </c>
      <c r="V679" s="2"/>
      <c r="W679" s="2"/>
      <c r="X679" t="s">
        <v>3183</v>
      </c>
      <c r="Y679">
        <v>23.19</v>
      </c>
      <c r="Z679">
        <v>2919.741</v>
      </c>
      <c r="AA679" s="2"/>
      <c r="AB679" s="2"/>
      <c r="AC679" t="s">
        <v>2914</v>
      </c>
      <c r="AD679">
        <v>33.51</v>
      </c>
      <c r="AE679">
        <v>3443.286</v>
      </c>
      <c r="AF679" s="2">
        <f t="shared" si="49"/>
        <v>0.445019404915912</v>
      </c>
      <c r="AG679" s="2">
        <f t="shared" si="50"/>
        <v>0.179312137617686</v>
      </c>
      <c r="AH679" t="s">
        <v>3184</v>
      </c>
      <c r="AI679" t="s">
        <v>3185</v>
      </c>
      <c r="AJ679" t="s">
        <v>625</v>
      </c>
    </row>
    <row r="680" hidden="1" spans="1:36">
      <c r="A680">
        <v>128111</v>
      </c>
      <c r="B680" t="s">
        <v>3186</v>
      </c>
      <c r="C680">
        <v>2738</v>
      </c>
      <c r="D680" t="s">
        <v>3187</v>
      </c>
      <c r="E680" t="s">
        <v>115</v>
      </c>
      <c r="F680" t="s">
        <v>41</v>
      </c>
      <c r="G680" t="s">
        <v>3188</v>
      </c>
      <c r="H680" t="s">
        <v>621</v>
      </c>
      <c r="I680" t="s">
        <v>255</v>
      </c>
      <c r="J680" t="s">
        <v>255</v>
      </c>
      <c r="K680" t="s">
        <v>255</v>
      </c>
      <c r="L680" t="s">
        <v>41</v>
      </c>
      <c r="M680" t="s">
        <v>41</v>
      </c>
      <c r="N680" t="s">
        <v>255</v>
      </c>
      <c r="O680" t="s">
        <v>41</v>
      </c>
      <c r="P680" t="s">
        <v>41</v>
      </c>
      <c r="Q680" s="2"/>
      <c r="R680" s="2"/>
      <c r="S680" t="s">
        <v>255</v>
      </c>
      <c r="T680" t="s">
        <v>41</v>
      </c>
      <c r="U680" t="s">
        <v>41</v>
      </c>
      <c r="V680" s="2"/>
      <c r="W680" s="2"/>
      <c r="X680" t="s">
        <v>3188</v>
      </c>
      <c r="Y680">
        <v>5.44</v>
      </c>
      <c r="Z680">
        <v>2920.897</v>
      </c>
      <c r="AA680" s="2"/>
      <c r="AB680" s="2"/>
      <c r="AC680" t="s">
        <v>3189</v>
      </c>
      <c r="AD680">
        <v>7.87</v>
      </c>
      <c r="AE680">
        <v>3345.337</v>
      </c>
      <c r="AF680" s="2">
        <f t="shared" si="49"/>
        <v>0.446691176470588</v>
      </c>
      <c r="AG680" s="2">
        <f t="shared" si="50"/>
        <v>0.145311525877154</v>
      </c>
      <c r="AH680" t="s">
        <v>3184</v>
      </c>
      <c r="AI680" t="s">
        <v>1027</v>
      </c>
      <c r="AJ680" t="s">
        <v>625</v>
      </c>
    </row>
    <row r="681" hidden="1" spans="1:36">
      <c r="A681">
        <v>123054</v>
      </c>
      <c r="B681" t="s">
        <v>3190</v>
      </c>
      <c r="C681">
        <v>300608</v>
      </c>
      <c r="D681" t="s">
        <v>3191</v>
      </c>
      <c r="E681" t="s">
        <v>3192</v>
      </c>
      <c r="F681" t="s">
        <v>56</v>
      </c>
      <c r="G681" t="s">
        <v>3193</v>
      </c>
      <c r="H681" t="s">
        <v>33</v>
      </c>
      <c r="I681" t="s">
        <v>255</v>
      </c>
      <c r="J681" t="s">
        <v>255</v>
      </c>
      <c r="K681" t="s">
        <v>255</v>
      </c>
      <c r="L681" t="s">
        <v>41</v>
      </c>
      <c r="M681" t="s">
        <v>41</v>
      </c>
      <c r="N681" t="s">
        <v>255</v>
      </c>
      <c r="O681" t="s">
        <v>41</v>
      </c>
      <c r="P681" t="s">
        <v>41</v>
      </c>
      <c r="Q681" s="2"/>
      <c r="R681" s="2"/>
      <c r="S681" t="s">
        <v>255</v>
      </c>
      <c r="T681" t="s">
        <v>41</v>
      </c>
      <c r="U681" t="s">
        <v>41</v>
      </c>
      <c r="V681" s="2"/>
      <c r="W681" s="2"/>
      <c r="X681" t="s">
        <v>3193</v>
      </c>
      <c r="Y681">
        <v>10.19</v>
      </c>
      <c r="Z681">
        <v>2943.753</v>
      </c>
      <c r="AA681" s="2"/>
      <c r="AB681" s="2"/>
      <c r="AC681" t="s">
        <v>2627</v>
      </c>
      <c r="AD681">
        <v>11.06</v>
      </c>
      <c r="AE681">
        <v>3332.881</v>
      </c>
      <c r="AF681" s="2">
        <f t="shared" si="49"/>
        <v>0.0853778213935232</v>
      </c>
      <c r="AG681" s="2">
        <f t="shared" si="50"/>
        <v>0.132187720912726</v>
      </c>
      <c r="AH681" t="s">
        <v>3194</v>
      </c>
      <c r="AI681" t="s">
        <v>41</v>
      </c>
      <c r="AJ681" t="s">
        <v>41</v>
      </c>
    </row>
    <row r="682" hidden="1" spans="1:36">
      <c r="A682">
        <v>128110</v>
      </c>
      <c r="B682" t="s">
        <v>3195</v>
      </c>
      <c r="C682">
        <v>2756</v>
      </c>
      <c r="D682" t="s">
        <v>3196</v>
      </c>
      <c r="E682" t="s">
        <v>1015</v>
      </c>
      <c r="F682" t="s">
        <v>41</v>
      </c>
      <c r="G682" t="s">
        <v>3197</v>
      </c>
      <c r="H682" t="s">
        <v>621</v>
      </c>
      <c r="I682" t="s">
        <v>255</v>
      </c>
      <c r="J682" t="s">
        <v>255</v>
      </c>
      <c r="K682" t="s">
        <v>255</v>
      </c>
      <c r="L682" t="s">
        <v>41</v>
      </c>
      <c r="M682" t="s">
        <v>41</v>
      </c>
      <c r="N682" t="s">
        <v>255</v>
      </c>
      <c r="O682" t="s">
        <v>41</v>
      </c>
      <c r="P682" t="s">
        <v>41</v>
      </c>
      <c r="Q682" s="2"/>
      <c r="R682" s="2"/>
      <c r="S682" t="s">
        <v>255</v>
      </c>
      <c r="T682" t="s">
        <v>41</v>
      </c>
      <c r="U682" t="s">
        <v>41</v>
      </c>
      <c r="V682" s="2"/>
      <c r="W682" s="2"/>
      <c r="X682" t="s">
        <v>3197</v>
      </c>
      <c r="Y682">
        <v>4.36</v>
      </c>
      <c r="Z682">
        <v>2956.112</v>
      </c>
      <c r="AA682" s="2"/>
      <c r="AB682" s="2"/>
      <c r="AC682" t="s">
        <v>2835</v>
      </c>
      <c r="AD682">
        <v>7.25</v>
      </c>
      <c r="AE682">
        <v>3403.44</v>
      </c>
      <c r="AF682" s="2">
        <f t="shared" si="49"/>
        <v>0.662844036697248</v>
      </c>
      <c r="AG682" s="2">
        <f t="shared" si="50"/>
        <v>0.151323089246957</v>
      </c>
      <c r="AH682" t="s">
        <v>3198</v>
      </c>
      <c r="AI682" t="s">
        <v>2676</v>
      </c>
      <c r="AJ682" t="s">
        <v>625</v>
      </c>
    </row>
    <row r="683" hidden="1" spans="1:36">
      <c r="A683">
        <v>113585</v>
      </c>
      <c r="B683" t="s">
        <v>3199</v>
      </c>
      <c r="C683">
        <v>603896</v>
      </c>
      <c r="D683" t="s">
        <v>1623</v>
      </c>
      <c r="E683" t="s">
        <v>1051</v>
      </c>
      <c r="F683" t="s">
        <v>41</v>
      </c>
      <c r="G683" t="s">
        <v>3197</v>
      </c>
      <c r="H683" t="s">
        <v>621</v>
      </c>
      <c r="I683" t="s">
        <v>255</v>
      </c>
      <c r="J683" t="s">
        <v>255</v>
      </c>
      <c r="K683" t="s">
        <v>255</v>
      </c>
      <c r="L683" t="s">
        <v>41</v>
      </c>
      <c r="M683" t="s">
        <v>41</v>
      </c>
      <c r="N683" t="s">
        <v>255</v>
      </c>
      <c r="O683" t="s">
        <v>41</v>
      </c>
      <c r="P683" t="s">
        <v>41</v>
      </c>
      <c r="Q683" s="2"/>
      <c r="R683" s="2"/>
      <c r="S683" t="s">
        <v>255</v>
      </c>
      <c r="T683" t="s">
        <v>41</v>
      </c>
      <c r="U683" t="s">
        <v>41</v>
      </c>
      <c r="V683" s="2"/>
      <c r="W683" s="2"/>
      <c r="X683" t="s">
        <v>3197</v>
      </c>
      <c r="Y683">
        <v>19.89</v>
      </c>
      <c r="Z683">
        <v>2956.112</v>
      </c>
      <c r="AA683" s="2"/>
      <c r="AB683" s="2"/>
      <c r="AC683" t="s">
        <v>3189</v>
      </c>
      <c r="AD683">
        <v>24.4</v>
      </c>
      <c r="AE683">
        <v>3345.337</v>
      </c>
      <c r="AF683" s="2">
        <f t="shared" si="49"/>
        <v>0.22674710910005</v>
      </c>
      <c r="AG683" s="2">
        <f t="shared" si="50"/>
        <v>0.131667879972071</v>
      </c>
      <c r="AH683" t="s">
        <v>3198</v>
      </c>
      <c r="AI683" t="s">
        <v>960</v>
      </c>
      <c r="AJ683" t="s">
        <v>625</v>
      </c>
    </row>
    <row r="684" hidden="1" spans="1:36">
      <c r="A684">
        <v>113586</v>
      </c>
      <c r="B684" t="s">
        <v>3200</v>
      </c>
      <c r="C684">
        <v>603185</v>
      </c>
      <c r="D684" t="s">
        <v>2112</v>
      </c>
      <c r="E684" t="s">
        <v>3201</v>
      </c>
      <c r="F684" t="s">
        <v>41</v>
      </c>
      <c r="G684" t="s">
        <v>3197</v>
      </c>
      <c r="H684" t="s">
        <v>621</v>
      </c>
      <c r="I684" t="s">
        <v>255</v>
      </c>
      <c r="J684" t="s">
        <v>255</v>
      </c>
      <c r="K684" t="s">
        <v>255</v>
      </c>
      <c r="L684" t="s">
        <v>41</v>
      </c>
      <c r="M684" t="s">
        <v>41</v>
      </c>
      <c r="N684" t="s">
        <v>255</v>
      </c>
      <c r="O684" t="s">
        <v>41</v>
      </c>
      <c r="P684" t="s">
        <v>41</v>
      </c>
      <c r="Q684" s="2"/>
      <c r="R684" s="2"/>
      <c r="S684" t="s">
        <v>255</v>
      </c>
      <c r="T684" t="s">
        <v>41</v>
      </c>
      <c r="U684" t="s">
        <v>41</v>
      </c>
      <c r="V684" s="2"/>
      <c r="W684" s="2"/>
      <c r="X684" t="s">
        <v>3197</v>
      </c>
      <c r="Y684">
        <v>14.56</v>
      </c>
      <c r="Z684">
        <v>2956.112</v>
      </c>
      <c r="AA684" s="2"/>
      <c r="AB684" s="2"/>
      <c r="AC684" t="s">
        <v>3189</v>
      </c>
      <c r="AD684">
        <v>22.19</v>
      </c>
      <c r="AE684">
        <v>3345.337</v>
      </c>
      <c r="AF684" s="2">
        <f t="shared" si="49"/>
        <v>0.524038461538462</v>
      </c>
      <c r="AG684" s="2">
        <f t="shared" si="50"/>
        <v>0.131667879972071</v>
      </c>
      <c r="AH684" t="s">
        <v>3198</v>
      </c>
      <c r="AI684" t="s">
        <v>2698</v>
      </c>
      <c r="AJ684" t="s">
        <v>625</v>
      </c>
    </row>
    <row r="685" hidden="1" spans="1:36">
      <c r="A685">
        <v>123052</v>
      </c>
      <c r="B685" t="s">
        <v>3202</v>
      </c>
      <c r="C685">
        <v>300665</v>
      </c>
      <c r="D685" t="s">
        <v>3203</v>
      </c>
      <c r="E685" t="s">
        <v>3204</v>
      </c>
      <c r="F685" t="s">
        <v>41</v>
      </c>
      <c r="G685" t="s">
        <v>3205</v>
      </c>
      <c r="H685" t="s">
        <v>621</v>
      </c>
      <c r="I685" t="s">
        <v>255</v>
      </c>
      <c r="J685" t="s">
        <v>255</v>
      </c>
      <c r="K685" t="s">
        <v>255</v>
      </c>
      <c r="L685" t="s">
        <v>41</v>
      </c>
      <c r="M685" t="s">
        <v>41</v>
      </c>
      <c r="N685" t="s">
        <v>255</v>
      </c>
      <c r="O685" t="s">
        <v>41</v>
      </c>
      <c r="P685" t="s">
        <v>41</v>
      </c>
      <c r="Q685" s="2"/>
      <c r="R685" s="2"/>
      <c r="S685" t="s">
        <v>255</v>
      </c>
      <c r="T685" t="s">
        <v>41</v>
      </c>
      <c r="U685" t="s">
        <v>41</v>
      </c>
      <c r="V685" s="2"/>
      <c r="W685" s="2"/>
      <c r="X685" t="s">
        <v>3205</v>
      </c>
      <c r="Y685">
        <v>6.92</v>
      </c>
      <c r="Z685">
        <v>2930.799</v>
      </c>
      <c r="AA685" s="2"/>
      <c r="AB685" s="2"/>
      <c r="AC685" t="s">
        <v>2799</v>
      </c>
      <c r="AD685">
        <v>7.16</v>
      </c>
      <c r="AE685">
        <v>3152.813</v>
      </c>
      <c r="AF685" s="2">
        <f t="shared" si="49"/>
        <v>0.0346820809248555</v>
      </c>
      <c r="AG685" s="2">
        <f t="shared" si="50"/>
        <v>0.0757520389491057</v>
      </c>
      <c r="AH685" t="s">
        <v>3206</v>
      </c>
      <c r="AI685" t="s">
        <v>89</v>
      </c>
      <c r="AJ685" t="s">
        <v>625</v>
      </c>
    </row>
    <row r="686" hidden="1" spans="1:36">
      <c r="A686">
        <v>113584</v>
      </c>
      <c r="B686" t="s">
        <v>3207</v>
      </c>
      <c r="C686">
        <v>603708</v>
      </c>
      <c r="D686" t="s">
        <v>3208</v>
      </c>
      <c r="E686" t="s">
        <v>784</v>
      </c>
      <c r="F686" t="s">
        <v>397</v>
      </c>
      <c r="G686" t="s">
        <v>3205</v>
      </c>
      <c r="H686" t="s">
        <v>33</v>
      </c>
      <c r="I686" t="s">
        <v>255</v>
      </c>
      <c r="J686" t="s">
        <v>255</v>
      </c>
      <c r="K686" t="s">
        <v>255</v>
      </c>
      <c r="L686" t="s">
        <v>41</v>
      </c>
      <c r="M686" t="s">
        <v>41</v>
      </c>
      <c r="N686" t="s">
        <v>255</v>
      </c>
      <c r="O686" t="s">
        <v>41</v>
      </c>
      <c r="P686" t="s">
        <v>41</v>
      </c>
      <c r="Q686" s="2"/>
      <c r="R686" s="2"/>
      <c r="S686" t="s">
        <v>255</v>
      </c>
      <c r="T686" t="s">
        <v>41</v>
      </c>
      <c r="U686" t="s">
        <v>41</v>
      </c>
      <c r="V686" s="2"/>
      <c r="W686" s="2"/>
      <c r="X686" t="s">
        <v>3205</v>
      </c>
      <c r="Y686">
        <v>39.87</v>
      </c>
      <c r="Z686">
        <v>2930.799</v>
      </c>
      <c r="AA686" s="2"/>
      <c r="AB686" s="2"/>
      <c r="AC686" t="s">
        <v>3153</v>
      </c>
      <c r="AD686">
        <v>43.01</v>
      </c>
      <c r="AE686">
        <v>2979.551</v>
      </c>
      <c r="AF686" s="2">
        <f t="shared" si="49"/>
        <v>0.0787559568597943</v>
      </c>
      <c r="AG686" s="2">
        <f t="shared" si="50"/>
        <v>0.0166343717191114</v>
      </c>
      <c r="AH686" t="s">
        <v>3206</v>
      </c>
      <c r="AI686" t="s">
        <v>41</v>
      </c>
      <c r="AJ686" t="s">
        <v>41</v>
      </c>
    </row>
    <row r="687" hidden="1" spans="1:36">
      <c r="A687">
        <v>123053</v>
      </c>
      <c r="B687" t="s">
        <v>3209</v>
      </c>
      <c r="C687">
        <v>300031</v>
      </c>
      <c r="D687" t="s">
        <v>3210</v>
      </c>
      <c r="E687" t="s">
        <v>522</v>
      </c>
      <c r="F687" t="s">
        <v>41</v>
      </c>
      <c r="G687" t="s">
        <v>3205</v>
      </c>
      <c r="H687" t="s">
        <v>621</v>
      </c>
      <c r="I687" t="s">
        <v>255</v>
      </c>
      <c r="J687" t="s">
        <v>255</v>
      </c>
      <c r="K687" t="s">
        <v>255</v>
      </c>
      <c r="L687" t="s">
        <v>41</v>
      </c>
      <c r="M687" t="s">
        <v>41</v>
      </c>
      <c r="N687" t="s">
        <v>255</v>
      </c>
      <c r="O687" t="s">
        <v>41</v>
      </c>
      <c r="P687" t="s">
        <v>41</v>
      </c>
      <c r="Q687" s="2"/>
      <c r="R687" s="2"/>
      <c r="S687" t="s">
        <v>255</v>
      </c>
      <c r="T687" t="s">
        <v>41</v>
      </c>
      <c r="U687" t="s">
        <v>41</v>
      </c>
      <c r="V687" s="2"/>
      <c r="W687" s="2"/>
      <c r="X687" t="s">
        <v>3205</v>
      </c>
      <c r="Y687">
        <v>20.26</v>
      </c>
      <c r="Z687">
        <v>2930.799</v>
      </c>
      <c r="AA687" s="2"/>
      <c r="AB687" s="2"/>
      <c r="AC687" t="s">
        <v>2591</v>
      </c>
      <c r="AD687">
        <v>26.51</v>
      </c>
      <c r="AE687">
        <v>3025.981</v>
      </c>
      <c r="AF687" s="2">
        <f t="shared" si="49"/>
        <v>0.308489634748272</v>
      </c>
      <c r="AG687" s="2">
        <f t="shared" si="50"/>
        <v>0.0324764680211779</v>
      </c>
      <c r="AH687" t="s">
        <v>3211</v>
      </c>
      <c r="AI687" t="s">
        <v>2084</v>
      </c>
      <c r="AJ687" t="s">
        <v>625</v>
      </c>
    </row>
    <row r="688" hidden="1" spans="1:36">
      <c r="A688">
        <v>123051</v>
      </c>
      <c r="B688" t="s">
        <v>3212</v>
      </c>
      <c r="C688">
        <v>300532</v>
      </c>
      <c r="D688" t="s">
        <v>3213</v>
      </c>
      <c r="E688" t="s">
        <v>1516</v>
      </c>
      <c r="F688" t="s">
        <v>41</v>
      </c>
      <c r="G688" t="s">
        <v>3214</v>
      </c>
      <c r="H688" t="s">
        <v>621</v>
      </c>
      <c r="I688" t="s">
        <v>255</v>
      </c>
      <c r="J688" t="s">
        <v>255</v>
      </c>
      <c r="K688" t="s">
        <v>255</v>
      </c>
      <c r="L688" t="s">
        <v>41</v>
      </c>
      <c r="M688" t="s">
        <v>41</v>
      </c>
      <c r="N688" t="s">
        <v>255</v>
      </c>
      <c r="O688" t="s">
        <v>41</v>
      </c>
      <c r="P688" t="s">
        <v>41</v>
      </c>
      <c r="Q688" s="2"/>
      <c r="R688" s="2"/>
      <c r="S688" t="s">
        <v>255</v>
      </c>
      <c r="T688" t="s">
        <v>41</v>
      </c>
      <c r="U688" t="s">
        <v>41</v>
      </c>
      <c r="V688" s="2"/>
      <c r="W688" s="2"/>
      <c r="X688" t="s">
        <v>3214</v>
      </c>
      <c r="Y688">
        <v>4.68</v>
      </c>
      <c r="Z688">
        <v>2919.251</v>
      </c>
      <c r="AA688" s="2"/>
      <c r="AB688" s="2"/>
      <c r="AC688" t="s">
        <v>2807</v>
      </c>
      <c r="AD688">
        <v>4.76</v>
      </c>
      <c r="AE688">
        <v>2984.674</v>
      </c>
      <c r="AF688" s="2">
        <f t="shared" si="49"/>
        <v>0.0170940170940171</v>
      </c>
      <c r="AG688" s="2">
        <f t="shared" si="50"/>
        <v>0.0224108855319394</v>
      </c>
      <c r="AH688" t="s">
        <v>3215</v>
      </c>
      <c r="AI688" t="s">
        <v>3216</v>
      </c>
      <c r="AJ688" t="s">
        <v>625</v>
      </c>
    </row>
    <row r="689" hidden="1" spans="1:36">
      <c r="A689">
        <v>128109</v>
      </c>
      <c r="B689" t="s">
        <v>3217</v>
      </c>
      <c r="C689">
        <v>2171</v>
      </c>
      <c r="D689" t="s">
        <v>3218</v>
      </c>
      <c r="E689" t="s">
        <v>3219</v>
      </c>
      <c r="F689" t="s">
        <v>41</v>
      </c>
      <c r="G689" t="s">
        <v>3214</v>
      </c>
      <c r="H689" t="s">
        <v>621</v>
      </c>
      <c r="I689" t="s">
        <v>255</v>
      </c>
      <c r="J689" t="s">
        <v>255</v>
      </c>
      <c r="K689" t="s">
        <v>255</v>
      </c>
      <c r="L689" t="s">
        <v>41</v>
      </c>
      <c r="M689" t="s">
        <v>41</v>
      </c>
      <c r="N689" t="s">
        <v>255</v>
      </c>
      <c r="O689" t="s">
        <v>41</v>
      </c>
      <c r="P689" t="s">
        <v>41</v>
      </c>
      <c r="Q689" s="2"/>
      <c r="R689" s="2"/>
      <c r="S689" t="s">
        <v>255</v>
      </c>
      <c r="T689" t="s">
        <v>41</v>
      </c>
      <c r="U689" t="s">
        <v>41</v>
      </c>
      <c r="V689" s="2"/>
      <c r="W689" s="2"/>
      <c r="X689" t="s">
        <v>3214</v>
      </c>
      <c r="Y689">
        <v>7.88</v>
      </c>
      <c r="Z689">
        <v>2919.251</v>
      </c>
      <c r="AA689" s="2"/>
      <c r="AB689" s="2"/>
      <c r="AC689" t="s">
        <v>3220</v>
      </c>
      <c r="AD689">
        <v>8.14</v>
      </c>
      <c r="AE689">
        <v>2970.62</v>
      </c>
      <c r="AF689" s="2">
        <f t="shared" si="49"/>
        <v>0.0329949238578681</v>
      </c>
      <c r="AG689" s="2">
        <f t="shared" si="50"/>
        <v>0.0175966369455726</v>
      </c>
      <c r="AH689" t="s">
        <v>3211</v>
      </c>
      <c r="AI689" t="s">
        <v>1580</v>
      </c>
      <c r="AJ689" t="s">
        <v>625</v>
      </c>
    </row>
    <row r="690" hidden="1" spans="1:36">
      <c r="A690">
        <v>127017</v>
      </c>
      <c r="B690" t="s">
        <v>3221</v>
      </c>
      <c r="C690">
        <v>789</v>
      </c>
      <c r="D690" t="s">
        <v>3222</v>
      </c>
      <c r="E690" t="s">
        <v>55</v>
      </c>
      <c r="F690" t="s">
        <v>98</v>
      </c>
      <c r="G690" t="s">
        <v>3223</v>
      </c>
      <c r="H690" t="s">
        <v>33</v>
      </c>
      <c r="I690" t="s">
        <v>255</v>
      </c>
      <c r="J690" t="s">
        <v>255</v>
      </c>
      <c r="K690" t="s">
        <v>255</v>
      </c>
      <c r="L690" t="s">
        <v>41</v>
      </c>
      <c r="M690" t="s">
        <v>41</v>
      </c>
      <c r="N690" t="s">
        <v>255</v>
      </c>
      <c r="O690" t="s">
        <v>41</v>
      </c>
      <c r="P690" t="s">
        <v>41</v>
      </c>
      <c r="Q690" s="2"/>
      <c r="R690" s="2"/>
      <c r="S690" t="s">
        <v>255</v>
      </c>
      <c r="T690" t="s">
        <v>41</v>
      </c>
      <c r="U690" t="s">
        <v>41</v>
      </c>
      <c r="V690" s="2"/>
      <c r="W690" s="2"/>
      <c r="X690" t="s">
        <v>3223</v>
      </c>
      <c r="Y690">
        <v>11.27</v>
      </c>
      <c r="Z690">
        <v>2923.371</v>
      </c>
      <c r="AA690" s="2"/>
      <c r="AB690" s="2"/>
      <c r="AC690" t="s">
        <v>2615</v>
      </c>
      <c r="AD690">
        <v>11.8</v>
      </c>
      <c r="AE690">
        <v>3090.569</v>
      </c>
      <c r="AF690" s="2">
        <f t="shared" si="49"/>
        <v>0.047027506654836</v>
      </c>
      <c r="AG690" s="2">
        <f t="shared" si="50"/>
        <v>0.0571935618161362</v>
      </c>
      <c r="AH690" t="s">
        <v>3215</v>
      </c>
      <c r="AI690" t="s">
        <v>41</v>
      </c>
      <c r="AJ690" t="s">
        <v>41</v>
      </c>
    </row>
    <row r="691" hidden="1" spans="1:36">
      <c r="A691">
        <v>113583</v>
      </c>
      <c r="B691" t="s">
        <v>830</v>
      </c>
      <c r="C691">
        <v>603939</v>
      </c>
      <c r="D691" t="s">
        <v>831</v>
      </c>
      <c r="E691" t="s">
        <v>3224</v>
      </c>
      <c r="F691" t="s">
        <v>41</v>
      </c>
      <c r="G691" t="s">
        <v>3225</v>
      </c>
      <c r="H691" t="s">
        <v>621</v>
      </c>
      <c r="I691" t="s">
        <v>255</v>
      </c>
      <c r="J691" t="s">
        <v>255</v>
      </c>
      <c r="K691" t="s">
        <v>255</v>
      </c>
      <c r="L691" t="s">
        <v>41</v>
      </c>
      <c r="M691" t="s">
        <v>41</v>
      </c>
      <c r="N691" t="s">
        <v>255</v>
      </c>
      <c r="O691" t="s">
        <v>41</v>
      </c>
      <c r="P691" t="s">
        <v>41</v>
      </c>
      <c r="Q691" s="2"/>
      <c r="R691" s="2"/>
      <c r="S691" t="s">
        <v>255</v>
      </c>
      <c r="T691" t="s">
        <v>41</v>
      </c>
      <c r="U691" t="s">
        <v>41</v>
      </c>
      <c r="V691" s="2"/>
      <c r="W691" s="2"/>
      <c r="X691" t="s">
        <v>3225</v>
      </c>
      <c r="Y691">
        <v>34.87</v>
      </c>
      <c r="Z691">
        <v>2915.431</v>
      </c>
      <c r="AA691" s="2"/>
      <c r="AB691" s="2"/>
      <c r="AC691" t="s">
        <v>3226</v>
      </c>
      <c r="AD691">
        <v>36.52</v>
      </c>
      <c r="AE691">
        <v>2965.272</v>
      </c>
      <c r="AF691" s="2">
        <f t="shared" si="49"/>
        <v>0.0473186119873819</v>
      </c>
      <c r="AG691" s="2">
        <f t="shared" si="50"/>
        <v>0.0170955855240614</v>
      </c>
      <c r="AH691" t="s">
        <v>3227</v>
      </c>
      <c r="AI691" t="s">
        <v>2392</v>
      </c>
      <c r="AJ691" t="s">
        <v>625</v>
      </c>
    </row>
    <row r="692" hidden="1" spans="1:36">
      <c r="A692">
        <v>128108</v>
      </c>
      <c r="B692" t="s">
        <v>3228</v>
      </c>
      <c r="C692">
        <v>2382</v>
      </c>
      <c r="D692" t="s">
        <v>3229</v>
      </c>
      <c r="E692" t="s">
        <v>3230</v>
      </c>
      <c r="F692" t="s">
        <v>56</v>
      </c>
      <c r="G692" t="s">
        <v>3231</v>
      </c>
      <c r="H692" t="s">
        <v>33</v>
      </c>
      <c r="I692" t="s">
        <v>255</v>
      </c>
      <c r="J692" t="s">
        <v>255</v>
      </c>
      <c r="K692" t="s">
        <v>255</v>
      </c>
      <c r="L692" t="s">
        <v>41</v>
      </c>
      <c r="M692" t="s">
        <v>41</v>
      </c>
      <c r="N692" t="s">
        <v>255</v>
      </c>
      <c r="O692" t="s">
        <v>41</v>
      </c>
      <c r="P692" t="s">
        <v>41</v>
      </c>
      <c r="Q692" s="2"/>
      <c r="R692" s="2"/>
      <c r="S692" t="s">
        <v>255</v>
      </c>
      <c r="T692" t="s">
        <v>41</v>
      </c>
      <c r="U692" t="s">
        <v>41</v>
      </c>
      <c r="V692" s="2"/>
      <c r="W692" s="2"/>
      <c r="X692" t="s">
        <v>3231</v>
      </c>
      <c r="Y692">
        <v>22.42</v>
      </c>
      <c r="Z692">
        <v>2846.222</v>
      </c>
      <c r="AA692" s="2"/>
      <c r="AB692" s="2"/>
      <c r="AC692" t="s">
        <v>3232</v>
      </c>
      <c r="AD692">
        <v>28.31</v>
      </c>
      <c r="AE692">
        <v>2967.634</v>
      </c>
      <c r="AF692" s="2">
        <f t="shared" si="49"/>
        <v>0.26271186440678</v>
      </c>
      <c r="AG692" s="2">
        <f t="shared" si="50"/>
        <v>0.0426572488020962</v>
      </c>
      <c r="AH692" t="s">
        <v>3233</v>
      </c>
      <c r="AI692" t="s">
        <v>41</v>
      </c>
      <c r="AJ692" t="s">
        <v>41</v>
      </c>
    </row>
    <row r="693" hidden="1" spans="1:36">
      <c r="A693">
        <v>113582</v>
      </c>
      <c r="B693" t="s">
        <v>3234</v>
      </c>
      <c r="C693">
        <v>603678</v>
      </c>
      <c r="D693" t="s">
        <v>3235</v>
      </c>
      <c r="E693" t="s">
        <v>1114</v>
      </c>
      <c r="F693" t="s">
        <v>41</v>
      </c>
      <c r="G693" t="s">
        <v>3236</v>
      </c>
      <c r="H693" t="s">
        <v>621</v>
      </c>
      <c r="I693" t="s">
        <v>255</v>
      </c>
      <c r="J693" t="s">
        <v>255</v>
      </c>
      <c r="K693" t="s">
        <v>255</v>
      </c>
      <c r="L693" t="s">
        <v>41</v>
      </c>
      <c r="M693" t="s">
        <v>41</v>
      </c>
      <c r="N693" t="s">
        <v>255</v>
      </c>
      <c r="O693" t="s">
        <v>41</v>
      </c>
      <c r="P693" t="s">
        <v>41</v>
      </c>
      <c r="Q693" s="2"/>
      <c r="R693" s="2"/>
      <c r="S693" t="s">
        <v>255</v>
      </c>
      <c r="T693" t="s">
        <v>41</v>
      </c>
      <c r="U693" t="s">
        <v>41</v>
      </c>
      <c r="V693" s="2"/>
      <c r="W693" s="2"/>
      <c r="X693" t="s">
        <v>3236</v>
      </c>
      <c r="Y693">
        <v>23.65</v>
      </c>
      <c r="Z693">
        <v>2836.804</v>
      </c>
      <c r="AA693" s="2"/>
      <c r="AB693" s="2"/>
      <c r="AC693" t="s">
        <v>3220</v>
      </c>
      <c r="AD693">
        <v>26.25</v>
      </c>
      <c r="AE693">
        <v>2970.62</v>
      </c>
      <c r="AF693" s="2">
        <f t="shared" si="49"/>
        <v>0.109936575052854</v>
      </c>
      <c r="AG693" s="2">
        <f t="shared" si="50"/>
        <v>0.047171394287374</v>
      </c>
      <c r="AH693" t="s">
        <v>3237</v>
      </c>
      <c r="AI693" t="s">
        <v>1000</v>
      </c>
      <c r="AJ693" t="s">
        <v>625</v>
      </c>
    </row>
    <row r="694" hidden="1" spans="1:36">
      <c r="A694">
        <v>113035</v>
      </c>
      <c r="B694" t="s">
        <v>1967</v>
      </c>
      <c r="C694">
        <v>601865</v>
      </c>
      <c r="D694" t="s">
        <v>1968</v>
      </c>
      <c r="E694" t="s">
        <v>1162</v>
      </c>
      <c r="F694" t="s">
        <v>41</v>
      </c>
      <c r="G694" t="s">
        <v>3236</v>
      </c>
      <c r="H694" t="s">
        <v>621</v>
      </c>
      <c r="I694" t="s">
        <v>255</v>
      </c>
      <c r="J694" t="s">
        <v>255</v>
      </c>
      <c r="K694" t="s">
        <v>255</v>
      </c>
      <c r="L694" t="s">
        <v>41</v>
      </c>
      <c r="M694" t="s">
        <v>41</v>
      </c>
      <c r="N694" t="s">
        <v>255</v>
      </c>
      <c r="O694" t="s">
        <v>41</v>
      </c>
      <c r="P694" t="s">
        <v>41</v>
      </c>
      <c r="Q694" s="2"/>
      <c r="R694" s="2"/>
      <c r="S694" t="s">
        <v>255</v>
      </c>
      <c r="T694" t="s">
        <v>41</v>
      </c>
      <c r="U694" t="s">
        <v>41</v>
      </c>
      <c r="V694" s="2"/>
      <c r="W694" s="2"/>
      <c r="X694" t="s">
        <v>3236</v>
      </c>
      <c r="Y694">
        <v>11.77</v>
      </c>
      <c r="Z694">
        <v>2836.804</v>
      </c>
      <c r="AA694" s="2"/>
      <c r="AB694" s="2"/>
      <c r="AC694" t="s">
        <v>3165</v>
      </c>
      <c r="AD694">
        <v>13.85</v>
      </c>
      <c r="AE694">
        <v>2935.873</v>
      </c>
      <c r="AF694" s="2">
        <f t="shared" si="49"/>
        <v>0.176720475785896</v>
      </c>
      <c r="AG694" s="2">
        <f t="shared" si="50"/>
        <v>0.0349227510959516</v>
      </c>
      <c r="AH694" t="s">
        <v>2488</v>
      </c>
      <c r="AI694" t="s">
        <v>2466</v>
      </c>
      <c r="AJ694" t="s">
        <v>625</v>
      </c>
    </row>
    <row r="695" hidden="1" spans="1:36">
      <c r="A695">
        <v>113581</v>
      </c>
      <c r="B695" t="s">
        <v>3238</v>
      </c>
      <c r="C695">
        <v>603906</v>
      </c>
      <c r="D695" t="s">
        <v>3239</v>
      </c>
      <c r="E695" t="s">
        <v>140</v>
      </c>
      <c r="F695" t="s">
        <v>41</v>
      </c>
      <c r="G695" t="s">
        <v>3240</v>
      </c>
      <c r="H695" t="s">
        <v>621</v>
      </c>
      <c r="I695" t="s">
        <v>255</v>
      </c>
      <c r="J695" t="s">
        <v>255</v>
      </c>
      <c r="K695" t="s">
        <v>255</v>
      </c>
      <c r="L695" t="s">
        <v>41</v>
      </c>
      <c r="M695" t="s">
        <v>41</v>
      </c>
      <c r="N695" t="s">
        <v>255</v>
      </c>
      <c r="O695" t="s">
        <v>41</v>
      </c>
      <c r="P695" t="s">
        <v>41</v>
      </c>
      <c r="Q695" s="2"/>
      <c r="R695" s="2"/>
      <c r="S695" t="s">
        <v>255</v>
      </c>
      <c r="T695" t="s">
        <v>41</v>
      </c>
      <c r="U695" t="s">
        <v>41</v>
      </c>
      <c r="V695" s="2"/>
      <c r="W695" s="2"/>
      <c r="X695" t="s">
        <v>3240</v>
      </c>
      <c r="Y695">
        <v>6.25</v>
      </c>
      <c r="Z695">
        <v>2838.499</v>
      </c>
      <c r="AA695" s="2"/>
      <c r="AB695" s="2"/>
      <c r="AC695" t="s">
        <v>3241</v>
      </c>
      <c r="AD695">
        <v>6.51</v>
      </c>
      <c r="AE695">
        <v>2898.576</v>
      </c>
      <c r="AF695" s="2">
        <f t="shared" si="49"/>
        <v>0.0416</v>
      </c>
      <c r="AG695" s="2">
        <f t="shared" si="50"/>
        <v>0.0211650594204896</v>
      </c>
      <c r="AH695" t="s">
        <v>3242</v>
      </c>
      <c r="AI695" t="s">
        <v>2723</v>
      </c>
      <c r="AJ695" t="s">
        <v>625</v>
      </c>
    </row>
    <row r="696" hidden="1" spans="1:36">
      <c r="A696">
        <v>113580</v>
      </c>
      <c r="B696" t="s">
        <v>3243</v>
      </c>
      <c r="C696">
        <v>603665</v>
      </c>
      <c r="D696" t="s">
        <v>3244</v>
      </c>
      <c r="E696" t="s">
        <v>3245</v>
      </c>
      <c r="F696" t="s">
        <v>41</v>
      </c>
      <c r="G696" t="s">
        <v>3240</v>
      </c>
      <c r="H696" t="s">
        <v>621</v>
      </c>
      <c r="I696" t="s">
        <v>255</v>
      </c>
      <c r="J696" t="s">
        <v>255</v>
      </c>
      <c r="K696" t="s">
        <v>255</v>
      </c>
      <c r="L696" t="s">
        <v>41</v>
      </c>
      <c r="M696" t="s">
        <v>41</v>
      </c>
      <c r="N696" t="s">
        <v>255</v>
      </c>
      <c r="O696" t="s">
        <v>41</v>
      </c>
      <c r="P696" t="s">
        <v>41</v>
      </c>
      <c r="Q696" s="2"/>
      <c r="R696" s="2"/>
      <c r="S696" t="s">
        <v>255</v>
      </c>
      <c r="T696" t="s">
        <v>41</v>
      </c>
      <c r="U696" t="s">
        <v>41</v>
      </c>
      <c r="V696" s="2"/>
      <c r="W696" s="2"/>
      <c r="X696" t="s">
        <v>3240</v>
      </c>
      <c r="Y696">
        <v>15.31</v>
      </c>
      <c r="Z696">
        <v>2838.499</v>
      </c>
      <c r="AA696" s="2"/>
      <c r="AB696" s="2"/>
      <c r="AC696" t="s">
        <v>3246</v>
      </c>
      <c r="AD696">
        <v>16.09</v>
      </c>
      <c r="AE696">
        <v>2883.738</v>
      </c>
      <c r="AF696" s="2">
        <f t="shared" si="49"/>
        <v>0.0509470934030045</v>
      </c>
      <c r="AG696" s="2">
        <f t="shared" si="50"/>
        <v>0.0159376487361806</v>
      </c>
      <c r="AH696" t="s">
        <v>3242</v>
      </c>
      <c r="AI696" t="s">
        <v>1979</v>
      </c>
      <c r="AJ696" t="s">
        <v>625</v>
      </c>
    </row>
    <row r="697" hidden="1" spans="1:36">
      <c r="A697">
        <v>113579</v>
      </c>
      <c r="B697" t="s">
        <v>3247</v>
      </c>
      <c r="C697">
        <v>603707</v>
      </c>
      <c r="D697" t="s">
        <v>2751</v>
      </c>
      <c r="E697" t="s">
        <v>3248</v>
      </c>
      <c r="F697" t="s">
        <v>397</v>
      </c>
      <c r="G697" t="s">
        <v>3240</v>
      </c>
      <c r="H697" t="s">
        <v>33</v>
      </c>
      <c r="I697" t="s">
        <v>255</v>
      </c>
      <c r="J697" t="s">
        <v>255</v>
      </c>
      <c r="K697" t="s">
        <v>255</v>
      </c>
      <c r="L697" t="s">
        <v>41</v>
      </c>
      <c r="M697" t="s">
        <v>41</v>
      </c>
      <c r="N697" t="s">
        <v>255</v>
      </c>
      <c r="O697" t="s">
        <v>41</v>
      </c>
      <c r="P697" t="s">
        <v>41</v>
      </c>
      <c r="Q697" s="2"/>
      <c r="R697" s="2"/>
      <c r="S697" t="s">
        <v>255</v>
      </c>
      <c r="T697" t="s">
        <v>41</v>
      </c>
      <c r="U697" t="s">
        <v>41</v>
      </c>
      <c r="V697" s="2"/>
      <c r="W697" s="2"/>
      <c r="X697" t="s">
        <v>3240</v>
      </c>
      <c r="Y697">
        <v>24.93</v>
      </c>
      <c r="Z697">
        <v>2838.499</v>
      </c>
      <c r="AA697" s="2"/>
      <c r="AB697" s="2"/>
      <c r="AC697" t="s">
        <v>3249</v>
      </c>
      <c r="AD697">
        <v>27.21</v>
      </c>
      <c r="AE697">
        <v>2813.765</v>
      </c>
      <c r="AF697" s="2">
        <f t="shared" si="49"/>
        <v>0.0914560770156438</v>
      </c>
      <c r="AG697" s="2">
        <f t="shared" si="50"/>
        <v>-0.00871376033600855</v>
      </c>
      <c r="AH697" t="s">
        <v>3250</v>
      </c>
      <c r="AI697" t="s">
        <v>41</v>
      </c>
      <c r="AJ697" t="s">
        <v>41</v>
      </c>
    </row>
    <row r="698" hidden="1" spans="1:36">
      <c r="A698">
        <v>128107</v>
      </c>
      <c r="B698" t="s">
        <v>3251</v>
      </c>
      <c r="C698">
        <v>2061</v>
      </c>
      <c r="D698" t="s">
        <v>3252</v>
      </c>
      <c r="E698" t="s">
        <v>148</v>
      </c>
      <c r="F698" t="s">
        <v>41</v>
      </c>
      <c r="G698" t="s">
        <v>3253</v>
      </c>
      <c r="H698" t="s">
        <v>621</v>
      </c>
      <c r="I698" t="s">
        <v>255</v>
      </c>
      <c r="J698" t="s">
        <v>255</v>
      </c>
      <c r="K698" t="s">
        <v>255</v>
      </c>
      <c r="L698" t="s">
        <v>41</v>
      </c>
      <c r="M698" t="s">
        <v>41</v>
      </c>
      <c r="N698" t="s">
        <v>255</v>
      </c>
      <c r="O698" t="s">
        <v>41</v>
      </c>
      <c r="P698" t="s">
        <v>41</v>
      </c>
      <c r="Q698" s="2"/>
      <c r="R698" s="2"/>
      <c r="S698" t="s">
        <v>255</v>
      </c>
      <c r="T698" t="s">
        <v>41</v>
      </c>
      <c r="U698" t="s">
        <v>41</v>
      </c>
      <c r="V698" s="2"/>
      <c r="W698" s="2"/>
      <c r="X698" t="s">
        <v>3253</v>
      </c>
      <c r="Y698">
        <v>3.86</v>
      </c>
      <c r="Z698">
        <v>2843.98</v>
      </c>
      <c r="AA698" s="2"/>
      <c r="AB698" s="2"/>
      <c r="AC698" t="s">
        <v>3249</v>
      </c>
      <c r="AD698">
        <v>3.13</v>
      </c>
      <c r="AE698">
        <v>2813.765</v>
      </c>
      <c r="AF698" s="2">
        <f t="shared" si="49"/>
        <v>-0.189119170984456</v>
      </c>
      <c r="AG698" s="2">
        <f t="shared" si="50"/>
        <v>-0.0106241956694492</v>
      </c>
      <c r="AH698" t="s">
        <v>3242</v>
      </c>
      <c r="AI698" t="s">
        <v>1328</v>
      </c>
      <c r="AJ698" t="s">
        <v>625</v>
      </c>
    </row>
    <row r="699" hidden="1" spans="1:36">
      <c r="A699">
        <v>113578</v>
      </c>
      <c r="B699" t="s">
        <v>3254</v>
      </c>
      <c r="C699">
        <v>603030</v>
      </c>
      <c r="D699" t="s">
        <v>3255</v>
      </c>
      <c r="E699" t="s">
        <v>1642</v>
      </c>
      <c r="F699" t="s">
        <v>41</v>
      </c>
      <c r="G699" t="s">
        <v>3256</v>
      </c>
      <c r="H699" t="s">
        <v>621</v>
      </c>
      <c r="I699" t="s">
        <v>255</v>
      </c>
      <c r="J699" t="s">
        <v>255</v>
      </c>
      <c r="K699" t="s">
        <v>255</v>
      </c>
      <c r="L699" t="s">
        <v>41</v>
      </c>
      <c r="M699" t="s">
        <v>41</v>
      </c>
      <c r="N699" t="s">
        <v>255</v>
      </c>
      <c r="O699" t="s">
        <v>41</v>
      </c>
      <c r="P699" t="s">
        <v>41</v>
      </c>
      <c r="Q699" s="2"/>
      <c r="R699" s="2"/>
      <c r="S699" t="s">
        <v>255</v>
      </c>
      <c r="T699" t="s">
        <v>41</v>
      </c>
      <c r="U699" t="s">
        <v>41</v>
      </c>
      <c r="V699" s="2"/>
      <c r="W699" s="2"/>
      <c r="X699" t="s">
        <v>3256</v>
      </c>
      <c r="Y699">
        <v>4.68</v>
      </c>
      <c r="Z699">
        <v>2852.553</v>
      </c>
      <c r="AA699" s="2"/>
      <c r="AB699" s="2"/>
      <c r="AC699" t="s">
        <v>3241</v>
      </c>
      <c r="AD699">
        <v>4.93</v>
      </c>
      <c r="AE699">
        <v>2898.576</v>
      </c>
      <c r="AF699" s="2">
        <f t="shared" si="49"/>
        <v>0.0534188034188034</v>
      </c>
      <c r="AG699" s="2">
        <f t="shared" si="50"/>
        <v>0.016133968413558</v>
      </c>
      <c r="AH699" t="s">
        <v>3257</v>
      </c>
      <c r="AI699" t="s">
        <v>3258</v>
      </c>
      <c r="AJ699" t="s">
        <v>3259</v>
      </c>
    </row>
    <row r="700" hidden="1" spans="1:36">
      <c r="A700">
        <v>113573</v>
      </c>
      <c r="B700" t="s">
        <v>3260</v>
      </c>
      <c r="C700">
        <v>603602</v>
      </c>
      <c r="D700" t="s">
        <v>3261</v>
      </c>
      <c r="E700" t="s">
        <v>722</v>
      </c>
      <c r="F700" t="s">
        <v>41</v>
      </c>
      <c r="G700" t="s">
        <v>3262</v>
      </c>
      <c r="H700" t="s">
        <v>621</v>
      </c>
      <c r="I700" t="s">
        <v>255</v>
      </c>
      <c r="J700" t="s">
        <v>255</v>
      </c>
      <c r="K700" t="s">
        <v>255</v>
      </c>
      <c r="L700" t="s">
        <v>41</v>
      </c>
      <c r="M700" t="s">
        <v>41</v>
      </c>
      <c r="N700" t="s">
        <v>255</v>
      </c>
      <c r="O700" t="s">
        <v>41</v>
      </c>
      <c r="P700" t="s">
        <v>41</v>
      </c>
      <c r="Q700" s="2"/>
      <c r="R700" s="2"/>
      <c r="S700" t="s">
        <v>255</v>
      </c>
      <c r="T700" t="s">
        <v>41</v>
      </c>
      <c r="U700" t="s">
        <v>41</v>
      </c>
      <c r="V700" s="2"/>
      <c r="W700" s="2"/>
      <c r="X700" t="s">
        <v>3262</v>
      </c>
      <c r="Y700">
        <v>17.59</v>
      </c>
      <c r="Z700">
        <v>2838.495</v>
      </c>
      <c r="AA700" s="2"/>
      <c r="AB700" s="2"/>
      <c r="AC700" t="s">
        <v>3249</v>
      </c>
      <c r="AD700">
        <v>16.58</v>
      </c>
      <c r="AE700">
        <v>2813.765</v>
      </c>
      <c r="AF700" s="2">
        <f t="shared" si="49"/>
        <v>-0.0574189880613986</v>
      </c>
      <c r="AG700" s="2">
        <f t="shared" si="50"/>
        <v>-0.00871236341793803</v>
      </c>
      <c r="AH700" t="s">
        <v>3263</v>
      </c>
      <c r="AI700" t="s">
        <v>205</v>
      </c>
      <c r="AJ700" t="s">
        <v>625</v>
      </c>
    </row>
    <row r="701" hidden="1" spans="1:36">
      <c r="A701">
        <v>113577</v>
      </c>
      <c r="B701" t="s">
        <v>3264</v>
      </c>
      <c r="C701">
        <v>603890</v>
      </c>
      <c r="D701" t="s">
        <v>1435</v>
      </c>
      <c r="E701" t="s">
        <v>2106</v>
      </c>
      <c r="F701" t="s">
        <v>41</v>
      </c>
      <c r="G701" t="s">
        <v>3265</v>
      </c>
      <c r="H701" t="s">
        <v>621</v>
      </c>
      <c r="I701" t="s">
        <v>255</v>
      </c>
      <c r="J701" t="s">
        <v>255</v>
      </c>
      <c r="K701" t="s">
        <v>255</v>
      </c>
      <c r="L701" t="s">
        <v>41</v>
      </c>
      <c r="M701" t="s">
        <v>41</v>
      </c>
      <c r="N701" t="s">
        <v>255</v>
      </c>
      <c r="O701" t="s">
        <v>41</v>
      </c>
      <c r="P701" t="s">
        <v>41</v>
      </c>
      <c r="Q701" s="2"/>
      <c r="R701" s="2"/>
      <c r="S701" t="s">
        <v>255</v>
      </c>
      <c r="T701" t="s">
        <v>41</v>
      </c>
      <c r="U701" t="s">
        <v>41</v>
      </c>
      <c r="V701" s="2"/>
      <c r="W701" s="2"/>
      <c r="X701" t="s">
        <v>3265</v>
      </c>
      <c r="Y701">
        <v>11.08</v>
      </c>
      <c r="Z701">
        <v>2827.283</v>
      </c>
      <c r="AA701" s="2"/>
      <c r="AB701" s="2"/>
      <c r="AC701" t="s">
        <v>3266</v>
      </c>
      <c r="AD701">
        <v>11.96</v>
      </c>
      <c r="AE701">
        <v>2898.05</v>
      </c>
      <c r="AF701" s="2">
        <f t="shared" si="49"/>
        <v>0.0794223826714802</v>
      </c>
      <c r="AG701" s="2">
        <f t="shared" si="50"/>
        <v>0.0250300376722105</v>
      </c>
      <c r="AH701" t="s">
        <v>3267</v>
      </c>
      <c r="AI701" t="s">
        <v>288</v>
      </c>
      <c r="AJ701" t="s">
        <v>625</v>
      </c>
    </row>
    <row r="702" hidden="1" spans="1:36">
      <c r="A702">
        <v>123050</v>
      </c>
      <c r="B702" t="s">
        <v>3268</v>
      </c>
      <c r="C702">
        <v>300303</v>
      </c>
      <c r="D702" t="s">
        <v>3269</v>
      </c>
      <c r="E702" t="s">
        <v>3270</v>
      </c>
      <c r="F702" t="s">
        <v>41</v>
      </c>
      <c r="G702" t="s">
        <v>3265</v>
      </c>
      <c r="H702" t="s">
        <v>621</v>
      </c>
      <c r="I702" t="s">
        <v>255</v>
      </c>
      <c r="J702" t="s">
        <v>255</v>
      </c>
      <c r="K702" t="s">
        <v>255</v>
      </c>
      <c r="L702" t="s">
        <v>41</v>
      </c>
      <c r="M702" t="s">
        <v>41</v>
      </c>
      <c r="N702" t="s">
        <v>255</v>
      </c>
      <c r="O702" t="s">
        <v>41</v>
      </c>
      <c r="P702" t="s">
        <v>41</v>
      </c>
      <c r="Q702" s="2"/>
      <c r="R702" s="2"/>
      <c r="S702" t="s">
        <v>255</v>
      </c>
      <c r="T702" t="s">
        <v>41</v>
      </c>
      <c r="U702" t="s">
        <v>41</v>
      </c>
      <c r="V702" s="2"/>
      <c r="W702" s="2"/>
      <c r="X702" t="s">
        <v>3265</v>
      </c>
      <c r="Y702">
        <v>4.48</v>
      </c>
      <c r="Z702">
        <v>2827.283</v>
      </c>
      <c r="AA702" s="2"/>
      <c r="AB702" s="2"/>
      <c r="AC702" t="s">
        <v>3271</v>
      </c>
      <c r="AD702">
        <v>5.46</v>
      </c>
      <c r="AE702">
        <v>2868.459</v>
      </c>
      <c r="AF702" s="2">
        <f t="shared" si="49"/>
        <v>0.21875</v>
      </c>
      <c r="AG702" s="2">
        <f t="shared" si="50"/>
        <v>0.014563805604179</v>
      </c>
      <c r="AH702" t="s">
        <v>3267</v>
      </c>
      <c r="AI702" t="s">
        <v>3272</v>
      </c>
      <c r="AJ702" t="s">
        <v>625</v>
      </c>
    </row>
    <row r="703" hidden="1" spans="1:36">
      <c r="A703">
        <v>123049</v>
      </c>
      <c r="B703" t="s">
        <v>3273</v>
      </c>
      <c r="C703">
        <v>300190</v>
      </c>
      <c r="D703" t="s">
        <v>3274</v>
      </c>
      <c r="E703" t="s">
        <v>3275</v>
      </c>
      <c r="F703" t="s">
        <v>1208</v>
      </c>
      <c r="G703" t="s">
        <v>3276</v>
      </c>
      <c r="H703" t="s">
        <v>33</v>
      </c>
      <c r="I703" t="s">
        <v>255</v>
      </c>
      <c r="J703" t="s">
        <v>255</v>
      </c>
      <c r="K703" t="s">
        <v>255</v>
      </c>
      <c r="L703" t="s">
        <v>41</v>
      </c>
      <c r="M703" t="s">
        <v>41</v>
      </c>
      <c r="N703" t="s">
        <v>255</v>
      </c>
      <c r="O703" t="s">
        <v>41</v>
      </c>
      <c r="P703" t="s">
        <v>41</v>
      </c>
      <c r="Q703" s="2"/>
      <c r="R703" s="2"/>
      <c r="S703" t="s">
        <v>255</v>
      </c>
      <c r="T703" t="s">
        <v>41</v>
      </c>
      <c r="U703" t="s">
        <v>41</v>
      </c>
      <c r="V703" s="2"/>
      <c r="W703" s="2"/>
      <c r="X703" t="s">
        <v>3276</v>
      </c>
      <c r="Y703">
        <v>6.71</v>
      </c>
      <c r="Z703">
        <v>2783.048</v>
      </c>
      <c r="AA703" s="2"/>
      <c r="AB703" s="2"/>
      <c r="AC703" t="s">
        <v>3277</v>
      </c>
      <c r="AD703">
        <v>6.69</v>
      </c>
      <c r="AE703">
        <v>2891.556</v>
      </c>
      <c r="AF703" s="2">
        <f t="shared" si="49"/>
        <v>-0.00298062593144554</v>
      </c>
      <c r="AG703" s="2">
        <f t="shared" si="50"/>
        <v>0.0389889071262875</v>
      </c>
      <c r="AH703" t="s">
        <v>3278</v>
      </c>
      <c r="AI703" t="s">
        <v>41</v>
      </c>
      <c r="AJ703" t="s">
        <v>41</v>
      </c>
    </row>
    <row r="704" hidden="1" spans="1:36">
      <c r="A704">
        <v>110070</v>
      </c>
      <c r="B704" t="s">
        <v>3279</v>
      </c>
      <c r="C704">
        <v>600231</v>
      </c>
      <c r="D704" t="s">
        <v>3280</v>
      </c>
      <c r="E704" t="s">
        <v>161</v>
      </c>
      <c r="F704" t="s">
        <v>397</v>
      </c>
      <c r="G704" t="s">
        <v>3276</v>
      </c>
      <c r="H704" t="s">
        <v>33</v>
      </c>
      <c r="I704" t="s">
        <v>255</v>
      </c>
      <c r="J704" t="s">
        <v>255</v>
      </c>
      <c r="K704" t="s">
        <v>255</v>
      </c>
      <c r="L704" t="s">
        <v>41</v>
      </c>
      <c r="M704" t="s">
        <v>41</v>
      </c>
      <c r="N704" t="s">
        <v>255</v>
      </c>
      <c r="O704" t="s">
        <v>41</v>
      </c>
      <c r="P704" t="s">
        <v>41</v>
      </c>
      <c r="Q704" s="2"/>
      <c r="R704" s="2"/>
      <c r="S704" t="s">
        <v>255</v>
      </c>
      <c r="T704" t="s">
        <v>41</v>
      </c>
      <c r="U704" t="s">
        <v>41</v>
      </c>
      <c r="V704" s="2"/>
      <c r="W704" s="2"/>
      <c r="X704" t="s">
        <v>3276</v>
      </c>
      <c r="Y704">
        <v>2.03</v>
      </c>
      <c r="Z704">
        <v>2783.048</v>
      </c>
      <c r="AA704" s="2"/>
      <c r="AB704" s="2"/>
      <c r="AC704" t="s">
        <v>3266</v>
      </c>
      <c r="AD704">
        <v>1.97</v>
      </c>
      <c r="AE704">
        <v>2898.05</v>
      </c>
      <c r="AF704" s="2">
        <f t="shared" si="49"/>
        <v>-0.0295566502463053</v>
      </c>
      <c r="AG704" s="2">
        <f t="shared" si="50"/>
        <v>0.0413223199887319</v>
      </c>
      <c r="AH704" t="s">
        <v>3278</v>
      </c>
      <c r="AI704" t="s">
        <v>41</v>
      </c>
      <c r="AJ704" t="s">
        <v>41</v>
      </c>
    </row>
    <row r="705" hidden="1" spans="1:36">
      <c r="A705">
        <v>123048</v>
      </c>
      <c r="B705" t="s">
        <v>3281</v>
      </c>
      <c r="C705">
        <v>300527</v>
      </c>
      <c r="D705" t="s">
        <v>3282</v>
      </c>
      <c r="E705" t="s">
        <v>3283</v>
      </c>
      <c r="F705" t="s">
        <v>41</v>
      </c>
      <c r="G705" t="s">
        <v>3284</v>
      </c>
      <c r="H705" t="s">
        <v>621</v>
      </c>
      <c r="I705" t="s">
        <v>255</v>
      </c>
      <c r="J705" t="s">
        <v>255</v>
      </c>
      <c r="K705" t="s">
        <v>255</v>
      </c>
      <c r="L705" t="s">
        <v>41</v>
      </c>
      <c r="M705" t="s">
        <v>41</v>
      </c>
      <c r="N705" t="s">
        <v>255</v>
      </c>
      <c r="O705" t="s">
        <v>41</v>
      </c>
      <c r="P705" t="s">
        <v>41</v>
      </c>
      <c r="Q705" s="2"/>
      <c r="R705" s="2"/>
      <c r="S705" t="s">
        <v>255</v>
      </c>
      <c r="T705" t="s">
        <v>41</v>
      </c>
      <c r="U705" t="s">
        <v>41</v>
      </c>
      <c r="V705" s="2"/>
      <c r="W705" s="2"/>
      <c r="X705" t="s">
        <v>3284</v>
      </c>
      <c r="Y705">
        <v>8.94</v>
      </c>
      <c r="Z705">
        <v>2796.631</v>
      </c>
      <c r="AA705" s="2"/>
      <c r="AB705" s="2"/>
      <c r="AC705" t="s">
        <v>3285</v>
      </c>
      <c r="AD705">
        <v>8.62</v>
      </c>
      <c r="AE705">
        <v>2894.802</v>
      </c>
      <c r="AF705" s="2">
        <f t="shared" si="49"/>
        <v>-0.0357941834451902</v>
      </c>
      <c r="AG705" s="2">
        <f t="shared" si="50"/>
        <v>0.0351033082305103</v>
      </c>
      <c r="AH705" t="s">
        <v>3286</v>
      </c>
      <c r="AI705" t="s">
        <v>385</v>
      </c>
      <c r="AJ705" t="s">
        <v>625</v>
      </c>
    </row>
    <row r="706" hidden="1" spans="1:36">
      <c r="A706">
        <v>128106</v>
      </c>
      <c r="B706" t="s">
        <v>3287</v>
      </c>
      <c r="C706">
        <v>2840</v>
      </c>
      <c r="D706" t="s">
        <v>3288</v>
      </c>
      <c r="E706" t="s">
        <v>667</v>
      </c>
      <c r="F706" t="s">
        <v>41</v>
      </c>
      <c r="G706" t="s">
        <v>3284</v>
      </c>
      <c r="H706" t="s">
        <v>621</v>
      </c>
      <c r="I706" t="s">
        <v>255</v>
      </c>
      <c r="J706" t="s">
        <v>255</v>
      </c>
      <c r="K706" t="s">
        <v>255</v>
      </c>
      <c r="L706" t="s">
        <v>41</v>
      </c>
      <c r="M706" t="s">
        <v>41</v>
      </c>
      <c r="N706" t="s">
        <v>255</v>
      </c>
      <c r="O706" t="s">
        <v>41</v>
      </c>
      <c r="P706" t="s">
        <v>41</v>
      </c>
      <c r="Q706" s="2"/>
      <c r="R706" s="2"/>
      <c r="S706" t="s">
        <v>255</v>
      </c>
      <c r="T706" t="s">
        <v>41</v>
      </c>
      <c r="U706" t="s">
        <v>41</v>
      </c>
      <c r="V706" s="2"/>
      <c r="W706" s="2"/>
      <c r="X706" t="s">
        <v>3284</v>
      </c>
      <c r="Y706">
        <v>10</v>
      </c>
      <c r="Z706">
        <v>2796.631</v>
      </c>
      <c r="AA706" s="2"/>
      <c r="AB706" s="2"/>
      <c r="AC706" t="s">
        <v>3289</v>
      </c>
      <c r="AD706">
        <v>10.47</v>
      </c>
      <c r="AE706">
        <v>2895.344</v>
      </c>
      <c r="AF706" s="2">
        <f t="shared" si="49"/>
        <v>0.0470000000000001</v>
      </c>
      <c r="AG706" s="2">
        <f t="shared" si="50"/>
        <v>0.0352971128475656</v>
      </c>
      <c r="AH706" t="s">
        <v>3286</v>
      </c>
      <c r="AI706" t="s">
        <v>574</v>
      </c>
      <c r="AJ706" t="s">
        <v>625</v>
      </c>
    </row>
    <row r="707" hidden="1" spans="1:36">
      <c r="A707">
        <v>113576</v>
      </c>
      <c r="B707" t="s">
        <v>3290</v>
      </c>
      <c r="C707">
        <v>603557</v>
      </c>
      <c r="D707" t="s">
        <v>3291</v>
      </c>
      <c r="E707" t="s">
        <v>483</v>
      </c>
      <c r="F707" t="s">
        <v>41</v>
      </c>
      <c r="G707" t="s">
        <v>3284</v>
      </c>
      <c r="H707" t="s">
        <v>621</v>
      </c>
      <c r="I707" t="s">
        <v>255</v>
      </c>
      <c r="J707" t="s">
        <v>255</v>
      </c>
      <c r="K707" t="s">
        <v>255</v>
      </c>
      <c r="L707" t="s">
        <v>41</v>
      </c>
      <c r="M707" t="s">
        <v>41</v>
      </c>
      <c r="N707" t="s">
        <v>255</v>
      </c>
      <c r="O707" t="s">
        <v>41</v>
      </c>
      <c r="P707" t="s">
        <v>41</v>
      </c>
      <c r="Q707" s="2"/>
      <c r="R707" s="2"/>
      <c r="S707" t="s">
        <v>255</v>
      </c>
      <c r="T707" t="s">
        <v>41</v>
      </c>
      <c r="U707" t="s">
        <v>41</v>
      </c>
      <c r="V707" s="2"/>
      <c r="W707" s="2"/>
      <c r="X707" t="s">
        <v>3284</v>
      </c>
      <c r="Y707">
        <v>8.03</v>
      </c>
      <c r="Z707">
        <v>2796.631</v>
      </c>
      <c r="AA707" s="2"/>
      <c r="AB707" s="2"/>
      <c r="AC707" t="s">
        <v>3292</v>
      </c>
      <c r="AD707">
        <v>7.74</v>
      </c>
      <c r="AE707">
        <v>2871.523</v>
      </c>
      <c r="AF707" s="2">
        <f t="shared" ref="AF707:AF770" si="51">(AD707-Y707)/Y707</f>
        <v>-0.0361145703611456</v>
      </c>
      <c r="AG707" s="2">
        <f t="shared" ref="AG707:AG770" si="52">(AE707-Z707)/Z707</f>
        <v>0.0267793641706755</v>
      </c>
      <c r="AH707" t="s">
        <v>3286</v>
      </c>
      <c r="AI707" t="s">
        <v>581</v>
      </c>
      <c r="AJ707" t="s">
        <v>625</v>
      </c>
    </row>
    <row r="708" hidden="1" spans="1:36">
      <c r="A708">
        <v>113034</v>
      </c>
      <c r="B708" t="s">
        <v>3293</v>
      </c>
      <c r="C708">
        <v>601678</v>
      </c>
      <c r="D708" t="s">
        <v>3294</v>
      </c>
      <c r="E708" t="s">
        <v>3295</v>
      </c>
      <c r="F708" t="s">
        <v>41</v>
      </c>
      <c r="G708" t="s">
        <v>3284</v>
      </c>
      <c r="H708" t="s">
        <v>621</v>
      </c>
      <c r="I708" t="s">
        <v>255</v>
      </c>
      <c r="J708" t="s">
        <v>255</v>
      </c>
      <c r="K708" t="s">
        <v>255</v>
      </c>
      <c r="L708" t="s">
        <v>41</v>
      </c>
      <c r="M708" t="s">
        <v>41</v>
      </c>
      <c r="N708" t="s">
        <v>255</v>
      </c>
      <c r="O708" t="s">
        <v>41</v>
      </c>
      <c r="P708" t="s">
        <v>41</v>
      </c>
      <c r="Q708" s="2"/>
      <c r="R708" s="2"/>
      <c r="S708" t="s">
        <v>255</v>
      </c>
      <c r="T708" t="s">
        <v>41</v>
      </c>
      <c r="U708" t="s">
        <v>41</v>
      </c>
      <c r="V708" s="2"/>
      <c r="W708" s="2"/>
      <c r="X708" t="s">
        <v>3284</v>
      </c>
      <c r="Y708">
        <v>3.96</v>
      </c>
      <c r="Z708">
        <v>2796.631</v>
      </c>
      <c r="AA708" s="2"/>
      <c r="AB708" s="2"/>
      <c r="AC708" t="s">
        <v>3296</v>
      </c>
      <c r="AD708">
        <v>4.05</v>
      </c>
      <c r="AE708">
        <v>2860.082</v>
      </c>
      <c r="AF708" s="2">
        <f t="shared" si="51"/>
        <v>0.0227272727272727</v>
      </c>
      <c r="AG708" s="2">
        <f t="shared" si="52"/>
        <v>0.0226883703999562</v>
      </c>
      <c r="AH708" t="s">
        <v>3297</v>
      </c>
      <c r="AI708" t="s">
        <v>3298</v>
      </c>
      <c r="AJ708" t="s">
        <v>625</v>
      </c>
    </row>
    <row r="709" hidden="1" spans="1:36">
      <c r="A709">
        <v>127016</v>
      </c>
      <c r="B709" t="s">
        <v>3299</v>
      </c>
      <c r="C709">
        <v>726</v>
      </c>
      <c r="D709" t="s">
        <v>3300</v>
      </c>
      <c r="E709" t="s">
        <v>1608</v>
      </c>
      <c r="F709" t="s">
        <v>98</v>
      </c>
      <c r="G709" t="s">
        <v>3301</v>
      </c>
      <c r="H709" t="s">
        <v>33</v>
      </c>
      <c r="I709" t="s">
        <v>255</v>
      </c>
      <c r="J709" t="s">
        <v>255</v>
      </c>
      <c r="K709" t="s">
        <v>255</v>
      </c>
      <c r="L709" t="s">
        <v>41</v>
      </c>
      <c r="M709" t="s">
        <v>41</v>
      </c>
      <c r="N709" t="s">
        <v>255</v>
      </c>
      <c r="O709" t="s">
        <v>41</v>
      </c>
      <c r="P709" t="s">
        <v>41</v>
      </c>
      <c r="Q709" s="2"/>
      <c r="R709" s="2"/>
      <c r="S709" t="s">
        <v>255</v>
      </c>
      <c r="T709" t="s">
        <v>41</v>
      </c>
      <c r="U709" t="s">
        <v>41</v>
      </c>
      <c r="V709" s="2"/>
      <c r="W709" s="2"/>
      <c r="X709" t="s">
        <v>3301</v>
      </c>
      <c r="Y709">
        <v>7.9</v>
      </c>
      <c r="Z709">
        <v>2825.904</v>
      </c>
      <c r="AA709" s="2"/>
      <c r="AB709" s="2"/>
      <c r="AC709" t="s">
        <v>3266</v>
      </c>
      <c r="AD709">
        <v>7.41</v>
      </c>
      <c r="AE709">
        <v>2898.05</v>
      </c>
      <c r="AF709" s="2">
        <f t="shared" si="51"/>
        <v>-0.0620253164556962</v>
      </c>
      <c r="AG709" s="2">
        <f t="shared" si="52"/>
        <v>0.0255302374036769</v>
      </c>
      <c r="AH709" t="s">
        <v>3297</v>
      </c>
      <c r="AI709" t="s">
        <v>41</v>
      </c>
      <c r="AJ709" t="s">
        <v>41</v>
      </c>
    </row>
    <row r="710" hidden="1" spans="1:36">
      <c r="A710">
        <v>128105</v>
      </c>
      <c r="B710" t="s">
        <v>3302</v>
      </c>
      <c r="C710">
        <v>2616</v>
      </c>
      <c r="D710" t="s">
        <v>3303</v>
      </c>
      <c r="E710" t="s">
        <v>115</v>
      </c>
      <c r="F710" t="s">
        <v>41</v>
      </c>
      <c r="G710" t="s">
        <v>3301</v>
      </c>
      <c r="H710" t="s">
        <v>621</v>
      </c>
      <c r="I710" t="s">
        <v>255</v>
      </c>
      <c r="J710" t="s">
        <v>255</v>
      </c>
      <c r="K710" t="s">
        <v>255</v>
      </c>
      <c r="L710" t="s">
        <v>41</v>
      </c>
      <c r="M710" t="s">
        <v>41</v>
      </c>
      <c r="N710" t="s">
        <v>255</v>
      </c>
      <c r="O710" t="s">
        <v>41</v>
      </c>
      <c r="P710" t="s">
        <v>41</v>
      </c>
      <c r="Q710" s="2"/>
      <c r="R710" s="2"/>
      <c r="S710" t="s">
        <v>255</v>
      </c>
      <c r="T710" t="s">
        <v>41</v>
      </c>
      <c r="U710" t="s">
        <v>41</v>
      </c>
      <c r="V710" s="2"/>
      <c r="W710" s="2"/>
      <c r="X710" t="s">
        <v>3301</v>
      </c>
      <c r="Y710">
        <v>7.51</v>
      </c>
      <c r="Z710">
        <v>2825.904</v>
      </c>
      <c r="AA710" s="2"/>
      <c r="AB710" s="2"/>
      <c r="AC710" t="s">
        <v>3266</v>
      </c>
      <c r="AD710">
        <v>9.23</v>
      </c>
      <c r="AE710">
        <v>2898.05</v>
      </c>
      <c r="AF710" s="2">
        <f t="shared" si="51"/>
        <v>0.229027962716378</v>
      </c>
      <c r="AG710" s="2">
        <f t="shared" si="52"/>
        <v>0.0255302374036769</v>
      </c>
      <c r="AH710" t="s">
        <v>3297</v>
      </c>
      <c r="AI710" t="s">
        <v>166</v>
      </c>
      <c r="AJ710" t="s">
        <v>625</v>
      </c>
    </row>
    <row r="711" hidden="1" spans="1:36">
      <c r="A711">
        <v>113575</v>
      </c>
      <c r="B711" t="s">
        <v>3304</v>
      </c>
      <c r="C711">
        <v>603377</v>
      </c>
      <c r="D711" t="s">
        <v>3305</v>
      </c>
      <c r="E711" t="s">
        <v>3306</v>
      </c>
      <c r="F711" t="s">
        <v>3307</v>
      </c>
      <c r="G711" t="s">
        <v>3301</v>
      </c>
      <c r="H711" t="s">
        <v>33</v>
      </c>
      <c r="I711" t="s">
        <v>255</v>
      </c>
      <c r="J711" t="s">
        <v>255</v>
      </c>
      <c r="K711" t="s">
        <v>255</v>
      </c>
      <c r="L711" t="s">
        <v>41</v>
      </c>
      <c r="M711" t="s">
        <v>41</v>
      </c>
      <c r="N711" t="s">
        <v>255</v>
      </c>
      <c r="O711" t="s">
        <v>41</v>
      </c>
      <c r="P711" t="s">
        <v>41</v>
      </c>
      <c r="Q711" s="2"/>
      <c r="R711" s="2"/>
      <c r="S711" t="s">
        <v>255</v>
      </c>
      <c r="T711" t="s">
        <v>41</v>
      </c>
      <c r="U711" t="s">
        <v>41</v>
      </c>
      <c r="V711" s="2"/>
      <c r="W711" s="2"/>
      <c r="X711" t="s">
        <v>3301</v>
      </c>
      <c r="Y711">
        <v>12.23</v>
      </c>
      <c r="Z711">
        <v>2825.904</v>
      </c>
      <c r="AA711" s="2"/>
      <c r="AB711" s="2"/>
      <c r="AC711" t="s">
        <v>3296</v>
      </c>
      <c r="AD711">
        <v>12.95</v>
      </c>
      <c r="AE711">
        <v>2860.082</v>
      </c>
      <c r="AF711" s="2">
        <f t="shared" si="51"/>
        <v>0.0588716271463613</v>
      </c>
      <c r="AG711" s="2">
        <f t="shared" si="52"/>
        <v>0.0120945368278611</v>
      </c>
      <c r="AH711" t="s">
        <v>3297</v>
      </c>
      <c r="AI711" t="s">
        <v>41</v>
      </c>
      <c r="AJ711" t="s">
        <v>41</v>
      </c>
    </row>
    <row r="712" hidden="1" spans="1:36">
      <c r="A712">
        <v>110069</v>
      </c>
      <c r="B712" t="s">
        <v>3308</v>
      </c>
      <c r="C712">
        <v>600323</v>
      </c>
      <c r="D712" t="s">
        <v>3309</v>
      </c>
      <c r="E712" t="s">
        <v>3310</v>
      </c>
      <c r="F712" t="s">
        <v>41</v>
      </c>
      <c r="G712" t="s">
        <v>3311</v>
      </c>
      <c r="H712" t="s">
        <v>621</v>
      </c>
      <c r="I712" t="s">
        <v>255</v>
      </c>
      <c r="J712" t="s">
        <v>255</v>
      </c>
      <c r="K712" t="s">
        <v>255</v>
      </c>
      <c r="L712" t="s">
        <v>41</v>
      </c>
      <c r="M712" t="s">
        <v>41</v>
      </c>
      <c r="N712" t="s">
        <v>255</v>
      </c>
      <c r="O712" t="s">
        <v>41</v>
      </c>
      <c r="P712" t="s">
        <v>41</v>
      </c>
      <c r="Q712" s="2"/>
      <c r="R712" s="2"/>
      <c r="S712" t="s">
        <v>255</v>
      </c>
      <c r="T712" t="s">
        <v>41</v>
      </c>
      <c r="U712" t="s">
        <v>41</v>
      </c>
      <c r="V712" s="2"/>
      <c r="W712" s="2"/>
      <c r="X712" t="s">
        <v>3311</v>
      </c>
      <c r="Y712">
        <v>17.07</v>
      </c>
      <c r="Z712">
        <v>2820.763</v>
      </c>
      <c r="AA712" s="2"/>
      <c r="AB712" s="2"/>
      <c r="AC712" t="s">
        <v>3292</v>
      </c>
      <c r="AD712">
        <v>19.35</v>
      </c>
      <c r="AE712">
        <v>2871.523</v>
      </c>
      <c r="AF712" s="2">
        <f t="shared" si="51"/>
        <v>0.133567662565905</v>
      </c>
      <c r="AG712" s="2">
        <f t="shared" si="52"/>
        <v>0.0179951311045984</v>
      </c>
      <c r="AH712" t="s">
        <v>3312</v>
      </c>
      <c r="AI712" t="s">
        <v>2607</v>
      </c>
      <c r="AJ712" t="s">
        <v>625</v>
      </c>
    </row>
    <row r="713" hidden="1" spans="1:36">
      <c r="A713">
        <v>128104</v>
      </c>
      <c r="B713" t="s">
        <v>3313</v>
      </c>
      <c r="C713">
        <v>2831</v>
      </c>
      <c r="D713" t="s">
        <v>3314</v>
      </c>
      <c r="E713" t="s">
        <v>1608</v>
      </c>
      <c r="F713" t="s">
        <v>41</v>
      </c>
      <c r="G713" t="s">
        <v>3311</v>
      </c>
      <c r="H713" t="s">
        <v>621</v>
      </c>
      <c r="I713" t="s">
        <v>255</v>
      </c>
      <c r="J713" t="s">
        <v>255</v>
      </c>
      <c r="K713" t="s">
        <v>255</v>
      </c>
      <c r="L713" t="s">
        <v>41</v>
      </c>
      <c r="M713" t="s">
        <v>41</v>
      </c>
      <c r="N713" t="s">
        <v>255</v>
      </c>
      <c r="O713" t="s">
        <v>41</v>
      </c>
      <c r="P713" t="s">
        <v>41</v>
      </c>
      <c r="Q713" s="2"/>
      <c r="R713" s="2"/>
      <c r="S713" t="s">
        <v>255</v>
      </c>
      <c r="T713" t="s">
        <v>41</v>
      </c>
      <c r="U713" t="s">
        <v>41</v>
      </c>
      <c r="V713" s="2"/>
      <c r="W713" s="2"/>
      <c r="X713" t="s">
        <v>3311</v>
      </c>
      <c r="Y713">
        <v>19.77</v>
      </c>
      <c r="Z713">
        <v>2820.763</v>
      </c>
      <c r="AA713" s="2"/>
      <c r="AB713" s="2"/>
      <c r="AC713" t="s">
        <v>3315</v>
      </c>
      <c r="AD713">
        <v>18.67</v>
      </c>
      <c r="AE713">
        <v>2810.024</v>
      </c>
      <c r="AF713" s="2">
        <f t="shared" si="51"/>
        <v>-0.0556398583712695</v>
      </c>
      <c r="AG713" s="2">
        <f t="shared" si="52"/>
        <v>-0.00380712594429239</v>
      </c>
      <c r="AH713" t="s">
        <v>3312</v>
      </c>
      <c r="AI713" t="s">
        <v>2377</v>
      </c>
      <c r="AJ713" t="s">
        <v>625</v>
      </c>
    </row>
    <row r="714" hidden="1" spans="1:36">
      <c r="A714">
        <v>113033</v>
      </c>
      <c r="B714" t="s">
        <v>3316</v>
      </c>
      <c r="C714">
        <v>601366</v>
      </c>
      <c r="D714" t="s">
        <v>3317</v>
      </c>
      <c r="E714" t="s">
        <v>266</v>
      </c>
      <c r="F714" t="s">
        <v>397</v>
      </c>
      <c r="G714" t="s">
        <v>3318</v>
      </c>
      <c r="H714" t="s">
        <v>33</v>
      </c>
      <c r="I714" t="s">
        <v>255</v>
      </c>
      <c r="J714" t="s">
        <v>255</v>
      </c>
      <c r="K714" t="s">
        <v>255</v>
      </c>
      <c r="L714" t="s">
        <v>41</v>
      </c>
      <c r="M714" t="s">
        <v>41</v>
      </c>
      <c r="N714" t="s">
        <v>255</v>
      </c>
      <c r="O714" t="s">
        <v>41</v>
      </c>
      <c r="P714" t="s">
        <v>41</v>
      </c>
      <c r="Q714" s="2"/>
      <c r="R714" s="2"/>
      <c r="S714" t="s">
        <v>255</v>
      </c>
      <c r="T714" t="s">
        <v>41</v>
      </c>
      <c r="U714" t="s">
        <v>41</v>
      </c>
      <c r="V714" s="2"/>
      <c r="W714" s="2"/>
      <c r="X714" t="s">
        <v>3318</v>
      </c>
      <c r="Y714">
        <v>5.86</v>
      </c>
      <c r="Z714">
        <v>2734.522</v>
      </c>
      <c r="AA714" s="2"/>
      <c r="AB714" s="2"/>
      <c r="AC714" t="s">
        <v>3319</v>
      </c>
      <c r="AD714">
        <v>5.83</v>
      </c>
      <c r="AE714">
        <v>2827.013</v>
      </c>
      <c r="AF714" s="2">
        <f t="shared" si="51"/>
        <v>-0.00511945392491472</v>
      </c>
      <c r="AG714" s="2">
        <f t="shared" si="52"/>
        <v>0.0338234616507017</v>
      </c>
      <c r="AH714" t="s">
        <v>3320</v>
      </c>
      <c r="AI714" t="s">
        <v>41</v>
      </c>
      <c r="AJ714" t="s">
        <v>41</v>
      </c>
    </row>
    <row r="715" hidden="1" spans="1:36">
      <c r="A715">
        <v>113574</v>
      </c>
      <c r="B715" t="s">
        <v>3321</v>
      </c>
      <c r="C715">
        <v>603679</v>
      </c>
      <c r="D715" t="s">
        <v>3322</v>
      </c>
      <c r="E715" t="s">
        <v>3323</v>
      </c>
      <c r="F715" t="s">
        <v>708</v>
      </c>
      <c r="G715" t="s">
        <v>3324</v>
      </c>
      <c r="H715" t="s">
        <v>33</v>
      </c>
      <c r="I715" t="s">
        <v>255</v>
      </c>
      <c r="J715" t="s">
        <v>255</v>
      </c>
      <c r="K715" t="s">
        <v>255</v>
      </c>
      <c r="L715" t="s">
        <v>41</v>
      </c>
      <c r="M715" t="s">
        <v>41</v>
      </c>
      <c r="N715" t="s">
        <v>255</v>
      </c>
      <c r="O715" t="s">
        <v>41</v>
      </c>
      <c r="P715" t="s">
        <v>41</v>
      </c>
      <c r="Q715" s="2"/>
      <c r="R715" s="2"/>
      <c r="S715" t="s">
        <v>255</v>
      </c>
      <c r="T715" t="s">
        <v>41</v>
      </c>
      <c r="U715" t="s">
        <v>41</v>
      </c>
      <c r="V715" s="2"/>
      <c r="W715" s="2"/>
      <c r="X715" t="s">
        <v>3324</v>
      </c>
      <c r="Y715">
        <v>31.79</v>
      </c>
      <c r="Z715">
        <v>2750.296</v>
      </c>
      <c r="AA715" s="2"/>
      <c r="AB715" s="2"/>
      <c r="AC715" t="s">
        <v>3325</v>
      </c>
      <c r="AD715">
        <v>30.36</v>
      </c>
      <c r="AE715">
        <v>2815.495</v>
      </c>
      <c r="AF715" s="2">
        <f t="shared" si="51"/>
        <v>-0.0449826989619377</v>
      </c>
      <c r="AG715" s="2">
        <f t="shared" si="52"/>
        <v>0.0237061756261872</v>
      </c>
      <c r="AH715" t="s">
        <v>3326</v>
      </c>
      <c r="AI715" t="s">
        <v>41</v>
      </c>
      <c r="AJ715" t="s">
        <v>41</v>
      </c>
    </row>
    <row r="716" hidden="1" spans="1:36">
      <c r="A716">
        <v>128103</v>
      </c>
      <c r="B716" t="s">
        <v>3327</v>
      </c>
      <c r="C716">
        <v>2360</v>
      </c>
      <c r="D716" t="s">
        <v>3328</v>
      </c>
      <c r="E716" t="s">
        <v>3329</v>
      </c>
      <c r="F716" t="s">
        <v>41</v>
      </c>
      <c r="G716" t="s">
        <v>3330</v>
      </c>
      <c r="H716" t="s">
        <v>621</v>
      </c>
      <c r="I716" t="s">
        <v>255</v>
      </c>
      <c r="J716" t="s">
        <v>255</v>
      </c>
      <c r="K716" t="s">
        <v>255</v>
      </c>
      <c r="L716" t="s">
        <v>41</v>
      </c>
      <c r="M716" t="s">
        <v>41</v>
      </c>
      <c r="N716" t="s">
        <v>255</v>
      </c>
      <c r="O716" t="s">
        <v>41</v>
      </c>
      <c r="P716" t="s">
        <v>41</v>
      </c>
      <c r="Q716" s="2"/>
      <c r="R716" s="2"/>
      <c r="S716" t="s">
        <v>255</v>
      </c>
      <c r="T716" t="s">
        <v>41</v>
      </c>
      <c r="U716" t="s">
        <v>41</v>
      </c>
      <c r="V716" s="2"/>
      <c r="W716" s="2"/>
      <c r="X716" t="s">
        <v>3330</v>
      </c>
      <c r="Y716">
        <v>4.85</v>
      </c>
      <c r="Z716">
        <v>2764.911</v>
      </c>
      <c r="AA716" s="2"/>
      <c r="AB716" s="2"/>
      <c r="AC716" t="s">
        <v>3319</v>
      </c>
      <c r="AD716">
        <v>4.73</v>
      </c>
      <c r="AE716">
        <v>2827.013</v>
      </c>
      <c r="AF716" s="2">
        <f t="shared" si="51"/>
        <v>-0.024742268041237</v>
      </c>
      <c r="AG716" s="2">
        <f t="shared" si="52"/>
        <v>0.0224607591347424</v>
      </c>
      <c r="AH716" t="s">
        <v>3331</v>
      </c>
      <c r="AI716" t="s">
        <v>2114</v>
      </c>
      <c r="AJ716" t="s">
        <v>625</v>
      </c>
    </row>
    <row r="717" hidden="1" spans="1:36">
      <c r="A717">
        <v>110068</v>
      </c>
      <c r="B717" t="s">
        <v>3332</v>
      </c>
      <c r="C717">
        <v>600388</v>
      </c>
      <c r="D717" t="s">
        <v>3333</v>
      </c>
      <c r="E717" t="s">
        <v>194</v>
      </c>
      <c r="F717" t="s">
        <v>41</v>
      </c>
      <c r="G717" t="s">
        <v>3334</v>
      </c>
      <c r="H717" t="s">
        <v>621</v>
      </c>
      <c r="I717" t="s">
        <v>255</v>
      </c>
      <c r="J717" t="s">
        <v>255</v>
      </c>
      <c r="K717" t="s">
        <v>255</v>
      </c>
      <c r="L717" t="s">
        <v>41</v>
      </c>
      <c r="M717" t="s">
        <v>41</v>
      </c>
      <c r="N717" t="s">
        <v>255</v>
      </c>
      <c r="O717" t="s">
        <v>41</v>
      </c>
      <c r="P717" t="s">
        <v>41</v>
      </c>
      <c r="Q717" s="2"/>
      <c r="R717" s="2"/>
      <c r="S717" t="s">
        <v>255</v>
      </c>
      <c r="T717" t="s">
        <v>41</v>
      </c>
      <c r="U717" t="s">
        <v>41</v>
      </c>
      <c r="V717" s="2"/>
      <c r="W717" s="2"/>
      <c r="X717" t="s">
        <v>3334</v>
      </c>
      <c r="Y717">
        <v>7.99</v>
      </c>
      <c r="Z717">
        <v>2722.438</v>
      </c>
      <c r="AA717" s="2"/>
      <c r="AB717" s="2"/>
      <c r="AC717" t="s">
        <v>3335</v>
      </c>
      <c r="AD717">
        <v>7.75</v>
      </c>
      <c r="AE717">
        <v>2811.174</v>
      </c>
      <c r="AF717" s="2">
        <f t="shared" si="51"/>
        <v>-0.0300375469336671</v>
      </c>
      <c r="AG717" s="2">
        <f t="shared" si="52"/>
        <v>0.032594314360878</v>
      </c>
      <c r="AH717" t="s">
        <v>3336</v>
      </c>
      <c r="AI717" t="s">
        <v>3053</v>
      </c>
      <c r="AJ717" t="s">
        <v>625</v>
      </c>
    </row>
    <row r="718" hidden="1" spans="1:36">
      <c r="A718">
        <v>123047</v>
      </c>
      <c r="B718" t="s">
        <v>3337</v>
      </c>
      <c r="C718">
        <v>300631</v>
      </c>
      <c r="D718" t="s">
        <v>306</v>
      </c>
      <c r="E718" t="s">
        <v>3338</v>
      </c>
      <c r="F718" t="s">
        <v>41</v>
      </c>
      <c r="G718" t="s">
        <v>3339</v>
      </c>
      <c r="H718" t="s">
        <v>621</v>
      </c>
      <c r="I718" t="s">
        <v>255</v>
      </c>
      <c r="J718" t="s">
        <v>255</v>
      </c>
      <c r="K718" t="s">
        <v>255</v>
      </c>
      <c r="L718" t="s">
        <v>41</v>
      </c>
      <c r="M718" t="s">
        <v>41</v>
      </c>
      <c r="N718" t="s">
        <v>255</v>
      </c>
      <c r="O718" t="s">
        <v>41</v>
      </c>
      <c r="P718" t="s">
        <v>41</v>
      </c>
      <c r="Q718" s="2"/>
      <c r="R718" s="2"/>
      <c r="S718" t="s">
        <v>255</v>
      </c>
      <c r="T718" t="s">
        <v>41</v>
      </c>
      <c r="U718" t="s">
        <v>41</v>
      </c>
      <c r="V718" s="2"/>
      <c r="W718" s="2"/>
      <c r="X718" t="s">
        <v>3339</v>
      </c>
      <c r="Y718">
        <v>16.69</v>
      </c>
      <c r="Z718">
        <v>2745.618</v>
      </c>
      <c r="AA718" s="2"/>
      <c r="AB718" s="2"/>
      <c r="AC718" t="s">
        <v>3262</v>
      </c>
      <c r="AD718">
        <v>16.47</v>
      </c>
      <c r="AE718">
        <v>2838.495</v>
      </c>
      <c r="AF718" s="2">
        <f t="shared" si="51"/>
        <v>-0.01318154583583</v>
      </c>
      <c r="AG718" s="2">
        <f t="shared" si="52"/>
        <v>0.0338273569010692</v>
      </c>
      <c r="AH718" t="s">
        <v>3340</v>
      </c>
      <c r="AI718" t="s">
        <v>2078</v>
      </c>
      <c r="AJ718" t="s">
        <v>625</v>
      </c>
    </row>
    <row r="719" hidden="1" spans="1:36">
      <c r="A719">
        <v>123046</v>
      </c>
      <c r="B719" t="s">
        <v>3341</v>
      </c>
      <c r="C719">
        <v>300587</v>
      </c>
      <c r="D719" t="s">
        <v>3342</v>
      </c>
      <c r="E719" t="s">
        <v>3343</v>
      </c>
      <c r="F719" t="s">
        <v>41</v>
      </c>
      <c r="G719" t="s">
        <v>3344</v>
      </c>
      <c r="H719" t="s">
        <v>621</v>
      </c>
      <c r="I719" t="s">
        <v>255</v>
      </c>
      <c r="J719" t="s">
        <v>255</v>
      </c>
      <c r="K719" t="s">
        <v>255</v>
      </c>
      <c r="L719" t="s">
        <v>41</v>
      </c>
      <c r="M719" t="s">
        <v>41</v>
      </c>
      <c r="N719" t="s">
        <v>255</v>
      </c>
      <c r="O719" t="s">
        <v>41</v>
      </c>
      <c r="P719" t="s">
        <v>41</v>
      </c>
      <c r="Q719" s="2"/>
      <c r="R719" s="2"/>
      <c r="S719" t="s">
        <v>255</v>
      </c>
      <c r="T719" t="s">
        <v>41</v>
      </c>
      <c r="U719" t="s">
        <v>41</v>
      </c>
      <c r="V719" s="2"/>
      <c r="W719" s="2"/>
      <c r="X719" t="s">
        <v>3344</v>
      </c>
      <c r="Y719">
        <v>3.17</v>
      </c>
      <c r="Z719">
        <v>2702.13</v>
      </c>
      <c r="AA719" s="2"/>
      <c r="AB719" s="2"/>
      <c r="AC719" t="s">
        <v>3262</v>
      </c>
      <c r="AD719">
        <v>3.39</v>
      </c>
      <c r="AE719">
        <v>2838.495</v>
      </c>
      <c r="AF719" s="2">
        <f t="shared" si="51"/>
        <v>0.0694006309148266</v>
      </c>
      <c r="AG719" s="2">
        <f t="shared" si="52"/>
        <v>0.0504657436910881</v>
      </c>
      <c r="AH719" t="s">
        <v>3340</v>
      </c>
      <c r="AI719" t="s">
        <v>3345</v>
      </c>
      <c r="AJ719" t="s">
        <v>625</v>
      </c>
    </row>
    <row r="720" hidden="1" spans="1:36">
      <c r="A720">
        <v>128102</v>
      </c>
      <c r="B720" t="s">
        <v>3346</v>
      </c>
      <c r="C720">
        <v>2311</v>
      </c>
      <c r="D720" t="s">
        <v>3347</v>
      </c>
      <c r="E720" t="s">
        <v>3348</v>
      </c>
      <c r="F720" t="s">
        <v>41</v>
      </c>
      <c r="G720" t="s">
        <v>3344</v>
      </c>
      <c r="H720" t="s">
        <v>621</v>
      </c>
      <c r="I720" t="s">
        <v>255</v>
      </c>
      <c r="J720" t="s">
        <v>255</v>
      </c>
      <c r="K720" t="s">
        <v>255</v>
      </c>
      <c r="L720" t="s">
        <v>41</v>
      </c>
      <c r="M720" t="s">
        <v>41</v>
      </c>
      <c r="N720" t="s">
        <v>255</v>
      </c>
      <c r="O720" t="s">
        <v>41</v>
      </c>
      <c r="P720" t="s">
        <v>41</v>
      </c>
      <c r="Q720" s="2"/>
      <c r="R720" s="2"/>
      <c r="S720" t="s">
        <v>255</v>
      </c>
      <c r="T720" t="s">
        <v>41</v>
      </c>
      <c r="U720" t="s">
        <v>41</v>
      </c>
      <c r="V720" s="2"/>
      <c r="W720" s="2"/>
      <c r="X720" t="s">
        <v>3344</v>
      </c>
      <c r="Y720">
        <v>29.94</v>
      </c>
      <c r="Z720">
        <v>2702.13</v>
      </c>
      <c r="AA720" s="2"/>
      <c r="AB720" s="2"/>
      <c r="AC720" t="s">
        <v>3349</v>
      </c>
      <c r="AD720">
        <v>38.81</v>
      </c>
      <c r="AE720">
        <v>2819.935</v>
      </c>
      <c r="AF720" s="2">
        <f t="shared" si="51"/>
        <v>0.29625918503674</v>
      </c>
      <c r="AG720" s="2">
        <f t="shared" si="52"/>
        <v>0.0435970882229944</v>
      </c>
      <c r="AH720" t="s">
        <v>3350</v>
      </c>
      <c r="AI720" t="s">
        <v>2802</v>
      </c>
      <c r="AJ720" t="s">
        <v>625</v>
      </c>
    </row>
    <row r="721" hidden="1" spans="1:36">
      <c r="A721">
        <v>128101</v>
      </c>
      <c r="B721" t="s">
        <v>3351</v>
      </c>
      <c r="C721">
        <v>2036</v>
      </c>
      <c r="D721" t="s">
        <v>3352</v>
      </c>
      <c r="E721" t="s">
        <v>218</v>
      </c>
      <c r="F721" t="s">
        <v>56</v>
      </c>
      <c r="G721" t="s">
        <v>3353</v>
      </c>
      <c r="H721" t="s">
        <v>33</v>
      </c>
      <c r="I721" t="s">
        <v>255</v>
      </c>
      <c r="J721" t="s">
        <v>255</v>
      </c>
      <c r="K721" t="s">
        <v>255</v>
      </c>
      <c r="L721" t="s">
        <v>41</v>
      </c>
      <c r="M721" t="s">
        <v>41</v>
      </c>
      <c r="N721" t="s">
        <v>255</v>
      </c>
      <c r="O721" t="s">
        <v>41</v>
      </c>
      <c r="P721" t="s">
        <v>41</v>
      </c>
      <c r="Q721" s="2"/>
      <c r="R721" s="2"/>
      <c r="S721" t="s">
        <v>255</v>
      </c>
      <c r="T721" t="s">
        <v>41</v>
      </c>
      <c r="U721" t="s">
        <v>41</v>
      </c>
      <c r="V721" s="2"/>
      <c r="W721" s="2"/>
      <c r="X721" t="s">
        <v>3353</v>
      </c>
      <c r="Y721">
        <v>11.59</v>
      </c>
      <c r="Z721">
        <v>2789.254</v>
      </c>
      <c r="AA721" s="2"/>
      <c r="AB721" s="2"/>
      <c r="AC721" t="s">
        <v>3276</v>
      </c>
      <c r="AD721">
        <v>10.34</v>
      </c>
      <c r="AE721">
        <v>2783.048</v>
      </c>
      <c r="AF721" s="2">
        <f t="shared" si="51"/>
        <v>-0.107851596203624</v>
      </c>
      <c r="AG721" s="2">
        <f t="shared" si="52"/>
        <v>-0.00222496767953013</v>
      </c>
      <c r="AH721" t="s">
        <v>3354</v>
      </c>
      <c r="AI721" t="s">
        <v>41</v>
      </c>
      <c r="AJ721" t="s">
        <v>41</v>
      </c>
    </row>
    <row r="722" hidden="1" spans="1:36">
      <c r="A722">
        <v>113572</v>
      </c>
      <c r="B722" t="s">
        <v>3355</v>
      </c>
      <c r="C722">
        <v>603663</v>
      </c>
      <c r="D722" t="s">
        <v>3356</v>
      </c>
      <c r="E722" t="s">
        <v>3357</v>
      </c>
      <c r="F722" t="s">
        <v>41</v>
      </c>
      <c r="G722" t="s">
        <v>3358</v>
      </c>
      <c r="H722" t="s">
        <v>621</v>
      </c>
      <c r="I722" t="s">
        <v>255</v>
      </c>
      <c r="J722" t="s">
        <v>255</v>
      </c>
      <c r="K722" t="s">
        <v>255</v>
      </c>
      <c r="L722" t="s">
        <v>41</v>
      </c>
      <c r="M722" t="s">
        <v>41</v>
      </c>
      <c r="N722" t="s">
        <v>255</v>
      </c>
      <c r="O722" t="s">
        <v>41</v>
      </c>
      <c r="P722" t="s">
        <v>41</v>
      </c>
      <c r="Q722" s="2"/>
      <c r="R722" s="2"/>
      <c r="S722" t="s">
        <v>255</v>
      </c>
      <c r="T722" t="s">
        <v>41</v>
      </c>
      <c r="U722" t="s">
        <v>41</v>
      </c>
      <c r="V722" s="2"/>
      <c r="W722" s="2"/>
      <c r="X722" t="s">
        <v>3358</v>
      </c>
      <c r="Y722">
        <v>6.67</v>
      </c>
      <c r="Z722">
        <v>2923.486</v>
      </c>
      <c r="AA722" s="2"/>
      <c r="AB722" s="2"/>
      <c r="AC722" t="s">
        <v>3301</v>
      </c>
      <c r="AD722">
        <v>6.21</v>
      </c>
      <c r="AE722">
        <v>2825.904</v>
      </c>
      <c r="AF722" s="2">
        <f t="shared" si="51"/>
        <v>-0.0689655172413793</v>
      </c>
      <c r="AG722" s="2">
        <f t="shared" si="52"/>
        <v>-0.0333786445360094</v>
      </c>
      <c r="AH722" t="s">
        <v>3359</v>
      </c>
      <c r="AI722" t="s">
        <v>2363</v>
      </c>
      <c r="AJ722" t="s">
        <v>625</v>
      </c>
    </row>
    <row r="723" hidden="1" spans="1:36">
      <c r="A723">
        <v>110067</v>
      </c>
      <c r="B723" t="s">
        <v>3360</v>
      </c>
      <c r="C723">
        <v>600909</v>
      </c>
      <c r="D723" t="s">
        <v>3361</v>
      </c>
      <c r="E723" t="s">
        <v>804</v>
      </c>
      <c r="F723" t="s">
        <v>444</v>
      </c>
      <c r="G723" t="s">
        <v>3358</v>
      </c>
      <c r="H723" t="s">
        <v>33</v>
      </c>
      <c r="I723" t="s">
        <v>255</v>
      </c>
      <c r="J723" t="s">
        <v>255</v>
      </c>
      <c r="K723" t="s">
        <v>255</v>
      </c>
      <c r="L723" t="s">
        <v>41</v>
      </c>
      <c r="M723" t="s">
        <v>41</v>
      </c>
      <c r="N723" t="s">
        <v>255</v>
      </c>
      <c r="O723" t="s">
        <v>41</v>
      </c>
      <c r="P723" t="s">
        <v>41</v>
      </c>
      <c r="Q723" s="2"/>
      <c r="R723" s="2"/>
      <c r="S723" t="s">
        <v>255</v>
      </c>
      <c r="T723" t="s">
        <v>41</v>
      </c>
      <c r="U723" t="s">
        <v>41</v>
      </c>
      <c r="V723" s="2"/>
      <c r="W723" s="2"/>
      <c r="X723" t="s">
        <v>3358</v>
      </c>
      <c r="Y723">
        <v>6.93</v>
      </c>
      <c r="Z723">
        <v>2923.486</v>
      </c>
      <c r="AA723" s="2"/>
      <c r="AB723" s="2"/>
      <c r="AC723" t="s">
        <v>3301</v>
      </c>
      <c r="AD723">
        <v>6.23</v>
      </c>
      <c r="AE723">
        <v>2825.904</v>
      </c>
      <c r="AF723" s="2">
        <f t="shared" si="51"/>
        <v>-0.101010101010101</v>
      </c>
      <c r="AG723" s="2">
        <f t="shared" si="52"/>
        <v>-0.0333786445360094</v>
      </c>
      <c r="AH723" t="s">
        <v>3362</v>
      </c>
      <c r="AI723" t="s">
        <v>41</v>
      </c>
      <c r="AJ723" t="s">
        <v>41</v>
      </c>
    </row>
    <row r="724" hidden="1" spans="1:36">
      <c r="A724">
        <v>113571</v>
      </c>
      <c r="B724" t="s">
        <v>3363</v>
      </c>
      <c r="C724">
        <v>603916</v>
      </c>
      <c r="D724" t="s">
        <v>1908</v>
      </c>
      <c r="E724" t="s">
        <v>3364</v>
      </c>
      <c r="F724" t="s">
        <v>41</v>
      </c>
      <c r="G724" t="s">
        <v>3358</v>
      </c>
      <c r="H724" t="s">
        <v>621</v>
      </c>
      <c r="I724" t="s">
        <v>255</v>
      </c>
      <c r="J724" t="s">
        <v>255</v>
      </c>
      <c r="K724" t="s">
        <v>255</v>
      </c>
      <c r="L724" t="s">
        <v>41</v>
      </c>
      <c r="M724" t="s">
        <v>41</v>
      </c>
      <c r="N724" t="s">
        <v>255</v>
      </c>
      <c r="O724" t="s">
        <v>41</v>
      </c>
      <c r="P724" t="s">
        <v>41</v>
      </c>
      <c r="Q724" s="2"/>
      <c r="R724" s="2"/>
      <c r="S724" t="s">
        <v>255</v>
      </c>
      <c r="T724" t="s">
        <v>41</v>
      </c>
      <c r="U724" t="s">
        <v>41</v>
      </c>
      <c r="V724" s="2"/>
      <c r="W724" s="2"/>
      <c r="X724" t="s">
        <v>3358</v>
      </c>
      <c r="Y724">
        <v>13.87</v>
      </c>
      <c r="Z724">
        <v>2923.486</v>
      </c>
      <c r="AA724" s="2"/>
      <c r="AB724" s="2"/>
      <c r="AC724" t="s">
        <v>3318</v>
      </c>
      <c r="AD724">
        <v>15.54</v>
      </c>
      <c r="AE724">
        <v>2734.522</v>
      </c>
      <c r="AF724" s="2">
        <f t="shared" si="51"/>
        <v>0.120403749098774</v>
      </c>
      <c r="AG724" s="2">
        <f t="shared" si="52"/>
        <v>-0.0646365332346384</v>
      </c>
      <c r="AH724" t="s">
        <v>3359</v>
      </c>
      <c r="AI724" t="s">
        <v>2551</v>
      </c>
      <c r="AJ724" t="s">
        <v>625</v>
      </c>
    </row>
    <row r="725" hidden="1" spans="1:36">
      <c r="A725">
        <v>123044</v>
      </c>
      <c r="B725" t="s">
        <v>3365</v>
      </c>
      <c r="C725">
        <v>300427</v>
      </c>
      <c r="D725" t="s">
        <v>3366</v>
      </c>
      <c r="E725" t="s">
        <v>3161</v>
      </c>
      <c r="F725" t="s">
        <v>41</v>
      </c>
      <c r="G725" t="s">
        <v>3358</v>
      </c>
      <c r="H725" t="s">
        <v>621</v>
      </c>
      <c r="I725" t="s">
        <v>255</v>
      </c>
      <c r="J725" t="s">
        <v>255</v>
      </c>
      <c r="K725" t="s">
        <v>255</v>
      </c>
      <c r="L725" t="s">
        <v>41</v>
      </c>
      <c r="M725" t="s">
        <v>41</v>
      </c>
      <c r="N725" t="s">
        <v>255</v>
      </c>
      <c r="O725" t="s">
        <v>41</v>
      </c>
      <c r="P725" t="s">
        <v>41</v>
      </c>
      <c r="Q725" s="2"/>
      <c r="R725" s="2"/>
      <c r="S725" t="s">
        <v>255</v>
      </c>
      <c r="T725" t="s">
        <v>41</v>
      </c>
      <c r="U725" t="s">
        <v>41</v>
      </c>
      <c r="V725" s="2"/>
      <c r="W725" s="2"/>
      <c r="X725" t="s">
        <v>3358</v>
      </c>
      <c r="Y725">
        <v>18.8</v>
      </c>
      <c r="Z725">
        <v>2923.486</v>
      </c>
      <c r="AA725" s="2"/>
      <c r="AB725" s="2"/>
      <c r="AC725" t="s">
        <v>3276</v>
      </c>
      <c r="AD725">
        <v>18.47</v>
      </c>
      <c r="AE725">
        <v>2783.048</v>
      </c>
      <c r="AF725" s="2">
        <f t="shared" si="51"/>
        <v>-0.0175531914893618</v>
      </c>
      <c r="AG725" s="2">
        <f t="shared" si="52"/>
        <v>-0.0480378561758121</v>
      </c>
      <c r="AH725" t="s">
        <v>3362</v>
      </c>
      <c r="AI725" t="s">
        <v>642</v>
      </c>
      <c r="AJ725" t="s">
        <v>625</v>
      </c>
    </row>
    <row r="726" hidden="1" spans="1:36">
      <c r="A726">
        <v>123045</v>
      </c>
      <c r="B726" t="s">
        <v>3367</v>
      </c>
      <c r="C726">
        <v>300652</v>
      </c>
      <c r="D726" t="s">
        <v>3368</v>
      </c>
      <c r="E726" t="s">
        <v>3369</v>
      </c>
      <c r="F726" t="s">
        <v>41</v>
      </c>
      <c r="G726" t="s">
        <v>3358</v>
      </c>
      <c r="H726" t="s">
        <v>621</v>
      </c>
      <c r="I726" t="s">
        <v>255</v>
      </c>
      <c r="J726" t="s">
        <v>255</v>
      </c>
      <c r="K726" t="s">
        <v>255</v>
      </c>
      <c r="L726" t="s">
        <v>41</v>
      </c>
      <c r="M726" t="s">
        <v>41</v>
      </c>
      <c r="N726" t="s">
        <v>255</v>
      </c>
      <c r="O726" t="s">
        <v>41</v>
      </c>
      <c r="P726" t="s">
        <v>41</v>
      </c>
      <c r="Q726" s="2"/>
      <c r="R726" s="2"/>
      <c r="S726" t="s">
        <v>255</v>
      </c>
      <c r="T726" t="s">
        <v>41</v>
      </c>
      <c r="U726" t="s">
        <v>41</v>
      </c>
      <c r="V726" s="2"/>
      <c r="W726" s="2"/>
      <c r="X726" t="s">
        <v>3358</v>
      </c>
      <c r="Y726">
        <v>13.64</v>
      </c>
      <c r="Z726">
        <v>2923.486</v>
      </c>
      <c r="AA726" s="2"/>
      <c r="AB726" s="2"/>
      <c r="AC726" t="s">
        <v>3276</v>
      </c>
      <c r="AD726">
        <v>12.78</v>
      </c>
      <c r="AE726">
        <v>2783.048</v>
      </c>
      <c r="AF726" s="2">
        <f t="shared" si="51"/>
        <v>-0.0630498533724341</v>
      </c>
      <c r="AG726" s="2">
        <f t="shared" si="52"/>
        <v>-0.0480378561758121</v>
      </c>
      <c r="AH726" t="s">
        <v>3359</v>
      </c>
      <c r="AI726" t="s">
        <v>1352</v>
      </c>
      <c r="AJ726" t="s">
        <v>625</v>
      </c>
    </row>
    <row r="727" hidden="1" spans="1:36">
      <c r="A727">
        <v>128100</v>
      </c>
      <c r="B727" t="s">
        <v>3370</v>
      </c>
      <c r="C727">
        <v>2503</v>
      </c>
      <c r="D727" t="s">
        <v>3371</v>
      </c>
      <c r="E727" t="s">
        <v>115</v>
      </c>
      <c r="F727" t="s">
        <v>41</v>
      </c>
      <c r="G727" t="s">
        <v>3358</v>
      </c>
      <c r="H727" t="s">
        <v>621</v>
      </c>
      <c r="I727" t="s">
        <v>255</v>
      </c>
      <c r="J727" t="s">
        <v>255</v>
      </c>
      <c r="K727" t="s">
        <v>255</v>
      </c>
      <c r="L727" t="s">
        <v>41</v>
      </c>
      <c r="M727" t="s">
        <v>41</v>
      </c>
      <c r="N727" t="s">
        <v>255</v>
      </c>
      <c r="O727" t="s">
        <v>41</v>
      </c>
      <c r="P727" t="s">
        <v>41</v>
      </c>
      <c r="Q727" s="2"/>
      <c r="R727" s="2"/>
      <c r="S727" t="s">
        <v>255</v>
      </c>
      <c r="T727" t="s">
        <v>41</v>
      </c>
      <c r="U727" t="s">
        <v>41</v>
      </c>
      <c r="V727" s="2"/>
      <c r="W727" s="2"/>
      <c r="X727" t="s">
        <v>3358</v>
      </c>
      <c r="Y727">
        <v>4.1</v>
      </c>
      <c r="Z727">
        <v>2923.486</v>
      </c>
      <c r="AA727" s="2"/>
      <c r="AB727" s="2"/>
      <c r="AC727" t="s">
        <v>3301</v>
      </c>
      <c r="AD727">
        <v>4.22</v>
      </c>
      <c r="AE727">
        <v>2825.904</v>
      </c>
      <c r="AF727" s="2">
        <f t="shared" si="51"/>
        <v>0.0292682926829269</v>
      </c>
      <c r="AG727" s="2">
        <f t="shared" si="52"/>
        <v>-0.0333786445360094</v>
      </c>
      <c r="AH727" t="s">
        <v>3362</v>
      </c>
      <c r="AI727" t="s">
        <v>545</v>
      </c>
      <c r="AJ727" t="s">
        <v>3022</v>
      </c>
    </row>
    <row r="728" hidden="1" spans="1:36">
      <c r="A728">
        <v>128099</v>
      </c>
      <c r="B728" t="s">
        <v>3372</v>
      </c>
      <c r="C728">
        <v>2641</v>
      </c>
      <c r="D728" t="s">
        <v>3373</v>
      </c>
      <c r="E728" t="s">
        <v>1015</v>
      </c>
      <c r="F728" t="s">
        <v>41</v>
      </c>
      <c r="G728" t="s">
        <v>3374</v>
      </c>
      <c r="H728" t="s">
        <v>621</v>
      </c>
      <c r="I728" t="s">
        <v>255</v>
      </c>
      <c r="J728" t="s">
        <v>255</v>
      </c>
      <c r="K728" t="s">
        <v>255</v>
      </c>
      <c r="L728" t="s">
        <v>41</v>
      </c>
      <c r="M728" t="s">
        <v>41</v>
      </c>
      <c r="N728" t="s">
        <v>255</v>
      </c>
      <c r="O728" t="s">
        <v>41</v>
      </c>
      <c r="P728" t="s">
        <v>41</v>
      </c>
      <c r="Q728" s="2"/>
      <c r="R728" s="2"/>
      <c r="S728" t="s">
        <v>255</v>
      </c>
      <c r="T728" t="s">
        <v>41</v>
      </c>
      <c r="U728" t="s">
        <v>41</v>
      </c>
      <c r="V728" s="2"/>
      <c r="W728" s="2"/>
      <c r="X728" t="s">
        <v>3374</v>
      </c>
      <c r="Y728">
        <v>5.65</v>
      </c>
      <c r="Z728">
        <v>2968.517</v>
      </c>
      <c r="AA728" s="2"/>
      <c r="AB728" s="2"/>
      <c r="AC728" t="s">
        <v>3284</v>
      </c>
      <c r="AD728">
        <v>5.6</v>
      </c>
      <c r="AE728">
        <v>2796.631</v>
      </c>
      <c r="AF728" s="2">
        <f t="shared" si="51"/>
        <v>-0.00884955752212402</v>
      </c>
      <c r="AG728" s="2">
        <f t="shared" si="52"/>
        <v>-0.0579029865754516</v>
      </c>
      <c r="AH728" t="s">
        <v>3375</v>
      </c>
      <c r="AI728" t="s">
        <v>2928</v>
      </c>
      <c r="AJ728" t="s">
        <v>625</v>
      </c>
    </row>
    <row r="729" hidden="1" spans="1:36">
      <c r="A729">
        <v>113570</v>
      </c>
      <c r="B729" t="s">
        <v>3376</v>
      </c>
      <c r="C729">
        <v>603331</v>
      </c>
      <c r="D729" t="s">
        <v>3377</v>
      </c>
      <c r="E729" t="s">
        <v>1516</v>
      </c>
      <c r="F729" t="s">
        <v>41</v>
      </c>
      <c r="G729" t="s">
        <v>3374</v>
      </c>
      <c r="H729" t="s">
        <v>621</v>
      </c>
      <c r="I729" t="s">
        <v>255</v>
      </c>
      <c r="J729" t="s">
        <v>255</v>
      </c>
      <c r="K729" t="s">
        <v>255</v>
      </c>
      <c r="L729" t="s">
        <v>41</v>
      </c>
      <c r="M729" t="s">
        <v>41</v>
      </c>
      <c r="N729" t="s">
        <v>255</v>
      </c>
      <c r="O729" t="s">
        <v>41</v>
      </c>
      <c r="P729" t="s">
        <v>41</v>
      </c>
      <c r="Q729" s="2"/>
      <c r="R729" s="2"/>
      <c r="S729" t="s">
        <v>255</v>
      </c>
      <c r="T729" t="s">
        <v>41</v>
      </c>
      <c r="U729" t="s">
        <v>41</v>
      </c>
      <c r="V729" s="2"/>
      <c r="W729" s="2"/>
      <c r="X729" t="s">
        <v>3374</v>
      </c>
      <c r="Y729">
        <v>11.04</v>
      </c>
      <c r="Z729">
        <v>2968.517</v>
      </c>
      <c r="AA729" s="2"/>
      <c r="AB729" s="2"/>
      <c r="AC729" t="s">
        <v>3378</v>
      </c>
      <c r="AD729">
        <v>11.67</v>
      </c>
      <c r="AE729">
        <v>2815.369</v>
      </c>
      <c r="AF729" s="2">
        <f t="shared" si="51"/>
        <v>0.0570652173913044</v>
      </c>
      <c r="AG729" s="2">
        <f t="shared" si="52"/>
        <v>-0.0515907437956393</v>
      </c>
      <c r="AH729" t="s">
        <v>3375</v>
      </c>
      <c r="AI729" t="s">
        <v>886</v>
      </c>
      <c r="AJ729" t="s">
        <v>625</v>
      </c>
    </row>
    <row r="730" hidden="1" spans="1:36">
      <c r="A730">
        <v>113569</v>
      </c>
      <c r="B730" t="s">
        <v>3379</v>
      </c>
      <c r="C730">
        <v>603660</v>
      </c>
      <c r="D730" t="s">
        <v>3380</v>
      </c>
      <c r="E730" t="s">
        <v>3381</v>
      </c>
      <c r="F730" t="s">
        <v>41</v>
      </c>
      <c r="G730" t="s">
        <v>3382</v>
      </c>
      <c r="H730" t="s">
        <v>621</v>
      </c>
      <c r="I730" t="s">
        <v>255</v>
      </c>
      <c r="J730" t="s">
        <v>255</v>
      </c>
      <c r="K730" t="s">
        <v>255</v>
      </c>
      <c r="L730" t="s">
        <v>41</v>
      </c>
      <c r="M730" t="s">
        <v>41</v>
      </c>
      <c r="N730" t="s">
        <v>255</v>
      </c>
      <c r="O730" t="s">
        <v>41</v>
      </c>
      <c r="P730" t="s">
        <v>41</v>
      </c>
      <c r="Q730" s="2"/>
      <c r="R730" s="2"/>
      <c r="S730" t="s">
        <v>255</v>
      </c>
      <c r="T730" t="s">
        <v>41</v>
      </c>
      <c r="U730" t="s">
        <v>41</v>
      </c>
      <c r="V730" s="2"/>
      <c r="W730" s="2"/>
      <c r="X730" t="s">
        <v>3382</v>
      </c>
      <c r="Y730">
        <v>13.28</v>
      </c>
      <c r="Z730">
        <v>2943.291</v>
      </c>
      <c r="AA730" s="2"/>
      <c r="AB730" s="2"/>
      <c r="AC730" t="s">
        <v>3378</v>
      </c>
      <c r="AD730">
        <v>11.69</v>
      </c>
      <c r="AE730">
        <v>2815.369</v>
      </c>
      <c r="AF730" s="2">
        <f t="shared" si="51"/>
        <v>-0.119728915662651</v>
      </c>
      <c r="AG730" s="2">
        <f t="shared" si="52"/>
        <v>-0.0434622332620186</v>
      </c>
      <c r="AH730" t="s">
        <v>3383</v>
      </c>
      <c r="AI730" t="s">
        <v>386</v>
      </c>
      <c r="AJ730" t="s">
        <v>625</v>
      </c>
    </row>
    <row r="731" hidden="1" spans="1:36">
      <c r="A731">
        <v>113568</v>
      </c>
      <c r="B731" t="s">
        <v>3384</v>
      </c>
      <c r="C731">
        <v>603667</v>
      </c>
      <c r="D731" t="s">
        <v>3385</v>
      </c>
      <c r="E731" t="s">
        <v>80</v>
      </c>
      <c r="F731" t="s">
        <v>41</v>
      </c>
      <c r="G731" t="s">
        <v>3386</v>
      </c>
      <c r="H731" t="s">
        <v>621</v>
      </c>
      <c r="I731" t="s">
        <v>255</v>
      </c>
      <c r="J731" t="s">
        <v>255</v>
      </c>
      <c r="K731" t="s">
        <v>255</v>
      </c>
      <c r="L731" t="s">
        <v>41</v>
      </c>
      <c r="M731" t="s">
        <v>41</v>
      </c>
      <c r="N731" t="s">
        <v>255</v>
      </c>
      <c r="O731" t="s">
        <v>41</v>
      </c>
      <c r="P731" t="s">
        <v>41</v>
      </c>
      <c r="Q731" s="2"/>
      <c r="R731" s="2"/>
      <c r="S731" t="s">
        <v>255</v>
      </c>
      <c r="T731" t="s">
        <v>41</v>
      </c>
      <c r="U731" t="s">
        <v>41</v>
      </c>
      <c r="V731" s="2"/>
      <c r="W731" s="2"/>
      <c r="X731" t="s">
        <v>3386</v>
      </c>
      <c r="Y731">
        <v>8.36</v>
      </c>
      <c r="Z731">
        <v>3034.511</v>
      </c>
      <c r="AA731" s="2"/>
      <c r="AB731" s="2"/>
      <c r="AC731" t="s">
        <v>3387</v>
      </c>
      <c r="AD731">
        <v>7.28</v>
      </c>
      <c r="AE731">
        <v>2780.638</v>
      </c>
      <c r="AF731" s="2">
        <f t="shared" si="51"/>
        <v>-0.129186602870813</v>
      </c>
      <c r="AG731" s="2">
        <f t="shared" si="52"/>
        <v>-0.0836619145555907</v>
      </c>
      <c r="AH731" t="s">
        <v>3388</v>
      </c>
      <c r="AI731" t="s">
        <v>2011</v>
      </c>
      <c r="AJ731" t="s">
        <v>625</v>
      </c>
    </row>
    <row r="732" hidden="1" spans="1:36">
      <c r="A732">
        <v>123043</v>
      </c>
      <c r="B732" t="s">
        <v>3389</v>
      </c>
      <c r="C732">
        <v>300645</v>
      </c>
      <c r="D732" t="s">
        <v>1325</v>
      </c>
      <c r="E732" t="s">
        <v>3390</v>
      </c>
      <c r="F732" t="s">
        <v>41</v>
      </c>
      <c r="G732" t="s">
        <v>3391</v>
      </c>
      <c r="H732" t="s">
        <v>621</v>
      </c>
      <c r="I732" t="s">
        <v>255</v>
      </c>
      <c r="J732" t="s">
        <v>255</v>
      </c>
      <c r="K732" t="s">
        <v>255</v>
      </c>
      <c r="L732" t="s">
        <v>41</v>
      </c>
      <c r="M732" t="s">
        <v>41</v>
      </c>
      <c r="N732" t="s">
        <v>255</v>
      </c>
      <c r="O732" t="s">
        <v>41</v>
      </c>
      <c r="P732" t="s">
        <v>41</v>
      </c>
      <c r="Q732" s="2"/>
      <c r="R732" s="2"/>
      <c r="S732" t="s">
        <v>255</v>
      </c>
      <c r="T732" t="s">
        <v>41</v>
      </c>
      <c r="U732" t="s">
        <v>41</v>
      </c>
      <c r="V732" s="2"/>
      <c r="W732" s="2"/>
      <c r="X732" t="s">
        <v>3391</v>
      </c>
      <c r="Y732">
        <v>15.95</v>
      </c>
      <c r="Z732">
        <v>3071.677</v>
      </c>
      <c r="AA732" s="2"/>
      <c r="AB732" s="2"/>
      <c r="AC732" t="s">
        <v>3324</v>
      </c>
      <c r="AD732">
        <v>14.41</v>
      </c>
      <c r="AE732">
        <v>2750.296</v>
      </c>
      <c r="AF732" s="2">
        <f t="shared" si="51"/>
        <v>-0.096551724137931</v>
      </c>
      <c r="AG732" s="2">
        <f t="shared" si="52"/>
        <v>-0.104627211780405</v>
      </c>
      <c r="AH732" t="s">
        <v>3392</v>
      </c>
      <c r="AI732" t="s">
        <v>1892</v>
      </c>
      <c r="AJ732" t="s">
        <v>625</v>
      </c>
    </row>
    <row r="733" hidden="1" spans="1:36">
      <c r="A733">
        <v>128098</v>
      </c>
      <c r="B733" t="s">
        <v>3393</v>
      </c>
      <c r="C733">
        <v>2773</v>
      </c>
      <c r="D733" t="s">
        <v>3394</v>
      </c>
      <c r="E733" t="s">
        <v>374</v>
      </c>
      <c r="F733" t="s">
        <v>41</v>
      </c>
      <c r="G733" t="s">
        <v>3391</v>
      </c>
      <c r="H733" t="s">
        <v>621</v>
      </c>
      <c r="I733" t="s">
        <v>255</v>
      </c>
      <c r="J733" t="s">
        <v>255</v>
      </c>
      <c r="K733" t="s">
        <v>255</v>
      </c>
      <c r="L733" t="s">
        <v>41</v>
      </c>
      <c r="M733" t="s">
        <v>41</v>
      </c>
      <c r="N733" t="s">
        <v>255</v>
      </c>
      <c r="O733" t="s">
        <v>41</v>
      </c>
      <c r="P733" t="s">
        <v>41</v>
      </c>
      <c r="Q733" s="2"/>
      <c r="R733" s="2"/>
      <c r="S733" t="s">
        <v>255</v>
      </c>
      <c r="T733" t="s">
        <v>41</v>
      </c>
      <c r="U733" t="s">
        <v>41</v>
      </c>
      <c r="V733" s="2"/>
      <c r="W733" s="2"/>
      <c r="X733" t="s">
        <v>3391</v>
      </c>
      <c r="Y733">
        <v>34.87</v>
      </c>
      <c r="Z733">
        <v>3071.677</v>
      </c>
      <c r="AA733" s="2"/>
      <c r="AB733" s="2"/>
      <c r="AC733" t="s">
        <v>3324</v>
      </c>
      <c r="AD733">
        <v>37.77</v>
      </c>
      <c r="AE733">
        <v>2750.296</v>
      </c>
      <c r="AF733" s="2">
        <f t="shared" si="51"/>
        <v>0.0831660453111559</v>
      </c>
      <c r="AG733" s="2">
        <f t="shared" si="52"/>
        <v>-0.104627211780405</v>
      </c>
      <c r="AH733" t="s">
        <v>3388</v>
      </c>
      <c r="AI733" t="s">
        <v>2852</v>
      </c>
      <c r="AJ733" t="s">
        <v>625</v>
      </c>
    </row>
    <row r="734" hidden="1" spans="1:36">
      <c r="A734">
        <v>113567</v>
      </c>
      <c r="B734" t="s">
        <v>3395</v>
      </c>
      <c r="C734">
        <v>603617</v>
      </c>
      <c r="D734" t="s">
        <v>3396</v>
      </c>
      <c r="E734" t="s">
        <v>984</v>
      </c>
      <c r="F734" t="s">
        <v>41</v>
      </c>
      <c r="G734" t="s">
        <v>3397</v>
      </c>
      <c r="H734" t="s">
        <v>621</v>
      </c>
      <c r="I734" t="s">
        <v>255</v>
      </c>
      <c r="J734" t="s">
        <v>255</v>
      </c>
      <c r="K734" t="s">
        <v>255</v>
      </c>
      <c r="L734" t="s">
        <v>41</v>
      </c>
      <c r="M734" t="s">
        <v>41</v>
      </c>
      <c r="N734" t="s">
        <v>255</v>
      </c>
      <c r="O734" t="s">
        <v>41</v>
      </c>
      <c r="P734" t="s">
        <v>41</v>
      </c>
      <c r="Q734" s="2"/>
      <c r="R734" s="2"/>
      <c r="S734" t="s">
        <v>255</v>
      </c>
      <c r="T734" t="s">
        <v>41</v>
      </c>
      <c r="U734" t="s">
        <v>41</v>
      </c>
      <c r="V734" s="2"/>
      <c r="W734" s="2"/>
      <c r="X734" t="s">
        <v>3397</v>
      </c>
      <c r="Y734">
        <v>8.44</v>
      </c>
      <c r="Z734">
        <v>3011.666</v>
      </c>
      <c r="AA734" s="2"/>
      <c r="AB734" s="2"/>
      <c r="AC734" t="s">
        <v>3398</v>
      </c>
      <c r="AD734">
        <v>7.49</v>
      </c>
      <c r="AE734">
        <v>2763.987</v>
      </c>
      <c r="AF734" s="2">
        <f t="shared" si="51"/>
        <v>-0.112559241706161</v>
      </c>
      <c r="AG734" s="2">
        <f t="shared" si="52"/>
        <v>-0.0822398632517683</v>
      </c>
      <c r="AH734" t="s">
        <v>3399</v>
      </c>
      <c r="AI734" t="s">
        <v>1445</v>
      </c>
      <c r="AJ734" t="s">
        <v>625</v>
      </c>
    </row>
    <row r="735" hidden="1" spans="1:36">
      <c r="A735">
        <v>110066</v>
      </c>
      <c r="B735" t="s">
        <v>3400</v>
      </c>
      <c r="C735">
        <v>600711</v>
      </c>
      <c r="D735" t="s">
        <v>3401</v>
      </c>
      <c r="E735" t="s">
        <v>3402</v>
      </c>
      <c r="F735" t="s">
        <v>41</v>
      </c>
      <c r="G735" t="s">
        <v>3403</v>
      </c>
      <c r="H735" t="s">
        <v>621</v>
      </c>
      <c r="I735" t="s">
        <v>255</v>
      </c>
      <c r="J735" t="s">
        <v>255</v>
      </c>
      <c r="K735" t="s">
        <v>255</v>
      </c>
      <c r="L735" t="s">
        <v>41</v>
      </c>
      <c r="M735" t="s">
        <v>41</v>
      </c>
      <c r="N735" t="s">
        <v>255</v>
      </c>
      <c r="O735" t="s">
        <v>41</v>
      </c>
      <c r="P735" t="s">
        <v>41</v>
      </c>
      <c r="Q735" s="2"/>
      <c r="R735" s="2"/>
      <c r="S735" t="s">
        <v>255</v>
      </c>
      <c r="T735" t="s">
        <v>41</v>
      </c>
      <c r="U735" t="s">
        <v>41</v>
      </c>
      <c r="V735" s="2"/>
      <c r="W735" s="2"/>
      <c r="X735" t="s">
        <v>3403</v>
      </c>
      <c r="Y735">
        <v>4.5</v>
      </c>
      <c r="Z735">
        <v>2970.931</v>
      </c>
      <c r="AA735" s="2"/>
      <c r="AB735" s="2"/>
      <c r="AC735" t="s">
        <v>3324</v>
      </c>
      <c r="AD735">
        <v>3.85</v>
      </c>
      <c r="AE735">
        <v>2750.296</v>
      </c>
      <c r="AF735" s="2">
        <f t="shared" si="51"/>
        <v>-0.144444444444444</v>
      </c>
      <c r="AG735" s="2">
        <f t="shared" si="52"/>
        <v>-0.074264599211493</v>
      </c>
      <c r="AH735" t="s">
        <v>3404</v>
      </c>
      <c r="AI735" t="s">
        <v>3405</v>
      </c>
      <c r="AJ735" t="s">
        <v>625</v>
      </c>
    </row>
    <row r="736" hidden="1" spans="1:36">
      <c r="A736">
        <v>113032</v>
      </c>
      <c r="B736" t="s">
        <v>3406</v>
      </c>
      <c r="C736">
        <v>601233</v>
      </c>
      <c r="D736" t="s">
        <v>3407</v>
      </c>
      <c r="E736" t="s">
        <v>3408</v>
      </c>
      <c r="F736" t="s">
        <v>41</v>
      </c>
      <c r="G736" t="s">
        <v>3403</v>
      </c>
      <c r="H736" t="s">
        <v>621</v>
      </c>
      <c r="I736" t="s">
        <v>255</v>
      </c>
      <c r="J736" t="s">
        <v>255</v>
      </c>
      <c r="K736" t="s">
        <v>255</v>
      </c>
      <c r="L736" t="s">
        <v>41</v>
      </c>
      <c r="M736" t="s">
        <v>41</v>
      </c>
      <c r="N736" t="s">
        <v>255</v>
      </c>
      <c r="O736" t="s">
        <v>41</v>
      </c>
      <c r="P736" t="s">
        <v>41</v>
      </c>
      <c r="Q736" s="2"/>
      <c r="R736" s="2"/>
      <c r="S736" t="s">
        <v>255</v>
      </c>
      <c r="T736" t="s">
        <v>41</v>
      </c>
      <c r="U736" t="s">
        <v>41</v>
      </c>
      <c r="V736" s="2"/>
      <c r="W736" s="2"/>
      <c r="X736" t="s">
        <v>3403</v>
      </c>
      <c r="Y736">
        <v>13.08</v>
      </c>
      <c r="Z736">
        <v>2970.931</v>
      </c>
      <c r="AA736" s="2"/>
      <c r="AB736" s="2"/>
      <c r="AC736" t="s">
        <v>3339</v>
      </c>
      <c r="AD736">
        <v>11.98</v>
      </c>
      <c r="AE736">
        <v>2745.618</v>
      </c>
      <c r="AF736" s="2">
        <f t="shared" si="51"/>
        <v>-0.0840978593272171</v>
      </c>
      <c r="AG736" s="2">
        <f t="shared" si="52"/>
        <v>-0.0758391898027925</v>
      </c>
      <c r="AH736" t="s">
        <v>3409</v>
      </c>
      <c r="AI736" t="s">
        <v>3410</v>
      </c>
      <c r="AJ736" t="s">
        <v>625</v>
      </c>
    </row>
    <row r="737" hidden="1" spans="1:36">
      <c r="A737">
        <v>113564</v>
      </c>
      <c r="B737" t="s">
        <v>3411</v>
      </c>
      <c r="C737">
        <v>603136</v>
      </c>
      <c r="D737" t="s">
        <v>3412</v>
      </c>
      <c r="E737" t="s">
        <v>218</v>
      </c>
      <c r="F737" t="s">
        <v>41</v>
      </c>
      <c r="G737" t="s">
        <v>3413</v>
      </c>
      <c r="H737" t="s">
        <v>621</v>
      </c>
      <c r="I737" t="s">
        <v>255</v>
      </c>
      <c r="J737" t="s">
        <v>255</v>
      </c>
      <c r="K737" t="s">
        <v>255</v>
      </c>
      <c r="L737" t="s">
        <v>41</v>
      </c>
      <c r="M737" t="s">
        <v>41</v>
      </c>
      <c r="N737" t="s">
        <v>255</v>
      </c>
      <c r="O737" t="s">
        <v>41</v>
      </c>
      <c r="P737" t="s">
        <v>41</v>
      </c>
      <c r="Q737" s="2"/>
      <c r="R737" s="2"/>
      <c r="S737" t="s">
        <v>255</v>
      </c>
      <c r="T737" t="s">
        <v>41</v>
      </c>
      <c r="U737" t="s">
        <v>41</v>
      </c>
      <c r="V737" s="2"/>
      <c r="W737" s="2"/>
      <c r="X737" t="s">
        <v>3413</v>
      </c>
      <c r="Y737">
        <v>9.67</v>
      </c>
      <c r="Z737">
        <v>2880.304</v>
      </c>
      <c r="AA737" s="2"/>
      <c r="AB737" s="2"/>
      <c r="AC737" t="s">
        <v>3353</v>
      </c>
      <c r="AD737">
        <v>9.71</v>
      </c>
      <c r="AE737">
        <v>2789.254</v>
      </c>
      <c r="AF737" s="2">
        <f t="shared" si="51"/>
        <v>0.00413650465356783</v>
      </c>
      <c r="AG737" s="2">
        <f t="shared" si="52"/>
        <v>-0.0316112465906377</v>
      </c>
      <c r="AH737" t="s">
        <v>3409</v>
      </c>
      <c r="AI737" t="s">
        <v>3414</v>
      </c>
      <c r="AJ737" t="s">
        <v>625</v>
      </c>
    </row>
    <row r="738" hidden="1" spans="1:36">
      <c r="A738">
        <v>113566</v>
      </c>
      <c r="B738" t="s">
        <v>3415</v>
      </c>
      <c r="C738">
        <v>603499</v>
      </c>
      <c r="D738" t="s">
        <v>3416</v>
      </c>
      <c r="E738" t="s">
        <v>3245</v>
      </c>
      <c r="F738" t="s">
        <v>41</v>
      </c>
      <c r="G738" t="s">
        <v>3413</v>
      </c>
      <c r="H738" t="s">
        <v>621</v>
      </c>
      <c r="I738" t="s">
        <v>255</v>
      </c>
      <c r="J738" t="s">
        <v>255</v>
      </c>
      <c r="K738" t="s">
        <v>255</v>
      </c>
      <c r="L738" t="s">
        <v>41</v>
      </c>
      <c r="M738" t="s">
        <v>41</v>
      </c>
      <c r="N738" t="s">
        <v>255</v>
      </c>
      <c r="O738" t="s">
        <v>41</v>
      </c>
      <c r="P738" t="s">
        <v>41</v>
      </c>
      <c r="Q738" s="2"/>
      <c r="R738" s="2"/>
      <c r="S738" t="s">
        <v>255</v>
      </c>
      <c r="T738" t="s">
        <v>41</v>
      </c>
      <c r="U738" t="s">
        <v>41</v>
      </c>
      <c r="V738" s="2"/>
      <c r="W738" s="2"/>
      <c r="X738" t="s">
        <v>3413</v>
      </c>
      <c r="Y738">
        <v>7.14</v>
      </c>
      <c r="Z738">
        <v>2880.304</v>
      </c>
      <c r="AA738" s="2"/>
      <c r="AB738" s="2"/>
      <c r="AC738" t="s">
        <v>3324</v>
      </c>
      <c r="AD738">
        <v>7.69</v>
      </c>
      <c r="AE738">
        <v>2750.296</v>
      </c>
      <c r="AF738" s="2">
        <f t="shared" si="51"/>
        <v>0.0770308123249301</v>
      </c>
      <c r="AG738" s="2">
        <f t="shared" si="52"/>
        <v>-0.0451369022158773</v>
      </c>
      <c r="AH738" t="s">
        <v>3417</v>
      </c>
      <c r="AI738" t="s">
        <v>3418</v>
      </c>
      <c r="AJ738" t="s">
        <v>625</v>
      </c>
    </row>
    <row r="739" hidden="1" spans="1:36">
      <c r="A739">
        <v>113565</v>
      </c>
      <c r="B739" t="s">
        <v>3419</v>
      </c>
      <c r="C739">
        <v>603336</v>
      </c>
      <c r="D739" t="s">
        <v>3420</v>
      </c>
      <c r="E739" t="s">
        <v>3421</v>
      </c>
      <c r="F739" t="s">
        <v>41</v>
      </c>
      <c r="G739" t="s">
        <v>3422</v>
      </c>
      <c r="H739" t="s">
        <v>621</v>
      </c>
      <c r="I739" t="s">
        <v>255</v>
      </c>
      <c r="J739" t="s">
        <v>255</v>
      </c>
      <c r="K739" t="s">
        <v>255</v>
      </c>
      <c r="L739" t="s">
        <v>41</v>
      </c>
      <c r="M739" t="s">
        <v>41</v>
      </c>
      <c r="N739" t="s">
        <v>255</v>
      </c>
      <c r="O739" t="s">
        <v>41</v>
      </c>
      <c r="P739" t="s">
        <v>41</v>
      </c>
      <c r="Q739" s="2"/>
      <c r="R739" s="2"/>
      <c r="S739" t="s">
        <v>255</v>
      </c>
      <c r="T739" t="s">
        <v>41</v>
      </c>
      <c r="U739" t="s">
        <v>41</v>
      </c>
      <c r="V739" s="2"/>
      <c r="W739" s="2"/>
      <c r="X739" t="s">
        <v>3422</v>
      </c>
      <c r="Y739">
        <v>6.25</v>
      </c>
      <c r="Z739">
        <v>2987.929</v>
      </c>
      <c r="AA739" s="2"/>
      <c r="AB739" s="2"/>
      <c r="AC739" t="s">
        <v>3353</v>
      </c>
      <c r="AD739">
        <v>5.98</v>
      </c>
      <c r="AE739">
        <v>2789.254</v>
      </c>
      <c r="AF739" s="2">
        <f t="shared" si="51"/>
        <v>-0.0431999999999999</v>
      </c>
      <c r="AG739" s="2">
        <f t="shared" si="52"/>
        <v>-0.0664925438321995</v>
      </c>
      <c r="AH739" t="s">
        <v>3423</v>
      </c>
      <c r="AI739" t="s">
        <v>176</v>
      </c>
      <c r="AJ739" t="s">
        <v>625</v>
      </c>
    </row>
    <row r="740" hidden="1" spans="1:36">
      <c r="A740">
        <v>128097</v>
      </c>
      <c r="B740" t="s">
        <v>3424</v>
      </c>
      <c r="C740">
        <v>2614</v>
      </c>
      <c r="D740" t="s">
        <v>3425</v>
      </c>
      <c r="E740" t="s">
        <v>232</v>
      </c>
      <c r="F740" t="s">
        <v>31</v>
      </c>
      <c r="G740" t="s">
        <v>3426</v>
      </c>
      <c r="H740" t="s">
        <v>33</v>
      </c>
      <c r="I740" t="s">
        <v>255</v>
      </c>
      <c r="J740" t="s">
        <v>255</v>
      </c>
      <c r="K740" t="s">
        <v>255</v>
      </c>
      <c r="L740" t="s">
        <v>41</v>
      </c>
      <c r="M740" t="s">
        <v>41</v>
      </c>
      <c r="N740" t="s">
        <v>255</v>
      </c>
      <c r="O740" t="s">
        <v>41</v>
      </c>
      <c r="P740" t="s">
        <v>41</v>
      </c>
      <c r="Q740" s="2"/>
      <c r="R740" s="2"/>
      <c r="S740" t="s">
        <v>255</v>
      </c>
      <c r="T740" t="s">
        <v>41</v>
      </c>
      <c r="U740" t="s">
        <v>41</v>
      </c>
      <c r="V740" s="2"/>
      <c r="W740" s="2"/>
      <c r="X740" t="s">
        <v>3426</v>
      </c>
      <c r="Y740">
        <v>10.78</v>
      </c>
      <c r="Z740">
        <v>3013.05</v>
      </c>
      <c r="AA740" s="2"/>
      <c r="AB740" s="2"/>
      <c r="AC740" t="s">
        <v>3427</v>
      </c>
      <c r="AD740">
        <v>11.3</v>
      </c>
      <c r="AE740">
        <v>2728.756</v>
      </c>
      <c r="AF740" s="2">
        <f t="shared" si="51"/>
        <v>0.0482374768089055</v>
      </c>
      <c r="AG740" s="2">
        <f t="shared" si="52"/>
        <v>-0.0943542257845042</v>
      </c>
      <c r="AH740" t="s">
        <v>3428</v>
      </c>
      <c r="AI740" t="s">
        <v>41</v>
      </c>
      <c r="AJ740" t="s">
        <v>41</v>
      </c>
    </row>
    <row r="741" hidden="1" spans="1:36">
      <c r="A741">
        <v>128095</v>
      </c>
      <c r="B741" t="s">
        <v>3429</v>
      </c>
      <c r="C741">
        <v>2812</v>
      </c>
      <c r="D741" t="s">
        <v>3430</v>
      </c>
      <c r="E741" t="s">
        <v>3164</v>
      </c>
      <c r="F741" t="s">
        <v>41</v>
      </c>
      <c r="G741" t="s">
        <v>3431</v>
      </c>
      <c r="H741" t="s">
        <v>621</v>
      </c>
      <c r="I741" t="s">
        <v>255</v>
      </c>
      <c r="J741" t="s">
        <v>255</v>
      </c>
      <c r="K741" t="s">
        <v>255</v>
      </c>
      <c r="L741" t="s">
        <v>41</v>
      </c>
      <c r="M741" t="s">
        <v>41</v>
      </c>
      <c r="N741" t="s">
        <v>255</v>
      </c>
      <c r="O741" t="s">
        <v>41</v>
      </c>
      <c r="P741" t="s">
        <v>41</v>
      </c>
      <c r="Q741" s="2"/>
      <c r="R741" s="2"/>
      <c r="S741" t="s">
        <v>255</v>
      </c>
      <c r="T741" t="s">
        <v>41</v>
      </c>
      <c r="U741" t="s">
        <v>41</v>
      </c>
      <c r="V741" s="2"/>
      <c r="W741" s="2"/>
      <c r="X741" t="s">
        <v>3431</v>
      </c>
      <c r="Y741">
        <v>63.41</v>
      </c>
      <c r="Z741">
        <v>2901.674</v>
      </c>
      <c r="AA741" s="2"/>
      <c r="AB741" s="2"/>
      <c r="AC741" t="s">
        <v>3413</v>
      </c>
      <c r="AD741">
        <v>55.83</v>
      </c>
      <c r="AE741">
        <v>2880.304</v>
      </c>
      <c r="AF741" s="2">
        <f t="shared" si="51"/>
        <v>-0.119539504809967</v>
      </c>
      <c r="AG741" s="2">
        <f t="shared" si="52"/>
        <v>-0.00736471429940093</v>
      </c>
      <c r="AH741" t="s">
        <v>3432</v>
      </c>
      <c r="AI741" t="s">
        <v>179</v>
      </c>
      <c r="AJ741" t="s">
        <v>625</v>
      </c>
    </row>
    <row r="742" hidden="1" spans="1:36">
      <c r="A742">
        <v>128096</v>
      </c>
      <c r="B742" t="s">
        <v>3433</v>
      </c>
      <c r="C742">
        <v>2701</v>
      </c>
      <c r="D742" t="s">
        <v>3434</v>
      </c>
      <c r="E742" t="s">
        <v>3435</v>
      </c>
      <c r="F742" t="s">
        <v>41</v>
      </c>
      <c r="G742" t="s">
        <v>3431</v>
      </c>
      <c r="H742" t="s">
        <v>621</v>
      </c>
      <c r="I742" t="s">
        <v>255</v>
      </c>
      <c r="J742" t="s">
        <v>255</v>
      </c>
      <c r="K742" t="s">
        <v>255</v>
      </c>
      <c r="L742" t="s">
        <v>41</v>
      </c>
      <c r="M742" t="s">
        <v>41</v>
      </c>
      <c r="N742" t="s">
        <v>255</v>
      </c>
      <c r="O742" t="s">
        <v>41</v>
      </c>
      <c r="P742" t="s">
        <v>41</v>
      </c>
      <c r="Q742" s="2"/>
      <c r="R742" s="2"/>
      <c r="S742" t="s">
        <v>255</v>
      </c>
      <c r="T742" t="s">
        <v>41</v>
      </c>
      <c r="U742" t="s">
        <v>41</v>
      </c>
      <c r="V742" s="2"/>
      <c r="W742" s="2"/>
      <c r="X742" t="s">
        <v>3431</v>
      </c>
      <c r="Y742">
        <v>3.72</v>
      </c>
      <c r="Z742">
        <v>2901.674</v>
      </c>
      <c r="AA742" s="2"/>
      <c r="AB742" s="2"/>
      <c r="AC742" t="s">
        <v>3353</v>
      </c>
      <c r="AD742">
        <v>3.44</v>
      </c>
      <c r="AE742">
        <v>2789.254</v>
      </c>
      <c r="AF742" s="2">
        <f t="shared" si="51"/>
        <v>-0.0752688172043011</v>
      </c>
      <c r="AG742" s="2">
        <f t="shared" si="52"/>
        <v>-0.0387431530902507</v>
      </c>
      <c r="AH742" t="s">
        <v>3432</v>
      </c>
      <c r="AI742" t="s">
        <v>2554</v>
      </c>
      <c r="AJ742" t="s">
        <v>625</v>
      </c>
    </row>
    <row r="743" hidden="1" spans="1:36">
      <c r="A743">
        <v>113563</v>
      </c>
      <c r="B743" t="s">
        <v>3436</v>
      </c>
      <c r="C743">
        <v>603368</v>
      </c>
      <c r="D743" t="s">
        <v>3437</v>
      </c>
      <c r="E743" t="s">
        <v>3438</v>
      </c>
      <c r="F743" t="s">
        <v>397</v>
      </c>
      <c r="G743" t="s">
        <v>3439</v>
      </c>
      <c r="H743" t="s">
        <v>33</v>
      </c>
      <c r="I743" t="s">
        <v>255</v>
      </c>
      <c r="J743" t="s">
        <v>255</v>
      </c>
      <c r="K743" t="s">
        <v>255</v>
      </c>
      <c r="L743" t="s">
        <v>41</v>
      </c>
      <c r="M743" t="s">
        <v>41</v>
      </c>
      <c r="N743" t="s">
        <v>255</v>
      </c>
      <c r="O743" t="s">
        <v>41</v>
      </c>
      <c r="P743" t="s">
        <v>41</v>
      </c>
      <c r="Q743" s="2"/>
      <c r="R743" s="2"/>
      <c r="S743" t="s">
        <v>255</v>
      </c>
      <c r="T743" t="s">
        <v>41</v>
      </c>
      <c r="U743" t="s">
        <v>41</v>
      </c>
      <c r="V743" s="2"/>
      <c r="W743" s="2"/>
      <c r="X743" t="s">
        <v>3439</v>
      </c>
      <c r="Y743">
        <v>21.46</v>
      </c>
      <c r="Z743">
        <v>3074.081</v>
      </c>
      <c r="AA743" s="2"/>
      <c r="AB743" s="2"/>
      <c r="AC743" t="s">
        <v>3440</v>
      </c>
      <c r="AD743">
        <v>21.36</v>
      </c>
      <c r="AE743">
        <v>3031.233</v>
      </c>
      <c r="AF743" s="2">
        <f t="shared" si="51"/>
        <v>-0.00465983224603921</v>
      </c>
      <c r="AG743" s="2">
        <f t="shared" si="52"/>
        <v>-0.0139384746205451</v>
      </c>
      <c r="AH743" t="s">
        <v>3441</v>
      </c>
      <c r="AI743" t="s">
        <v>41</v>
      </c>
      <c r="AJ743" t="s">
        <v>41</v>
      </c>
    </row>
    <row r="744" hidden="1" spans="1:36">
      <c r="A744">
        <v>128094</v>
      </c>
      <c r="B744" t="s">
        <v>3442</v>
      </c>
      <c r="C744">
        <v>2860</v>
      </c>
      <c r="D744" t="s">
        <v>1292</v>
      </c>
      <c r="E744" t="s">
        <v>1516</v>
      </c>
      <c r="F744" t="s">
        <v>41</v>
      </c>
      <c r="G744" t="s">
        <v>3439</v>
      </c>
      <c r="H744" t="s">
        <v>621</v>
      </c>
      <c r="I744" t="s">
        <v>255</v>
      </c>
      <c r="J744" t="s">
        <v>255</v>
      </c>
      <c r="K744" t="s">
        <v>255</v>
      </c>
      <c r="L744" t="s">
        <v>41</v>
      </c>
      <c r="M744" t="s">
        <v>41</v>
      </c>
      <c r="N744" t="s">
        <v>255</v>
      </c>
      <c r="O744" t="s">
        <v>41</v>
      </c>
      <c r="P744" t="s">
        <v>41</v>
      </c>
      <c r="Q744" s="2"/>
      <c r="R744" s="2"/>
      <c r="S744" t="s">
        <v>255</v>
      </c>
      <c r="T744" t="s">
        <v>41</v>
      </c>
      <c r="U744" t="s">
        <v>41</v>
      </c>
      <c r="V744" s="2"/>
      <c r="W744" s="2"/>
      <c r="X744" t="s">
        <v>3439</v>
      </c>
      <c r="Y744">
        <v>9.31</v>
      </c>
      <c r="Z744">
        <v>3074.081</v>
      </c>
      <c r="AA744" s="2"/>
      <c r="AB744" s="2"/>
      <c r="AC744" t="s">
        <v>3443</v>
      </c>
      <c r="AD744">
        <v>9.23</v>
      </c>
      <c r="AE744">
        <v>2975.402</v>
      </c>
      <c r="AF744" s="2">
        <f t="shared" si="51"/>
        <v>-0.00859291084854995</v>
      </c>
      <c r="AG744" s="2">
        <f t="shared" si="52"/>
        <v>-0.0321003252679419</v>
      </c>
      <c r="AH744" t="s">
        <v>3441</v>
      </c>
      <c r="AI744" t="s">
        <v>2126</v>
      </c>
      <c r="AJ744" t="s">
        <v>625</v>
      </c>
    </row>
    <row r="745" hidden="1" spans="1:36">
      <c r="A745">
        <v>123042</v>
      </c>
      <c r="B745" t="s">
        <v>3444</v>
      </c>
      <c r="C745">
        <v>300619</v>
      </c>
      <c r="D745" t="s">
        <v>3445</v>
      </c>
      <c r="E745" t="s">
        <v>3446</v>
      </c>
      <c r="F745" t="s">
        <v>41</v>
      </c>
      <c r="G745" t="s">
        <v>3447</v>
      </c>
      <c r="H745" t="s">
        <v>621</v>
      </c>
      <c r="I745" t="s">
        <v>255</v>
      </c>
      <c r="J745" t="s">
        <v>255</v>
      </c>
      <c r="K745" t="s">
        <v>255</v>
      </c>
      <c r="L745" t="s">
        <v>41</v>
      </c>
      <c r="M745" t="s">
        <v>41</v>
      </c>
      <c r="N745" t="s">
        <v>255</v>
      </c>
      <c r="O745" t="s">
        <v>41</v>
      </c>
      <c r="P745" t="s">
        <v>41</v>
      </c>
      <c r="Q745" s="2"/>
      <c r="R745" s="2"/>
      <c r="S745" t="s">
        <v>255</v>
      </c>
      <c r="T745" t="s">
        <v>41</v>
      </c>
      <c r="U745" t="s">
        <v>41</v>
      </c>
      <c r="V745" s="2"/>
      <c r="W745" s="2"/>
      <c r="X745" t="s">
        <v>3447</v>
      </c>
      <c r="Y745">
        <v>14.4</v>
      </c>
      <c r="Z745">
        <v>3106.82</v>
      </c>
      <c r="AA745" s="2"/>
      <c r="AB745" s="2"/>
      <c r="AC745" t="s">
        <v>3448</v>
      </c>
      <c r="AD745">
        <v>13.74</v>
      </c>
      <c r="AE745">
        <v>2917.008</v>
      </c>
      <c r="AF745" s="2">
        <f t="shared" si="51"/>
        <v>-0.0458333333333333</v>
      </c>
      <c r="AG745" s="2">
        <f t="shared" si="52"/>
        <v>-0.0610952678301287</v>
      </c>
      <c r="AH745" t="s">
        <v>3449</v>
      </c>
      <c r="AI745" t="s">
        <v>2126</v>
      </c>
      <c r="AJ745" t="s">
        <v>625</v>
      </c>
    </row>
    <row r="746" hidden="1" spans="1:36">
      <c r="A746">
        <v>123041</v>
      </c>
      <c r="B746" t="s">
        <v>3450</v>
      </c>
      <c r="C746">
        <v>300059</v>
      </c>
      <c r="D746" t="s">
        <v>2549</v>
      </c>
      <c r="E746" t="s">
        <v>3451</v>
      </c>
      <c r="F746" t="s">
        <v>41</v>
      </c>
      <c r="G746" t="s">
        <v>3452</v>
      </c>
      <c r="H746" t="s">
        <v>621</v>
      </c>
      <c r="I746" t="s">
        <v>255</v>
      </c>
      <c r="J746" t="s">
        <v>255</v>
      </c>
      <c r="K746" t="s">
        <v>255</v>
      </c>
      <c r="L746" t="s">
        <v>41</v>
      </c>
      <c r="M746" t="s">
        <v>41</v>
      </c>
      <c r="N746" t="s">
        <v>255</v>
      </c>
      <c r="O746" t="s">
        <v>41</v>
      </c>
      <c r="P746" t="s">
        <v>41</v>
      </c>
      <c r="Q746" s="2"/>
      <c r="R746" s="2"/>
      <c r="S746" t="s">
        <v>255</v>
      </c>
      <c r="T746" t="s">
        <v>41</v>
      </c>
      <c r="U746" t="s">
        <v>41</v>
      </c>
      <c r="V746" s="2"/>
      <c r="W746" s="2"/>
      <c r="X746" t="s">
        <v>3452</v>
      </c>
      <c r="Y746">
        <v>7.54</v>
      </c>
      <c r="Z746">
        <v>3115.57</v>
      </c>
      <c r="AA746" s="2"/>
      <c r="AB746" s="2"/>
      <c r="AC746" t="s">
        <v>3448</v>
      </c>
      <c r="AD746">
        <v>7.12</v>
      </c>
      <c r="AE746">
        <v>2917.008</v>
      </c>
      <c r="AF746" s="2">
        <f t="shared" si="51"/>
        <v>-0.0557029177718833</v>
      </c>
      <c r="AG746" s="2">
        <f t="shared" si="52"/>
        <v>-0.0637321581604651</v>
      </c>
      <c r="AH746" t="s">
        <v>3453</v>
      </c>
      <c r="AI746" t="s">
        <v>2890</v>
      </c>
      <c r="AJ746" t="s">
        <v>625</v>
      </c>
    </row>
    <row r="747" hidden="1" spans="1:36">
      <c r="A747">
        <v>113031</v>
      </c>
      <c r="B747" t="s">
        <v>3454</v>
      </c>
      <c r="C747">
        <v>601137</v>
      </c>
      <c r="D747" t="s">
        <v>904</v>
      </c>
      <c r="E747" t="s">
        <v>232</v>
      </c>
      <c r="F747" t="s">
        <v>41</v>
      </c>
      <c r="G747" t="s">
        <v>3455</v>
      </c>
      <c r="H747" t="s">
        <v>621</v>
      </c>
      <c r="I747" t="s">
        <v>255</v>
      </c>
      <c r="J747" t="s">
        <v>255</v>
      </c>
      <c r="K747" t="s">
        <v>255</v>
      </c>
      <c r="L747" t="s">
        <v>41</v>
      </c>
      <c r="M747" t="s">
        <v>41</v>
      </c>
      <c r="N747" t="s">
        <v>255</v>
      </c>
      <c r="O747" t="s">
        <v>41</v>
      </c>
      <c r="P747" t="s">
        <v>41</v>
      </c>
      <c r="Q747" s="2"/>
      <c r="R747" s="2"/>
      <c r="S747" t="s">
        <v>255</v>
      </c>
      <c r="T747" t="s">
        <v>41</v>
      </c>
      <c r="U747" t="s">
        <v>41</v>
      </c>
      <c r="V747" s="2"/>
      <c r="W747" s="2"/>
      <c r="X747" t="s">
        <v>3455</v>
      </c>
      <c r="Y747">
        <v>9.92</v>
      </c>
      <c r="Z747">
        <v>3092.291</v>
      </c>
      <c r="AA747" s="2"/>
      <c r="AB747" s="2"/>
      <c r="AC747" t="s">
        <v>3456</v>
      </c>
      <c r="AD747">
        <v>11.08</v>
      </c>
      <c r="AE747">
        <v>2983.622</v>
      </c>
      <c r="AF747" s="2">
        <f t="shared" si="51"/>
        <v>0.116935483870968</v>
      </c>
      <c r="AG747" s="2">
        <f t="shared" si="52"/>
        <v>-0.0351419061142694</v>
      </c>
      <c r="AH747" t="s">
        <v>585</v>
      </c>
      <c r="AI747" t="s">
        <v>3086</v>
      </c>
      <c r="AJ747" t="s">
        <v>625</v>
      </c>
    </row>
    <row r="748" hidden="1" spans="1:36">
      <c r="A748">
        <v>128093</v>
      </c>
      <c r="B748" t="s">
        <v>3457</v>
      </c>
      <c r="C748">
        <v>2455</v>
      </c>
      <c r="D748" t="s">
        <v>1677</v>
      </c>
      <c r="E748" t="s">
        <v>483</v>
      </c>
      <c r="F748" t="s">
        <v>41</v>
      </c>
      <c r="G748" t="s">
        <v>3458</v>
      </c>
      <c r="H748" t="s">
        <v>621</v>
      </c>
      <c r="I748" t="s">
        <v>255</v>
      </c>
      <c r="J748" t="s">
        <v>255</v>
      </c>
      <c r="K748" t="s">
        <v>255</v>
      </c>
      <c r="L748" t="s">
        <v>41</v>
      </c>
      <c r="M748" t="s">
        <v>41</v>
      </c>
      <c r="N748" t="s">
        <v>255</v>
      </c>
      <c r="O748" t="s">
        <v>41</v>
      </c>
      <c r="P748" t="s">
        <v>41</v>
      </c>
      <c r="Q748" s="2"/>
      <c r="R748" s="2"/>
      <c r="S748" t="s">
        <v>255</v>
      </c>
      <c r="T748" t="s">
        <v>41</v>
      </c>
      <c r="U748" t="s">
        <v>41</v>
      </c>
      <c r="V748" s="2"/>
      <c r="W748" s="2"/>
      <c r="X748" t="s">
        <v>3458</v>
      </c>
      <c r="Y748">
        <v>5.78</v>
      </c>
      <c r="Z748">
        <v>3083.786</v>
      </c>
      <c r="AA748" s="2"/>
      <c r="AB748" s="2"/>
      <c r="AC748" t="s">
        <v>3459</v>
      </c>
      <c r="AD748">
        <v>5.36</v>
      </c>
      <c r="AE748">
        <v>3052.142</v>
      </c>
      <c r="AF748" s="2">
        <f t="shared" si="51"/>
        <v>-0.0726643598615917</v>
      </c>
      <c r="AG748" s="2">
        <f t="shared" si="52"/>
        <v>-0.0102614124326397</v>
      </c>
      <c r="AH748" t="s">
        <v>3460</v>
      </c>
      <c r="AI748" t="s">
        <v>2114</v>
      </c>
      <c r="AJ748" t="s">
        <v>625</v>
      </c>
    </row>
    <row r="749" hidden="1" spans="1:36">
      <c r="A749">
        <v>123040</v>
      </c>
      <c r="B749" t="s">
        <v>3461</v>
      </c>
      <c r="C749">
        <v>300003</v>
      </c>
      <c r="D749" t="s">
        <v>2564</v>
      </c>
      <c r="E749" t="s">
        <v>145</v>
      </c>
      <c r="F749" t="s">
        <v>41</v>
      </c>
      <c r="G749" t="s">
        <v>3458</v>
      </c>
      <c r="H749" t="s">
        <v>621</v>
      </c>
      <c r="I749" t="s">
        <v>255</v>
      </c>
      <c r="J749" t="s">
        <v>255</v>
      </c>
      <c r="K749" t="s">
        <v>255</v>
      </c>
      <c r="L749" t="s">
        <v>41</v>
      </c>
      <c r="M749" t="s">
        <v>41</v>
      </c>
      <c r="N749" t="s">
        <v>255</v>
      </c>
      <c r="O749" t="s">
        <v>41</v>
      </c>
      <c r="P749" t="s">
        <v>41</v>
      </c>
      <c r="Q749" s="2"/>
      <c r="R749" s="2"/>
      <c r="S749" t="s">
        <v>255</v>
      </c>
      <c r="T749" t="s">
        <v>41</v>
      </c>
      <c r="U749" t="s">
        <v>41</v>
      </c>
      <c r="V749" s="2"/>
      <c r="W749" s="2"/>
      <c r="X749" t="s">
        <v>3458</v>
      </c>
      <c r="Y749">
        <v>30.89</v>
      </c>
      <c r="Z749">
        <v>3083.786</v>
      </c>
      <c r="AA749" s="2"/>
      <c r="AB749" s="2"/>
      <c r="AC749" t="s">
        <v>3462</v>
      </c>
      <c r="AD749">
        <v>30.11</v>
      </c>
      <c r="AE749">
        <v>2976.528</v>
      </c>
      <c r="AF749" s="2">
        <f t="shared" si="51"/>
        <v>-0.0252508902557462</v>
      </c>
      <c r="AG749" s="2">
        <f t="shared" si="52"/>
        <v>-0.0347812721116187</v>
      </c>
      <c r="AH749" t="s">
        <v>3463</v>
      </c>
      <c r="AI749" t="s">
        <v>3013</v>
      </c>
      <c r="AJ749" t="s">
        <v>625</v>
      </c>
    </row>
    <row r="750" hidden="1" spans="1:36">
      <c r="A750">
        <v>127015</v>
      </c>
      <c r="B750" t="s">
        <v>3464</v>
      </c>
      <c r="C750">
        <v>876</v>
      </c>
      <c r="D750" t="s">
        <v>2284</v>
      </c>
      <c r="E750" t="s">
        <v>379</v>
      </c>
      <c r="F750" t="s">
        <v>444</v>
      </c>
      <c r="G750" t="s">
        <v>3458</v>
      </c>
      <c r="H750" t="s">
        <v>33</v>
      </c>
      <c r="I750" t="s">
        <v>255</v>
      </c>
      <c r="J750" t="s">
        <v>255</v>
      </c>
      <c r="K750" t="s">
        <v>255</v>
      </c>
      <c r="L750" t="s">
        <v>41</v>
      </c>
      <c r="M750" t="s">
        <v>41</v>
      </c>
      <c r="N750" t="s">
        <v>255</v>
      </c>
      <c r="O750" t="s">
        <v>41</v>
      </c>
      <c r="P750" t="s">
        <v>41</v>
      </c>
      <c r="Q750" s="2"/>
      <c r="R750" s="2"/>
      <c r="S750" t="s">
        <v>255</v>
      </c>
      <c r="T750" t="s">
        <v>41</v>
      </c>
      <c r="U750" t="s">
        <v>41</v>
      </c>
      <c r="V750" s="2"/>
      <c r="W750" s="2"/>
      <c r="X750" t="s">
        <v>3458</v>
      </c>
      <c r="Y750">
        <v>20.26</v>
      </c>
      <c r="Z750">
        <v>3083.786</v>
      </c>
      <c r="AA750" s="2"/>
      <c r="AB750" s="2"/>
      <c r="AC750" t="s">
        <v>3465</v>
      </c>
      <c r="AD750">
        <v>16.96</v>
      </c>
      <c r="AE750">
        <v>2783.288</v>
      </c>
      <c r="AF750" s="2">
        <f t="shared" si="51"/>
        <v>-0.162882527147088</v>
      </c>
      <c r="AG750" s="2">
        <f t="shared" si="52"/>
        <v>-0.0974445049040368</v>
      </c>
      <c r="AH750" t="s">
        <v>3460</v>
      </c>
      <c r="AI750" t="s">
        <v>116</v>
      </c>
      <c r="AJ750" t="s">
        <v>3077</v>
      </c>
    </row>
    <row r="751" hidden="1" spans="1:36">
      <c r="A751">
        <v>113562</v>
      </c>
      <c r="B751" t="s">
        <v>3466</v>
      </c>
      <c r="C751">
        <v>603659</v>
      </c>
      <c r="D751" t="s">
        <v>3467</v>
      </c>
      <c r="E751" t="s">
        <v>1103</v>
      </c>
      <c r="F751" t="s">
        <v>41</v>
      </c>
      <c r="G751" t="s">
        <v>3468</v>
      </c>
      <c r="H751" t="s">
        <v>621</v>
      </c>
      <c r="I751" t="s">
        <v>255</v>
      </c>
      <c r="J751" t="s">
        <v>255</v>
      </c>
      <c r="K751" t="s">
        <v>255</v>
      </c>
      <c r="L751" t="s">
        <v>41</v>
      </c>
      <c r="M751" t="s">
        <v>41</v>
      </c>
      <c r="N751" t="s">
        <v>255</v>
      </c>
      <c r="O751" t="s">
        <v>41</v>
      </c>
      <c r="P751" t="s">
        <v>41</v>
      </c>
      <c r="Q751" s="2"/>
      <c r="R751" s="2"/>
      <c r="S751" t="s">
        <v>255</v>
      </c>
      <c r="T751" t="s">
        <v>41</v>
      </c>
      <c r="U751" t="s">
        <v>41</v>
      </c>
      <c r="V751" s="2"/>
      <c r="W751" s="2"/>
      <c r="X751" t="s">
        <v>3468</v>
      </c>
      <c r="Y751">
        <v>20.13</v>
      </c>
      <c r="Z751">
        <v>3085.198</v>
      </c>
      <c r="AA751" s="2"/>
      <c r="AB751" s="2"/>
      <c r="AC751" t="s">
        <v>3465</v>
      </c>
      <c r="AD751">
        <v>22.32</v>
      </c>
      <c r="AE751">
        <v>2783.288</v>
      </c>
      <c r="AF751" s="2">
        <f t="shared" si="51"/>
        <v>0.108792846497765</v>
      </c>
      <c r="AG751" s="2">
        <f t="shared" si="52"/>
        <v>-0.0978575767260318</v>
      </c>
      <c r="AH751" t="s">
        <v>3463</v>
      </c>
      <c r="AI751" t="s">
        <v>2744</v>
      </c>
      <c r="AJ751" t="s">
        <v>625</v>
      </c>
    </row>
    <row r="752" hidden="1" spans="1:36">
      <c r="A752">
        <v>113561</v>
      </c>
      <c r="B752" t="s">
        <v>3469</v>
      </c>
      <c r="C752">
        <v>603089</v>
      </c>
      <c r="D752" t="s">
        <v>3470</v>
      </c>
      <c r="E752" t="s">
        <v>135</v>
      </c>
      <c r="F752" t="s">
        <v>41</v>
      </c>
      <c r="G752" t="s">
        <v>3471</v>
      </c>
      <c r="H752" t="s">
        <v>621</v>
      </c>
      <c r="I752" t="s">
        <v>255</v>
      </c>
      <c r="J752" t="s">
        <v>255</v>
      </c>
      <c r="K752" t="s">
        <v>255</v>
      </c>
      <c r="L752" t="s">
        <v>41</v>
      </c>
      <c r="M752" t="s">
        <v>41</v>
      </c>
      <c r="N752" t="s">
        <v>255</v>
      </c>
      <c r="O752" t="s">
        <v>41</v>
      </c>
      <c r="P752" t="s">
        <v>41</v>
      </c>
      <c r="Q752" s="2"/>
      <c r="R752" s="2"/>
      <c r="S752" t="s">
        <v>255</v>
      </c>
      <c r="T752" t="s">
        <v>41</v>
      </c>
      <c r="U752" t="s">
        <v>41</v>
      </c>
      <c r="V752" s="2"/>
      <c r="W752" s="2"/>
      <c r="X752" t="s">
        <v>3471</v>
      </c>
      <c r="Y752">
        <v>9.84</v>
      </c>
      <c r="Z752">
        <v>3050.124</v>
      </c>
      <c r="AA752" s="2"/>
      <c r="AB752" s="2"/>
      <c r="AC752" t="s">
        <v>3472</v>
      </c>
      <c r="AD752">
        <v>8.49</v>
      </c>
      <c r="AE752">
        <v>2890.488</v>
      </c>
      <c r="AF752" s="2">
        <f t="shared" si="51"/>
        <v>-0.137195121951219</v>
      </c>
      <c r="AG752" s="2">
        <f t="shared" si="52"/>
        <v>-0.052337544309674</v>
      </c>
      <c r="AH752" t="s">
        <v>87</v>
      </c>
      <c r="AI752" t="s">
        <v>3473</v>
      </c>
      <c r="AJ752" t="s">
        <v>625</v>
      </c>
    </row>
    <row r="753" hidden="1" spans="1:36">
      <c r="A753">
        <v>128091</v>
      </c>
      <c r="B753" t="s">
        <v>3474</v>
      </c>
      <c r="C753">
        <v>2873</v>
      </c>
      <c r="D753" t="s">
        <v>3475</v>
      </c>
      <c r="E753" t="s">
        <v>3204</v>
      </c>
      <c r="F753" t="s">
        <v>41</v>
      </c>
      <c r="G753" t="s">
        <v>3476</v>
      </c>
      <c r="H753" t="s">
        <v>621</v>
      </c>
      <c r="I753" t="s">
        <v>255</v>
      </c>
      <c r="J753" t="s">
        <v>255</v>
      </c>
      <c r="K753" t="s">
        <v>255</v>
      </c>
      <c r="L753" t="s">
        <v>41</v>
      </c>
      <c r="M753" t="s">
        <v>41</v>
      </c>
      <c r="N753" t="s">
        <v>255</v>
      </c>
      <c r="O753" t="s">
        <v>41</v>
      </c>
      <c r="P753" t="s">
        <v>41</v>
      </c>
      <c r="Q753" s="2"/>
      <c r="R753" s="2"/>
      <c r="S753" t="s">
        <v>255</v>
      </c>
      <c r="T753" t="s">
        <v>41</v>
      </c>
      <c r="U753" t="s">
        <v>41</v>
      </c>
      <c r="V753" s="2"/>
      <c r="W753" s="2"/>
      <c r="X753" t="s">
        <v>3476</v>
      </c>
      <c r="Y753">
        <v>7.92</v>
      </c>
      <c r="Z753">
        <v>3040.024</v>
      </c>
      <c r="AA753" s="2"/>
      <c r="AB753" s="2"/>
      <c r="AC753" t="s">
        <v>3477</v>
      </c>
      <c r="AD753">
        <v>8.66</v>
      </c>
      <c r="AE753">
        <v>3075.496</v>
      </c>
      <c r="AF753" s="2">
        <f t="shared" si="51"/>
        <v>0.0934343434343435</v>
      </c>
      <c r="AG753" s="2">
        <f t="shared" si="52"/>
        <v>0.0116683289342453</v>
      </c>
      <c r="AH753" t="s">
        <v>659</v>
      </c>
      <c r="AI753" t="s">
        <v>595</v>
      </c>
      <c r="AJ753" t="s">
        <v>625</v>
      </c>
    </row>
    <row r="754" hidden="1" spans="1:36">
      <c r="A754">
        <v>128092</v>
      </c>
      <c r="B754" t="s">
        <v>3478</v>
      </c>
      <c r="C754">
        <v>2567</v>
      </c>
      <c r="D754" t="s">
        <v>3479</v>
      </c>
      <c r="E754" t="s">
        <v>3480</v>
      </c>
      <c r="F754" t="s">
        <v>41</v>
      </c>
      <c r="G754" t="s">
        <v>3476</v>
      </c>
      <c r="H754" t="s">
        <v>621</v>
      </c>
      <c r="I754" t="s">
        <v>255</v>
      </c>
      <c r="J754" t="s">
        <v>255</v>
      </c>
      <c r="K754" t="s">
        <v>255</v>
      </c>
      <c r="L754" t="s">
        <v>41</v>
      </c>
      <c r="M754" t="s">
        <v>41</v>
      </c>
      <c r="N754" t="s">
        <v>255</v>
      </c>
      <c r="O754" t="s">
        <v>41</v>
      </c>
      <c r="P754" t="s">
        <v>41</v>
      </c>
      <c r="Q754" s="2"/>
      <c r="R754" s="2"/>
      <c r="S754" t="s">
        <v>255</v>
      </c>
      <c r="T754" t="s">
        <v>41</v>
      </c>
      <c r="U754" t="s">
        <v>41</v>
      </c>
      <c r="V754" s="2"/>
      <c r="W754" s="2"/>
      <c r="X754" t="s">
        <v>3476</v>
      </c>
      <c r="Y754">
        <v>8.41</v>
      </c>
      <c r="Z754">
        <v>3040.024</v>
      </c>
      <c r="AA754" s="2"/>
      <c r="AB754" s="2"/>
      <c r="AC754" t="s">
        <v>3481</v>
      </c>
      <c r="AD754">
        <v>7.8</v>
      </c>
      <c r="AE754">
        <v>3060.755</v>
      </c>
      <c r="AF754" s="2">
        <f t="shared" si="51"/>
        <v>-0.0725326991676576</v>
      </c>
      <c r="AG754" s="2">
        <f t="shared" si="52"/>
        <v>0.0068193540577312</v>
      </c>
      <c r="AH754" t="s">
        <v>659</v>
      </c>
      <c r="AI754" t="s">
        <v>2777</v>
      </c>
      <c r="AJ754" t="s">
        <v>625</v>
      </c>
    </row>
    <row r="755" hidden="1" spans="1:36">
      <c r="A755">
        <v>128090</v>
      </c>
      <c r="B755" t="s">
        <v>3482</v>
      </c>
      <c r="C755">
        <v>2510</v>
      </c>
      <c r="D755" t="s">
        <v>3483</v>
      </c>
      <c r="E755" t="s">
        <v>3484</v>
      </c>
      <c r="F755" t="s">
        <v>41</v>
      </c>
      <c r="G755" t="s">
        <v>3485</v>
      </c>
      <c r="H755" t="s">
        <v>621</v>
      </c>
      <c r="I755" t="s">
        <v>255</v>
      </c>
      <c r="J755" t="s">
        <v>255</v>
      </c>
      <c r="K755" t="s">
        <v>255</v>
      </c>
      <c r="L755" t="s">
        <v>41</v>
      </c>
      <c r="M755" t="s">
        <v>41</v>
      </c>
      <c r="N755" t="s">
        <v>255</v>
      </c>
      <c r="O755" t="s">
        <v>41</v>
      </c>
      <c r="P755" t="s">
        <v>41</v>
      </c>
      <c r="Q755" s="2"/>
      <c r="R755" s="2"/>
      <c r="S755" t="s">
        <v>255</v>
      </c>
      <c r="T755" t="s">
        <v>41</v>
      </c>
      <c r="U755" t="s">
        <v>41</v>
      </c>
      <c r="V755" s="2"/>
      <c r="W755" s="2"/>
      <c r="X755" t="s">
        <v>3485</v>
      </c>
      <c r="Y755">
        <v>4.45</v>
      </c>
      <c r="Z755">
        <v>3005.036</v>
      </c>
      <c r="AA755" s="2"/>
      <c r="AB755" s="2"/>
      <c r="AC755" t="s">
        <v>3462</v>
      </c>
      <c r="AD755">
        <v>5.82</v>
      </c>
      <c r="AE755">
        <v>2976.528</v>
      </c>
      <c r="AF755" s="2">
        <f t="shared" si="51"/>
        <v>0.307865168539326</v>
      </c>
      <c r="AG755" s="2">
        <f t="shared" si="52"/>
        <v>-0.0094867415897847</v>
      </c>
      <c r="AH755" t="s">
        <v>3486</v>
      </c>
      <c r="AI755" t="s">
        <v>1117</v>
      </c>
      <c r="AJ755" t="s">
        <v>625</v>
      </c>
    </row>
    <row r="756" hidden="1" spans="1:36">
      <c r="A756">
        <v>123039</v>
      </c>
      <c r="B756" t="s">
        <v>3487</v>
      </c>
      <c r="C756">
        <v>300577</v>
      </c>
      <c r="D756" t="s">
        <v>3488</v>
      </c>
      <c r="E756" t="s">
        <v>3489</v>
      </c>
      <c r="F756" t="s">
        <v>31</v>
      </c>
      <c r="G756" t="s">
        <v>3490</v>
      </c>
      <c r="H756" t="s">
        <v>33</v>
      </c>
      <c r="I756" t="s">
        <v>255</v>
      </c>
      <c r="J756" t="s">
        <v>255</v>
      </c>
      <c r="K756" t="s">
        <v>255</v>
      </c>
      <c r="L756" t="s">
        <v>41</v>
      </c>
      <c r="M756" t="s">
        <v>41</v>
      </c>
      <c r="N756" t="s">
        <v>255</v>
      </c>
      <c r="O756" t="s">
        <v>41</v>
      </c>
      <c r="P756" t="s">
        <v>41</v>
      </c>
      <c r="Q756" s="2"/>
      <c r="R756" s="2"/>
      <c r="S756" t="s">
        <v>255</v>
      </c>
      <c r="T756" t="s">
        <v>41</v>
      </c>
      <c r="U756" t="s">
        <v>41</v>
      </c>
      <c r="V756" s="2"/>
      <c r="W756" s="2"/>
      <c r="X756" t="s">
        <v>3490</v>
      </c>
      <c r="Y756">
        <v>33.82</v>
      </c>
      <c r="Z756">
        <v>3007.355</v>
      </c>
      <c r="AA756" s="2"/>
      <c r="AB756" s="2"/>
      <c r="AC756" t="s">
        <v>3462</v>
      </c>
      <c r="AD756">
        <v>34.53</v>
      </c>
      <c r="AE756">
        <v>2976.528</v>
      </c>
      <c r="AF756" s="2">
        <f t="shared" si="51"/>
        <v>0.0209934949733886</v>
      </c>
      <c r="AG756" s="2">
        <f t="shared" si="52"/>
        <v>-0.0102505357698044</v>
      </c>
      <c r="AH756" t="s">
        <v>116</v>
      </c>
      <c r="AI756" t="s">
        <v>32</v>
      </c>
      <c r="AJ756" t="s">
        <v>3077</v>
      </c>
    </row>
    <row r="757" hidden="1" spans="1:36">
      <c r="A757">
        <v>128089</v>
      </c>
      <c r="B757" t="s">
        <v>3491</v>
      </c>
      <c r="C757">
        <v>2851</v>
      </c>
      <c r="D757" t="s">
        <v>1698</v>
      </c>
      <c r="E757" t="s">
        <v>3492</v>
      </c>
      <c r="F757" t="s">
        <v>41</v>
      </c>
      <c r="G757" t="s">
        <v>3490</v>
      </c>
      <c r="H757" t="s">
        <v>621</v>
      </c>
      <c r="I757" t="s">
        <v>255</v>
      </c>
      <c r="J757" t="s">
        <v>255</v>
      </c>
      <c r="K757" t="s">
        <v>255</v>
      </c>
      <c r="L757" t="s">
        <v>41</v>
      </c>
      <c r="M757" t="s">
        <v>41</v>
      </c>
      <c r="N757" t="s">
        <v>255</v>
      </c>
      <c r="O757" t="s">
        <v>41</v>
      </c>
      <c r="P757" t="s">
        <v>41</v>
      </c>
      <c r="Q757" s="2"/>
      <c r="R757" s="2"/>
      <c r="S757" t="s">
        <v>255</v>
      </c>
      <c r="T757" t="s">
        <v>41</v>
      </c>
      <c r="U757" t="s">
        <v>41</v>
      </c>
      <c r="V757" s="2"/>
      <c r="W757" s="2"/>
      <c r="X757" t="s">
        <v>3490</v>
      </c>
      <c r="Y757">
        <v>20</v>
      </c>
      <c r="Z757">
        <v>3007.355</v>
      </c>
      <c r="AA757" s="2"/>
      <c r="AB757" s="2"/>
      <c r="AC757" t="s">
        <v>3459</v>
      </c>
      <c r="AD757">
        <v>22.59</v>
      </c>
      <c r="AE757">
        <v>3052.142</v>
      </c>
      <c r="AF757" s="2">
        <f t="shared" si="51"/>
        <v>0.1295</v>
      </c>
      <c r="AG757" s="2">
        <f t="shared" si="52"/>
        <v>0.0148924885821593</v>
      </c>
      <c r="AH757" t="s">
        <v>99</v>
      </c>
      <c r="AI757" t="s">
        <v>3019</v>
      </c>
      <c r="AJ757" t="s">
        <v>625</v>
      </c>
    </row>
    <row r="758" hidden="1" spans="1:36">
      <c r="A758">
        <v>123038</v>
      </c>
      <c r="B758" t="s">
        <v>3493</v>
      </c>
      <c r="C758">
        <v>300545</v>
      </c>
      <c r="D758" t="s">
        <v>3494</v>
      </c>
      <c r="E758" t="s">
        <v>3245</v>
      </c>
      <c r="F758" t="s">
        <v>41</v>
      </c>
      <c r="G758" t="s">
        <v>3495</v>
      </c>
      <c r="H758" t="s">
        <v>621</v>
      </c>
      <c r="I758" t="s">
        <v>255</v>
      </c>
      <c r="J758" t="s">
        <v>255</v>
      </c>
      <c r="K758" t="s">
        <v>255</v>
      </c>
      <c r="L758" t="s">
        <v>41</v>
      </c>
      <c r="M758" t="s">
        <v>41</v>
      </c>
      <c r="N758" t="s">
        <v>255</v>
      </c>
      <c r="O758" t="s">
        <v>41</v>
      </c>
      <c r="P758" t="s">
        <v>41</v>
      </c>
      <c r="Q758" s="2"/>
      <c r="R758" s="2"/>
      <c r="S758" t="s">
        <v>255</v>
      </c>
      <c r="T758" t="s">
        <v>41</v>
      </c>
      <c r="U758" t="s">
        <v>41</v>
      </c>
      <c r="V758" s="2"/>
      <c r="W758" s="2"/>
      <c r="X758" t="s">
        <v>3495</v>
      </c>
      <c r="Y758">
        <v>24.85</v>
      </c>
      <c r="Z758">
        <v>2981.881</v>
      </c>
      <c r="AA758" s="2"/>
      <c r="AB758" s="2"/>
      <c r="AC758" t="s">
        <v>3481</v>
      </c>
      <c r="AD758">
        <v>34.93</v>
      </c>
      <c r="AE758">
        <v>3060.755</v>
      </c>
      <c r="AF758" s="2">
        <f t="shared" si="51"/>
        <v>0.405633802816901</v>
      </c>
      <c r="AG758" s="2">
        <f t="shared" si="52"/>
        <v>0.0264510890944341</v>
      </c>
      <c r="AH758" t="s">
        <v>99</v>
      </c>
      <c r="AI758" t="s">
        <v>436</v>
      </c>
      <c r="AJ758" t="s">
        <v>625</v>
      </c>
    </row>
    <row r="759" hidden="1" spans="1:36">
      <c r="A759">
        <v>128088</v>
      </c>
      <c r="B759" t="s">
        <v>3496</v>
      </c>
      <c r="C759">
        <v>2916</v>
      </c>
      <c r="D759" t="s">
        <v>3497</v>
      </c>
      <c r="E759" t="s">
        <v>1798</v>
      </c>
      <c r="F759" t="s">
        <v>41</v>
      </c>
      <c r="G759" t="s">
        <v>3498</v>
      </c>
      <c r="H759" t="s">
        <v>621</v>
      </c>
      <c r="I759" t="s">
        <v>255</v>
      </c>
      <c r="J759" t="s">
        <v>255</v>
      </c>
      <c r="K759" t="s">
        <v>255</v>
      </c>
      <c r="L759" t="s">
        <v>41</v>
      </c>
      <c r="M759" t="s">
        <v>41</v>
      </c>
      <c r="N759" t="s">
        <v>255</v>
      </c>
      <c r="O759" t="s">
        <v>41</v>
      </c>
      <c r="P759" t="s">
        <v>41</v>
      </c>
      <c r="Q759" s="2"/>
      <c r="R759" s="2"/>
      <c r="S759" t="s">
        <v>255</v>
      </c>
      <c r="T759" t="s">
        <v>41</v>
      </c>
      <c r="U759" t="s">
        <v>41</v>
      </c>
      <c r="V759" s="2"/>
      <c r="W759" s="2"/>
      <c r="X759" t="s">
        <v>3498</v>
      </c>
      <c r="Y759">
        <v>73.13</v>
      </c>
      <c r="Z759">
        <v>2982.681</v>
      </c>
      <c r="AA759" s="2"/>
      <c r="AB759" s="2"/>
      <c r="AC759" t="s">
        <v>3439</v>
      </c>
      <c r="AD759">
        <v>89.46</v>
      </c>
      <c r="AE759">
        <v>3074.081</v>
      </c>
      <c r="AF759" s="2">
        <f t="shared" si="51"/>
        <v>0.223300970873786</v>
      </c>
      <c r="AG759" s="2">
        <f t="shared" si="52"/>
        <v>0.0306435720078681</v>
      </c>
      <c r="AH759" t="s">
        <v>3499</v>
      </c>
      <c r="AI759" t="s">
        <v>3013</v>
      </c>
      <c r="AJ759" t="s">
        <v>625</v>
      </c>
    </row>
    <row r="760" hidden="1" spans="1:36">
      <c r="A760">
        <v>113030</v>
      </c>
      <c r="B760" t="s">
        <v>3500</v>
      </c>
      <c r="C760">
        <v>601515</v>
      </c>
      <c r="D760" t="s">
        <v>3501</v>
      </c>
      <c r="E760" t="s">
        <v>3502</v>
      </c>
      <c r="F760" t="s">
        <v>397</v>
      </c>
      <c r="G760" t="s">
        <v>3498</v>
      </c>
      <c r="H760" t="s">
        <v>33</v>
      </c>
      <c r="I760" t="s">
        <v>255</v>
      </c>
      <c r="J760" t="s">
        <v>255</v>
      </c>
      <c r="K760" t="s">
        <v>255</v>
      </c>
      <c r="L760" t="s">
        <v>41</v>
      </c>
      <c r="M760" t="s">
        <v>41</v>
      </c>
      <c r="N760" t="s">
        <v>255</v>
      </c>
      <c r="O760" t="s">
        <v>41</v>
      </c>
      <c r="P760" t="s">
        <v>41</v>
      </c>
      <c r="Q760" s="2"/>
      <c r="R760" s="2"/>
      <c r="S760" t="s">
        <v>255</v>
      </c>
      <c r="T760" t="s">
        <v>41</v>
      </c>
      <c r="U760" t="s">
        <v>41</v>
      </c>
      <c r="V760" s="2"/>
      <c r="W760" s="2"/>
      <c r="X760" t="s">
        <v>3498</v>
      </c>
      <c r="Y760">
        <v>4.81</v>
      </c>
      <c r="Z760">
        <v>2982.681</v>
      </c>
      <c r="AA760" s="2"/>
      <c r="AB760" s="2"/>
      <c r="AC760" t="s">
        <v>3503</v>
      </c>
      <c r="AD760">
        <v>4.93</v>
      </c>
      <c r="AE760">
        <v>3095.787</v>
      </c>
      <c r="AF760" s="2">
        <f t="shared" si="51"/>
        <v>0.024948024948025</v>
      </c>
      <c r="AG760" s="2">
        <f t="shared" si="52"/>
        <v>0.0379209174564762</v>
      </c>
      <c r="AH760" t="s">
        <v>3499</v>
      </c>
      <c r="AI760" t="s">
        <v>108</v>
      </c>
      <c r="AJ760" t="s">
        <v>3077</v>
      </c>
    </row>
    <row r="761" hidden="1" spans="1:36">
      <c r="A761">
        <v>113559</v>
      </c>
      <c r="B761" t="s">
        <v>3504</v>
      </c>
      <c r="C761">
        <v>603901</v>
      </c>
      <c r="D761" t="s">
        <v>1842</v>
      </c>
      <c r="E761" t="s">
        <v>3505</v>
      </c>
      <c r="F761" t="s">
        <v>41</v>
      </c>
      <c r="G761" t="s">
        <v>3506</v>
      </c>
      <c r="H761" t="s">
        <v>621</v>
      </c>
      <c r="I761" t="s">
        <v>255</v>
      </c>
      <c r="J761" t="s">
        <v>255</v>
      </c>
      <c r="K761" t="s">
        <v>255</v>
      </c>
      <c r="L761" t="s">
        <v>41</v>
      </c>
      <c r="M761" t="s">
        <v>41</v>
      </c>
      <c r="N761" t="s">
        <v>255</v>
      </c>
      <c r="O761" t="s">
        <v>41</v>
      </c>
      <c r="P761" t="s">
        <v>41</v>
      </c>
      <c r="Q761" s="2"/>
      <c r="R761" s="2"/>
      <c r="S761" t="s">
        <v>255</v>
      </c>
      <c r="T761" t="s">
        <v>41</v>
      </c>
      <c r="U761" t="s">
        <v>41</v>
      </c>
      <c r="V761" s="2"/>
      <c r="W761" s="2"/>
      <c r="X761" t="s">
        <v>3506</v>
      </c>
      <c r="Y761">
        <v>9.51</v>
      </c>
      <c r="Z761">
        <v>2962.751</v>
      </c>
      <c r="AA761" s="2"/>
      <c r="AB761" s="2"/>
      <c r="AC761" t="s">
        <v>3455</v>
      </c>
      <c r="AD761">
        <v>11.07</v>
      </c>
      <c r="AE761">
        <v>3092.291</v>
      </c>
      <c r="AF761" s="2">
        <f t="shared" si="51"/>
        <v>0.16403785488959</v>
      </c>
      <c r="AG761" s="2">
        <f t="shared" si="52"/>
        <v>0.0437228778253724</v>
      </c>
      <c r="AH761" t="s">
        <v>32</v>
      </c>
      <c r="AI761" t="s">
        <v>2872</v>
      </c>
      <c r="AJ761" t="s">
        <v>625</v>
      </c>
    </row>
    <row r="762" hidden="1" spans="1:36">
      <c r="A762">
        <v>110065</v>
      </c>
      <c r="B762" t="s">
        <v>3507</v>
      </c>
      <c r="C762">
        <v>600985</v>
      </c>
      <c r="D762" t="s">
        <v>1772</v>
      </c>
      <c r="E762" t="s">
        <v>3508</v>
      </c>
      <c r="F762" t="s">
        <v>41</v>
      </c>
      <c r="G762" t="s">
        <v>3506</v>
      </c>
      <c r="H762" t="s">
        <v>621</v>
      </c>
      <c r="I762" t="s">
        <v>255</v>
      </c>
      <c r="J762" t="s">
        <v>255</v>
      </c>
      <c r="K762" t="s">
        <v>255</v>
      </c>
      <c r="L762" t="s">
        <v>41</v>
      </c>
      <c r="M762" t="s">
        <v>41</v>
      </c>
      <c r="N762" t="s">
        <v>255</v>
      </c>
      <c r="O762" t="s">
        <v>41</v>
      </c>
      <c r="P762" t="s">
        <v>41</v>
      </c>
      <c r="Q762" s="2"/>
      <c r="R762" s="2"/>
      <c r="S762" t="s">
        <v>255</v>
      </c>
      <c r="T762" t="s">
        <v>41</v>
      </c>
      <c r="U762" t="s">
        <v>41</v>
      </c>
      <c r="V762" s="2"/>
      <c r="W762" s="2"/>
      <c r="X762" t="s">
        <v>3506</v>
      </c>
      <c r="Y762">
        <v>4.8</v>
      </c>
      <c r="Z762">
        <v>2962.751</v>
      </c>
      <c r="AA762" s="2"/>
      <c r="AB762" s="2"/>
      <c r="AC762" t="s">
        <v>3452</v>
      </c>
      <c r="AD762">
        <v>5.37</v>
      </c>
      <c r="AE762">
        <v>3115.57</v>
      </c>
      <c r="AF762" s="2">
        <f t="shared" si="51"/>
        <v>0.11875</v>
      </c>
      <c r="AG762" s="2">
        <f t="shared" si="52"/>
        <v>0.0515801024115762</v>
      </c>
      <c r="AH762" t="s">
        <v>32</v>
      </c>
      <c r="AI762" t="s">
        <v>2449</v>
      </c>
      <c r="AJ762" t="s">
        <v>625</v>
      </c>
    </row>
    <row r="763" hidden="1" spans="1:36">
      <c r="A763">
        <v>113558</v>
      </c>
      <c r="B763" t="s">
        <v>3509</v>
      </c>
      <c r="C763">
        <v>603218</v>
      </c>
      <c r="D763" t="s">
        <v>3510</v>
      </c>
      <c r="E763" t="s">
        <v>232</v>
      </c>
      <c r="F763" t="s">
        <v>41</v>
      </c>
      <c r="G763" t="s">
        <v>3506</v>
      </c>
      <c r="H763" t="s">
        <v>621</v>
      </c>
      <c r="I763" t="s">
        <v>255</v>
      </c>
      <c r="J763" t="s">
        <v>255</v>
      </c>
      <c r="K763" t="s">
        <v>255</v>
      </c>
      <c r="L763" t="s">
        <v>41</v>
      </c>
      <c r="M763" t="s">
        <v>41</v>
      </c>
      <c r="N763" t="s">
        <v>255</v>
      </c>
      <c r="O763" t="s">
        <v>41</v>
      </c>
      <c r="P763" t="s">
        <v>41</v>
      </c>
      <c r="Q763" s="2"/>
      <c r="R763" s="2"/>
      <c r="S763" t="s">
        <v>255</v>
      </c>
      <c r="T763" t="s">
        <v>41</v>
      </c>
      <c r="U763" t="s">
        <v>41</v>
      </c>
      <c r="V763" s="2"/>
      <c r="W763" s="2"/>
      <c r="X763" t="s">
        <v>3506</v>
      </c>
      <c r="Y763">
        <v>12.18</v>
      </c>
      <c r="Z763">
        <v>2962.751</v>
      </c>
      <c r="AA763" s="2"/>
      <c r="AB763" s="2"/>
      <c r="AC763" t="s">
        <v>3447</v>
      </c>
      <c r="AD763">
        <v>14.28</v>
      </c>
      <c r="AE763">
        <v>3106.82</v>
      </c>
      <c r="AF763" s="2">
        <f t="shared" si="51"/>
        <v>0.172413793103448</v>
      </c>
      <c r="AG763" s="2">
        <f t="shared" si="52"/>
        <v>0.0486267661372825</v>
      </c>
      <c r="AH763" t="s">
        <v>32</v>
      </c>
      <c r="AI763" t="s">
        <v>3019</v>
      </c>
      <c r="AJ763" t="s">
        <v>625</v>
      </c>
    </row>
    <row r="764" hidden="1" spans="1:36">
      <c r="A764">
        <v>110064</v>
      </c>
      <c r="B764" t="s">
        <v>3511</v>
      </c>
      <c r="C764">
        <v>600939</v>
      </c>
      <c r="D764" t="s">
        <v>3512</v>
      </c>
      <c r="E764" t="s">
        <v>3513</v>
      </c>
      <c r="F764" t="s">
        <v>98</v>
      </c>
      <c r="G764" t="s">
        <v>3514</v>
      </c>
      <c r="H764" t="s">
        <v>33</v>
      </c>
      <c r="I764" t="s">
        <v>255</v>
      </c>
      <c r="J764" t="s">
        <v>255</v>
      </c>
      <c r="K764" t="s">
        <v>255</v>
      </c>
      <c r="L764" t="s">
        <v>41</v>
      </c>
      <c r="M764" t="s">
        <v>41</v>
      </c>
      <c r="N764" t="s">
        <v>255</v>
      </c>
      <c r="O764" t="s">
        <v>41</v>
      </c>
      <c r="P764" t="s">
        <v>41</v>
      </c>
      <c r="Q764" s="2"/>
      <c r="R764" s="2"/>
      <c r="S764" t="s">
        <v>255</v>
      </c>
      <c r="T764" t="s">
        <v>41</v>
      </c>
      <c r="U764" t="s">
        <v>41</v>
      </c>
      <c r="V764" s="2"/>
      <c r="W764" s="2"/>
      <c r="X764" t="s">
        <v>3514</v>
      </c>
      <c r="Y764">
        <v>4.47</v>
      </c>
      <c r="Z764">
        <v>3004.938</v>
      </c>
      <c r="AA764" s="2"/>
      <c r="AB764" s="2"/>
      <c r="AC764" t="s">
        <v>3439</v>
      </c>
      <c r="AD764">
        <v>4.42</v>
      </c>
      <c r="AE764">
        <v>3074.081</v>
      </c>
      <c r="AF764" s="2">
        <f t="shared" si="51"/>
        <v>-0.0111856823266219</v>
      </c>
      <c r="AG764" s="2">
        <f t="shared" si="52"/>
        <v>0.0230097925481325</v>
      </c>
      <c r="AH764" t="s">
        <v>3515</v>
      </c>
      <c r="AI764" t="s">
        <v>847</v>
      </c>
      <c r="AJ764" t="s">
        <v>3077</v>
      </c>
    </row>
    <row r="765" hidden="1" spans="1:36">
      <c r="A765">
        <v>113556</v>
      </c>
      <c r="B765" t="s">
        <v>3516</v>
      </c>
      <c r="C765">
        <v>603690</v>
      </c>
      <c r="D765" t="s">
        <v>3517</v>
      </c>
      <c r="E765" t="s">
        <v>3518</v>
      </c>
      <c r="F765" t="s">
        <v>41</v>
      </c>
      <c r="G765" t="s">
        <v>3514</v>
      </c>
      <c r="H765" t="s">
        <v>621</v>
      </c>
      <c r="I765" t="s">
        <v>255</v>
      </c>
      <c r="J765" t="s">
        <v>255</v>
      </c>
      <c r="K765" t="s">
        <v>255</v>
      </c>
      <c r="L765" t="s">
        <v>41</v>
      </c>
      <c r="M765" t="s">
        <v>41</v>
      </c>
      <c r="N765" t="s">
        <v>255</v>
      </c>
      <c r="O765" t="s">
        <v>41</v>
      </c>
      <c r="P765" t="s">
        <v>41</v>
      </c>
      <c r="Q765" s="2"/>
      <c r="R765" s="2"/>
      <c r="S765" t="s">
        <v>255</v>
      </c>
      <c r="T765" t="s">
        <v>41</v>
      </c>
      <c r="U765" t="s">
        <v>41</v>
      </c>
      <c r="V765" s="2"/>
      <c r="W765" s="2"/>
      <c r="X765" t="s">
        <v>3514</v>
      </c>
      <c r="Y765">
        <v>23.59</v>
      </c>
      <c r="Z765">
        <v>3004.938</v>
      </c>
      <c r="AA765" s="2"/>
      <c r="AB765" s="2"/>
      <c r="AC765" t="s">
        <v>3519</v>
      </c>
      <c r="AD765">
        <v>26.87</v>
      </c>
      <c r="AE765">
        <v>3094.882</v>
      </c>
      <c r="AF765" s="2">
        <f t="shared" si="51"/>
        <v>0.139041966935142</v>
      </c>
      <c r="AG765" s="2">
        <f t="shared" si="52"/>
        <v>0.0299320651540897</v>
      </c>
      <c r="AH765" t="s">
        <v>208</v>
      </c>
      <c r="AI765" t="s">
        <v>2606</v>
      </c>
      <c r="AJ765" t="s">
        <v>625</v>
      </c>
    </row>
    <row r="766" hidden="1" spans="1:36">
      <c r="A766">
        <v>123037</v>
      </c>
      <c r="B766" t="s">
        <v>3520</v>
      </c>
      <c r="C766">
        <v>300260</v>
      </c>
      <c r="D766" t="s">
        <v>3521</v>
      </c>
      <c r="E766" t="s">
        <v>1516</v>
      </c>
      <c r="F766" t="s">
        <v>41</v>
      </c>
      <c r="G766" t="s">
        <v>3522</v>
      </c>
      <c r="H766" t="s">
        <v>621</v>
      </c>
      <c r="I766" t="s">
        <v>255</v>
      </c>
      <c r="J766" t="s">
        <v>255</v>
      </c>
      <c r="K766" t="s">
        <v>255</v>
      </c>
      <c r="L766" t="s">
        <v>41</v>
      </c>
      <c r="M766" t="s">
        <v>41</v>
      </c>
      <c r="N766" t="s">
        <v>255</v>
      </c>
      <c r="O766" t="s">
        <v>41</v>
      </c>
      <c r="P766" t="s">
        <v>41</v>
      </c>
      <c r="Q766" s="2"/>
      <c r="R766" s="2"/>
      <c r="S766" t="s">
        <v>255</v>
      </c>
      <c r="T766" t="s">
        <v>41</v>
      </c>
      <c r="U766" t="s">
        <v>41</v>
      </c>
      <c r="V766" s="2"/>
      <c r="W766" s="2"/>
      <c r="X766" t="s">
        <v>3522</v>
      </c>
      <c r="Y766">
        <v>6.05</v>
      </c>
      <c r="Z766">
        <v>3017.066</v>
      </c>
      <c r="AA766" s="2"/>
      <c r="AB766" s="2"/>
      <c r="AC766" t="s">
        <v>3481</v>
      </c>
      <c r="AD766">
        <v>7.04</v>
      </c>
      <c r="AE766">
        <v>3060.755</v>
      </c>
      <c r="AF766" s="2">
        <f t="shared" si="51"/>
        <v>0.163636363636364</v>
      </c>
      <c r="AG766" s="2">
        <f t="shared" si="52"/>
        <v>0.0144806245537885</v>
      </c>
      <c r="AH766" t="s">
        <v>108</v>
      </c>
      <c r="AI766" t="s">
        <v>2663</v>
      </c>
      <c r="AJ766" t="s">
        <v>625</v>
      </c>
    </row>
    <row r="767" hidden="1" spans="1:36">
      <c r="A767">
        <v>113555</v>
      </c>
      <c r="B767" t="s">
        <v>3523</v>
      </c>
      <c r="C767">
        <v>603301</v>
      </c>
      <c r="D767" t="s">
        <v>3524</v>
      </c>
      <c r="E767" t="s">
        <v>161</v>
      </c>
      <c r="F767" t="s">
        <v>41</v>
      </c>
      <c r="G767" t="s">
        <v>3522</v>
      </c>
      <c r="H767" t="s">
        <v>621</v>
      </c>
      <c r="I767" t="s">
        <v>255</v>
      </c>
      <c r="J767" t="s">
        <v>255</v>
      </c>
      <c r="K767" t="s">
        <v>255</v>
      </c>
      <c r="L767" t="s">
        <v>41</v>
      </c>
      <c r="M767" t="s">
        <v>41</v>
      </c>
      <c r="N767" t="s">
        <v>255</v>
      </c>
      <c r="O767" t="s">
        <v>41</v>
      </c>
      <c r="P767" t="s">
        <v>41</v>
      </c>
      <c r="Q767" s="2"/>
      <c r="R767" s="2"/>
      <c r="S767" t="s">
        <v>255</v>
      </c>
      <c r="T767" t="s">
        <v>41</v>
      </c>
      <c r="U767" t="s">
        <v>41</v>
      </c>
      <c r="V767" s="2"/>
      <c r="W767" s="2"/>
      <c r="X767" t="s">
        <v>3522</v>
      </c>
      <c r="Y767">
        <v>8.71</v>
      </c>
      <c r="Z767">
        <v>3017.066</v>
      </c>
      <c r="AA767" s="2"/>
      <c r="AB767" s="2"/>
      <c r="AC767" t="s">
        <v>3447</v>
      </c>
      <c r="AD767">
        <v>10.3</v>
      </c>
      <c r="AE767">
        <v>3106.82</v>
      </c>
      <c r="AF767" s="2">
        <f t="shared" si="51"/>
        <v>0.182548794489093</v>
      </c>
      <c r="AG767" s="2">
        <f t="shared" si="52"/>
        <v>0.0297487691684572</v>
      </c>
      <c r="AH767" t="s">
        <v>108</v>
      </c>
      <c r="AI767" t="s">
        <v>2735</v>
      </c>
      <c r="AJ767" t="s">
        <v>625</v>
      </c>
    </row>
    <row r="768" hidden="1" spans="1:36">
      <c r="A768">
        <v>113557</v>
      </c>
      <c r="B768" t="s">
        <v>3525</v>
      </c>
      <c r="C768">
        <v>603098</v>
      </c>
      <c r="D768" t="s">
        <v>3526</v>
      </c>
      <c r="E768" t="s">
        <v>1114</v>
      </c>
      <c r="F768" t="s">
        <v>41</v>
      </c>
      <c r="G768" t="s">
        <v>3522</v>
      </c>
      <c r="H768" t="s">
        <v>621</v>
      </c>
      <c r="I768" t="s">
        <v>255</v>
      </c>
      <c r="J768" t="s">
        <v>255</v>
      </c>
      <c r="K768" t="s">
        <v>255</v>
      </c>
      <c r="L768" t="s">
        <v>41</v>
      </c>
      <c r="M768" t="s">
        <v>41</v>
      </c>
      <c r="N768" t="s">
        <v>255</v>
      </c>
      <c r="O768" t="s">
        <v>41</v>
      </c>
      <c r="P768" t="s">
        <v>41</v>
      </c>
      <c r="Q768" s="2"/>
      <c r="R768" s="2"/>
      <c r="S768" t="s">
        <v>255</v>
      </c>
      <c r="T768" t="s">
        <v>41</v>
      </c>
      <c r="U768" t="s">
        <v>41</v>
      </c>
      <c r="V768" s="2"/>
      <c r="W768" s="2"/>
      <c r="X768" t="s">
        <v>3522</v>
      </c>
      <c r="Y768">
        <v>10.05</v>
      </c>
      <c r="Z768">
        <v>3017.066</v>
      </c>
      <c r="AA768" s="2"/>
      <c r="AB768" s="2"/>
      <c r="AC768" t="s">
        <v>3455</v>
      </c>
      <c r="AD768">
        <v>10.42</v>
      </c>
      <c r="AE768">
        <v>3092.291</v>
      </c>
      <c r="AF768" s="2">
        <f t="shared" si="51"/>
        <v>0.0368159203980099</v>
      </c>
      <c r="AG768" s="2">
        <f t="shared" si="52"/>
        <v>0.0249331635436548</v>
      </c>
      <c r="AH768" t="s">
        <v>108</v>
      </c>
      <c r="AI768" t="s">
        <v>2378</v>
      </c>
      <c r="AJ768" t="s">
        <v>625</v>
      </c>
    </row>
    <row r="769" hidden="1" spans="1:36">
      <c r="A769">
        <v>128087</v>
      </c>
      <c r="B769" t="s">
        <v>3527</v>
      </c>
      <c r="C769">
        <v>2083</v>
      </c>
      <c r="D769" t="s">
        <v>3528</v>
      </c>
      <c r="E769" t="s">
        <v>178</v>
      </c>
      <c r="F769" t="s">
        <v>41</v>
      </c>
      <c r="G769" t="s">
        <v>3529</v>
      </c>
      <c r="H769" t="s">
        <v>621</v>
      </c>
      <c r="I769" t="s">
        <v>255</v>
      </c>
      <c r="J769" t="s">
        <v>255</v>
      </c>
      <c r="K769" t="s">
        <v>255</v>
      </c>
      <c r="L769" t="s">
        <v>41</v>
      </c>
      <c r="M769" t="s">
        <v>41</v>
      </c>
      <c r="N769" t="s">
        <v>255</v>
      </c>
      <c r="O769" t="s">
        <v>41</v>
      </c>
      <c r="P769" t="s">
        <v>41</v>
      </c>
      <c r="Q769" s="2"/>
      <c r="R769" s="2"/>
      <c r="S769" t="s">
        <v>255</v>
      </c>
      <c r="T769" t="s">
        <v>41</v>
      </c>
      <c r="U769" t="s">
        <v>41</v>
      </c>
      <c r="V769" s="2"/>
      <c r="W769" s="2"/>
      <c r="X769" t="s">
        <v>3529</v>
      </c>
      <c r="Y769">
        <v>5.46</v>
      </c>
      <c r="Z769">
        <v>3022.422</v>
      </c>
      <c r="AA769" s="2"/>
      <c r="AB769" s="2"/>
      <c r="AC769" t="s">
        <v>3439</v>
      </c>
      <c r="AD769">
        <v>5.75</v>
      </c>
      <c r="AE769">
        <v>3074.081</v>
      </c>
      <c r="AF769" s="2">
        <f t="shared" si="51"/>
        <v>0.0531135531135531</v>
      </c>
      <c r="AG769" s="2">
        <f t="shared" si="52"/>
        <v>0.0170919216442972</v>
      </c>
      <c r="AH769" t="s">
        <v>131</v>
      </c>
      <c r="AI769" t="s">
        <v>205</v>
      </c>
      <c r="AJ769" t="s">
        <v>625</v>
      </c>
    </row>
    <row r="770" hidden="1" spans="1:36">
      <c r="A770">
        <v>128086</v>
      </c>
      <c r="B770" t="s">
        <v>3530</v>
      </c>
      <c r="C770">
        <v>2074</v>
      </c>
      <c r="D770" t="s">
        <v>3531</v>
      </c>
      <c r="E770" t="s">
        <v>3532</v>
      </c>
      <c r="F770" t="s">
        <v>41</v>
      </c>
      <c r="G770" t="s">
        <v>3529</v>
      </c>
      <c r="H770" t="s">
        <v>621</v>
      </c>
      <c r="I770" t="s">
        <v>255</v>
      </c>
      <c r="J770" t="s">
        <v>255</v>
      </c>
      <c r="K770" t="s">
        <v>255</v>
      </c>
      <c r="L770" t="s">
        <v>41</v>
      </c>
      <c r="M770" t="s">
        <v>41</v>
      </c>
      <c r="N770" t="s">
        <v>255</v>
      </c>
      <c r="O770" t="s">
        <v>41</v>
      </c>
      <c r="P770" t="s">
        <v>41</v>
      </c>
      <c r="Q770" s="2"/>
      <c r="R770" s="2"/>
      <c r="S770" t="s">
        <v>255</v>
      </c>
      <c r="T770" t="s">
        <v>41</v>
      </c>
      <c r="U770" t="s">
        <v>41</v>
      </c>
      <c r="V770" s="2"/>
      <c r="W770" s="2"/>
      <c r="X770" t="s">
        <v>3529</v>
      </c>
      <c r="Y770">
        <v>13.08</v>
      </c>
      <c r="Z770">
        <v>3022.422</v>
      </c>
      <c r="AA770" s="2"/>
      <c r="AB770" s="2"/>
      <c r="AC770" t="s">
        <v>3455</v>
      </c>
      <c r="AD770">
        <v>15.18</v>
      </c>
      <c r="AE770">
        <v>3092.291</v>
      </c>
      <c r="AF770" s="2">
        <f t="shared" si="51"/>
        <v>0.160550458715596</v>
      </c>
      <c r="AG770" s="2">
        <f t="shared" si="52"/>
        <v>0.0231168910231596</v>
      </c>
      <c r="AH770" t="s">
        <v>131</v>
      </c>
      <c r="AI770" t="s">
        <v>2890</v>
      </c>
      <c r="AJ770" t="s">
        <v>625</v>
      </c>
    </row>
    <row r="771" hidden="1" spans="1:36">
      <c r="A771">
        <v>113554</v>
      </c>
      <c r="B771" t="s">
        <v>3533</v>
      </c>
      <c r="C771">
        <v>603733</v>
      </c>
      <c r="D771" t="s">
        <v>2248</v>
      </c>
      <c r="E771" t="s">
        <v>3534</v>
      </c>
      <c r="F771" t="s">
        <v>41</v>
      </c>
      <c r="G771" t="s">
        <v>3535</v>
      </c>
      <c r="H771" t="s">
        <v>621</v>
      </c>
      <c r="I771" t="s">
        <v>255</v>
      </c>
      <c r="J771" t="s">
        <v>255</v>
      </c>
      <c r="K771" t="s">
        <v>255</v>
      </c>
      <c r="L771" t="s">
        <v>41</v>
      </c>
      <c r="M771" t="s">
        <v>41</v>
      </c>
      <c r="N771" t="s">
        <v>255</v>
      </c>
      <c r="O771" t="s">
        <v>41</v>
      </c>
      <c r="P771" t="s">
        <v>41</v>
      </c>
      <c r="Q771" s="2"/>
      <c r="R771" s="2"/>
      <c r="S771" t="s">
        <v>255</v>
      </c>
      <c r="T771" t="s">
        <v>41</v>
      </c>
      <c r="U771" t="s">
        <v>41</v>
      </c>
      <c r="V771" s="2"/>
      <c r="W771" s="2"/>
      <c r="X771" t="s">
        <v>3535</v>
      </c>
      <c r="Y771">
        <v>11.64</v>
      </c>
      <c r="Z771">
        <v>2984.393</v>
      </c>
      <c r="AA771" s="2"/>
      <c r="AB771" s="2"/>
      <c r="AC771" t="s">
        <v>3455</v>
      </c>
      <c r="AD771">
        <v>12.24</v>
      </c>
      <c r="AE771">
        <v>3092.291</v>
      </c>
      <c r="AF771" s="2">
        <f t="shared" ref="AF771:AF834" si="53">(AD771-Y771)/Y771</f>
        <v>0.0515463917525773</v>
      </c>
      <c r="AG771" s="2">
        <f t="shared" ref="AG771:AG834" si="54">(AE771-Z771)/Z771</f>
        <v>0.0361540856046774</v>
      </c>
      <c r="AH771" t="s">
        <v>104</v>
      </c>
      <c r="AI771" t="s">
        <v>2663</v>
      </c>
      <c r="AJ771" t="s">
        <v>625</v>
      </c>
    </row>
    <row r="772" hidden="1" spans="1:36">
      <c r="A772">
        <v>128085</v>
      </c>
      <c r="B772" t="s">
        <v>3536</v>
      </c>
      <c r="C772">
        <v>2002</v>
      </c>
      <c r="D772" t="s">
        <v>3537</v>
      </c>
      <c r="E772" t="s">
        <v>3538</v>
      </c>
      <c r="F772" t="s">
        <v>41</v>
      </c>
      <c r="G772" t="s">
        <v>3535</v>
      </c>
      <c r="H772" t="s">
        <v>621</v>
      </c>
      <c r="I772" t="s">
        <v>255</v>
      </c>
      <c r="J772" t="s">
        <v>255</v>
      </c>
      <c r="K772" t="s">
        <v>255</v>
      </c>
      <c r="L772" t="s">
        <v>41</v>
      </c>
      <c r="M772" t="s">
        <v>41</v>
      </c>
      <c r="N772" t="s">
        <v>255</v>
      </c>
      <c r="O772" t="s">
        <v>41</v>
      </c>
      <c r="P772" t="s">
        <v>41</v>
      </c>
      <c r="Q772" s="2"/>
      <c r="R772" s="2"/>
      <c r="S772" t="s">
        <v>255</v>
      </c>
      <c r="T772" t="s">
        <v>41</v>
      </c>
      <c r="U772" t="s">
        <v>41</v>
      </c>
      <c r="V772" s="2"/>
      <c r="W772" s="2"/>
      <c r="X772" t="s">
        <v>3535</v>
      </c>
      <c r="Y772">
        <v>3.94</v>
      </c>
      <c r="Z772">
        <v>2984.393</v>
      </c>
      <c r="AA772" s="2"/>
      <c r="AB772" s="2"/>
      <c r="AC772" t="s">
        <v>3539</v>
      </c>
      <c r="AD772">
        <v>4.09</v>
      </c>
      <c r="AE772">
        <v>3066.893</v>
      </c>
      <c r="AF772" s="2">
        <f t="shared" si="53"/>
        <v>0.0380710659898477</v>
      </c>
      <c r="AG772" s="2">
        <f t="shared" si="54"/>
        <v>0.0276438123263257</v>
      </c>
      <c r="AH772" t="s">
        <v>847</v>
      </c>
      <c r="AI772" t="s">
        <v>3540</v>
      </c>
      <c r="AJ772" t="s">
        <v>3022</v>
      </c>
    </row>
    <row r="773" hidden="1" spans="1:36">
      <c r="A773">
        <v>113029</v>
      </c>
      <c r="B773" t="s">
        <v>3541</v>
      </c>
      <c r="C773">
        <v>601615</v>
      </c>
      <c r="D773" t="s">
        <v>3542</v>
      </c>
      <c r="E773" t="s">
        <v>905</v>
      </c>
      <c r="F773" t="s">
        <v>41</v>
      </c>
      <c r="G773" t="s">
        <v>3535</v>
      </c>
      <c r="H773" t="s">
        <v>621</v>
      </c>
      <c r="I773" t="s">
        <v>255</v>
      </c>
      <c r="J773" t="s">
        <v>255</v>
      </c>
      <c r="K773" t="s">
        <v>255</v>
      </c>
      <c r="L773" t="s">
        <v>41</v>
      </c>
      <c r="M773" t="s">
        <v>41</v>
      </c>
      <c r="N773" t="s">
        <v>255</v>
      </c>
      <c r="O773" t="s">
        <v>41</v>
      </c>
      <c r="P773" t="s">
        <v>41</v>
      </c>
      <c r="Q773" s="2"/>
      <c r="R773" s="2"/>
      <c r="S773" t="s">
        <v>255</v>
      </c>
      <c r="T773" t="s">
        <v>41</v>
      </c>
      <c r="U773" t="s">
        <v>41</v>
      </c>
      <c r="V773" s="2"/>
      <c r="W773" s="2"/>
      <c r="X773" t="s">
        <v>3535</v>
      </c>
      <c r="Y773">
        <v>11.37</v>
      </c>
      <c r="Z773">
        <v>2984.393</v>
      </c>
      <c r="AA773" s="2"/>
      <c r="AB773" s="2"/>
      <c r="AC773" t="s">
        <v>3543</v>
      </c>
      <c r="AD773">
        <v>12.05</v>
      </c>
      <c r="AE773">
        <v>3104.802</v>
      </c>
      <c r="AF773" s="2">
        <f t="shared" si="53"/>
        <v>0.0598065083553212</v>
      </c>
      <c r="AG773" s="2">
        <f t="shared" si="54"/>
        <v>0.0403462278594006</v>
      </c>
      <c r="AH773" t="s">
        <v>104</v>
      </c>
      <c r="AI773" t="s">
        <v>3544</v>
      </c>
      <c r="AJ773" t="s">
        <v>625</v>
      </c>
    </row>
    <row r="774" hidden="1" spans="1:36">
      <c r="A774">
        <v>128084</v>
      </c>
      <c r="B774" t="s">
        <v>3545</v>
      </c>
      <c r="C774">
        <v>2745</v>
      </c>
      <c r="D774" t="s">
        <v>3546</v>
      </c>
      <c r="E774" t="s">
        <v>3547</v>
      </c>
      <c r="F774" t="s">
        <v>41</v>
      </c>
      <c r="G774" t="s">
        <v>3535</v>
      </c>
      <c r="H774" t="s">
        <v>621</v>
      </c>
      <c r="I774" t="s">
        <v>255</v>
      </c>
      <c r="J774" t="s">
        <v>255</v>
      </c>
      <c r="K774" t="s">
        <v>255</v>
      </c>
      <c r="L774" t="s">
        <v>41</v>
      </c>
      <c r="M774" t="s">
        <v>41</v>
      </c>
      <c r="N774" t="s">
        <v>255</v>
      </c>
      <c r="O774" t="s">
        <v>41</v>
      </c>
      <c r="P774" t="s">
        <v>41</v>
      </c>
      <c r="Q774" s="2"/>
      <c r="R774" s="2"/>
      <c r="S774" t="s">
        <v>255</v>
      </c>
      <c r="T774" t="s">
        <v>41</v>
      </c>
      <c r="U774" t="s">
        <v>41</v>
      </c>
      <c r="V774" s="2"/>
      <c r="W774" s="2"/>
      <c r="X774" t="s">
        <v>3535</v>
      </c>
      <c r="Y774">
        <v>12.06</v>
      </c>
      <c r="Z774">
        <v>2984.393</v>
      </c>
      <c r="AA774" s="2"/>
      <c r="AB774" s="2"/>
      <c r="AC774" t="s">
        <v>3455</v>
      </c>
      <c r="AD774">
        <v>12.42</v>
      </c>
      <c r="AE774">
        <v>3092.291</v>
      </c>
      <c r="AF774" s="2">
        <f t="shared" si="53"/>
        <v>0.0298507462686567</v>
      </c>
      <c r="AG774" s="2">
        <f t="shared" si="54"/>
        <v>0.0361540856046774</v>
      </c>
      <c r="AH774" t="s">
        <v>847</v>
      </c>
      <c r="AI774" t="s">
        <v>2663</v>
      </c>
      <c r="AJ774" t="s">
        <v>625</v>
      </c>
    </row>
    <row r="775" hidden="1" spans="1:36">
      <c r="A775">
        <v>113553</v>
      </c>
      <c r="B775" t="s">
        <v>3548</v>
      </c>
      <c r="C775">
        <v>603180</v>
      </c>
      <c r="D775" t="s">
        <v>1333</v>
      </c>
      <c r="E775" t="s">
        <v>3549</v>
      </c>
      <c r="F775" t="s">
        <v>41</v>
      </c>
      <c r="G775" t="s">
        <v>3550</v>
      </c>
      <c r="H775" t="s">
        <v>621</v>
      </c>
      <c r="I775" t="s">
        <v>255</v>
      </c>
      <c r="J775" t="s">
        <v>255</v>
      </c>
      <c r="K775" t="s">
        <v>255</v>
      </c>
      <c r="L775" t="s">
        <v>41</v>
      </c>
      <c r="M775" t="s">
        <v>41</v>
      </c>
      <c r="N775" t="s">
        <v>255</v>
      </c>
      <c r="O775" t="s">
        <v>41</v>
      </c>
      <c r="P775" t="s">
        <v>41</v>
      </c>
      <c r="Q775" s="2"/>
      <c r="R775" s="2"/>
      <c r="S775" t="s">
        <v>255</v>
      </c>
      <c r="T775" t="s">
        <v>41</v>
      </c>
      <c r="U775" t="s">
        <v>41</v>
      </c>
      <c r="V775" s="2"/>
      <c r="W775" s="2"/>
      <c r="X775" t="s">
        <v>3550</v>
      </c>
      <c r="Y775">
        <v>26.58</v>
      </c>
      <c r="Z775">
        <v>2967.676</v>
      </c>
      <c r="AA775" s="2"/>
      <c r="AB775" s="2"/>
      <c r="AC775" t="s">
        <v>3543</v>
      </c>
      <c r="AD775">
        <v>29.94</v>
      </c>
      <c r="AE775">
        <v>3104.802</v>
      </c>
      <c r="AF775" s="2">
        <f t="shared" si="53"/>
        <v>0.126410835214447</v>
      </c>
      <c r="AG775" s="2">
        <f t="shared" si="54"/>
        <v>0.0462065265884821</v>
      </c>
      <c r="AH775" t="s">
        <v>63</v>
      </c>
      <c r="AI775" t="s">
        <v>2735</v>
      </c>
      <c r="AJ775" t="s">
        <v>625</v>
      </c>
    </row>
    <row r="776" hidden="1" spans="1:36">
      <c r="A776">
        <v>110063</v>
      </c>
      <c r="B776" t="s">
        <v>3551</v>
      </c>
      <c r="C776">
        <v>600567</v>
      </c>
      <c r="D776" t="s">
        <v>3552</v>
      </c>
      <c r="E776" t="s">
        <v>3553</v>
      </c>
      <c r="F776" t="s">
        <v>397</v>
      </c>
      <c r="G776" t="s">
        <v>3550</v>
      </c>
      <c r="H776" t="s">
        <v>33</v>
      </c>
      <c r="I776" t="s">
        <v>255</v>
      </c>
      <c r="J776" t="s">
        <v>255</v>
      </c>
      <c r="K776" t="s">
        <v>255</v>
      </c>
      <c r="L776" t="s">
        <v>41</v>
      </c>
      <c r="M776" t="s">
        <v>41</v>
      </c>
      <c r="N776" t="s">
        <v>255</v>
      </c>
      <c r="O776" t="s">
        <v>41</v>
      </c>
      <c r="P776" t="s">
        <v>41</v>
      </c>
      <c r="Q776" s="2"/>
      <c r="R776" s="2"/>
      <c r="S776" t="s">
        <v>255</v>
      </c>
      <c r="T776" t="s">
        <v>41</v>
      </c>
      <c r="U776" t="s">
        <v>41</v>
      </c>
      <c r="V776" s="2"/>
      <c r="W776" s="2"/>
      <c r="X776" t="s">
        <v>3550</v>
      </c>
      <c r="Y776">
        <v>3.15</v>
      </c>
      <c r="Z776">
        <v>2967.676</v>
      </c>
      <c r="AA776" s="2"/>
      <c r="AB776" s="2"/>
      <c r="AC776" t="s">
        <v>3458</v>
      </c>
      <c r="AD776">
        <v>3.56</v>
      </c>
      <c r="AE776">
        <v>3083.786</v>
      </c>
      <c r="AF776" s="2">
        <f t="shared" si="53"/>
        <v>0.13015873015873</v>
      </c>
      <c r="AG776" s="2">
        <f t="shared" si="54"/>
        <v>0.0391248909921434</v>
      </c>
      <c r="AH776" t="s">
        <v>252</v>
      </c>
      <c r="AI776" t="s">
        <v>141</v>
      </c>
      <c r="AJ776" t="s">
        <v>3077</v>
      </c>
    </row>
    <row r="777" hidden="1" spans="1:36">
      <c r="A777">
        <v>128083</v>
      </c>
      <c r="B777" t="s">
        <v>3554</v>
      </c>
      <c r="C777">
        <v>2376</v>
      </c>
      <c r="D777" t="s">
        <v>3555</v>
      </c>
      <c r="E777" t="s">
        <v>3556</v>
      </c>
      <c r="F777" t="s">
        <v>41</v>
      </c>
      <c r="G777" t="s">
        <v>3557</v>
      </c>
      <c r="H777" t="s">
        <v>621</v>
      </c>
      <c r="I777" t="s">
        <v>255</v>
      </c>
      <c r="J777" t="s">
        <v>255</v>
      </c>
      <c r="K777" t="s">
        <v>255</v>
      </c>
      <c r="L777" t="s">
        <v>41</v>
      </c>
      <c r="M777" t="s">
        <v>41</v>
      </c>
      <c r="N777" t="s">
        <v>255</v>
      </c>
      <c r="O777" t="s">
        <v>41</v>
      </c>
      <c r="P777" t="s">
        <v>41</v>
      </c>
      <c r="Q777" s="2"/>
      <c r="R777" s="2"/>
      <c r="S777" t="s">
        <v>255</v>
      </c>
      <c r="T777" t="s">
        <v>41</v>
      </c>
      <c r="U777" t="s">
        <v>41</v>
      </c>
      <c r="V777" s="2"/>
      <c r="W777" s="2"/>
      <c r="X777" t="s">
        <v>3557</v>
      </c>
      <c r="Y777">
        <v>11.04</v>
      </c>
      <c r="Z777">
        <v>2915.698</v>
      </c>
      <c r="AA777" s="2"/>
      <c r="AB777" s="2"/>
      <c r="AC777" t="s">
        <v>3471</v>
      </c>
      <c r="AD777">
        <v>10.96</v>
      </c>
      <c r="AE777">
        <v>3050.124</v>
      </c>
      <c r="AF777" s="2">
        <f t="shared" si="53"/>
        <v>-0.00724637681159405</v>
      </c>
      <c r="AG777" s="2">
        <f t="shared" si="54"/>
        <v>0.0461042261578531</v>
      </c>
      <c r="AH777" t="s">
        <v>63</v>
      </c>
      <c r="AI777" t="s">
        <v>606</v>
      </c>
      <c r="AJ777" t="s">
        <v>625</v>
      </c>
    </row>
    <row r="778" hidden="1" spans="1:36">
      <c r="A778">
        <v>123036</v>
      </c>
      <c r="B778" t="s">
        <v>3558</v>
      </c>
      <c r="C778">
        <v>300450</v>
      </c>
      <c r="D778" t="s">
        <v>3559</v>
      </c>
      <c r="E778" t="s">
        <v>55</v>
      </c>
      <c r="F778" t="s">
        <v>41</v>
      </c>
      <c r="G778" t="s">
        <v>3560</v>
      </c>
      <c r="H778" t="s">
        <v>621</v>
      </c>
      <c r="I778" t="s">
        <v>255</v>
      </c>
      <c r="J778" t="s">
        <v>255</v>
      </c>
      <c r="K778" t="s">
        <v>255</v>
      </c>
      <c r="L778" t="s">
        <v>41</v>
      </c>
      <c r="M778" t="s">
        <v>41</v>
      </c>
      <c r="N778" t="s">
        <v>255</v>
      </c>
      <c r="O778" t="s">
        <v>41</v>
      </c>
      <c r="P778" t="s">
        <v>41</v>
      </c>
      <c r="Q778" s="2"/>
      <c r="R778" s="2"/>
      <c r="S778" t="s">
        <v>255</v>
      </c>
      <c r="T778" t="s">
        <v>41</v>
      </c>
      <c r="U778" t="s">
        <v>41</v>
      </c>
      <c r="V778" s="2"/>
      <c r="W778" s="2"/>
      <c r="X778" t="s">
        <v>3560</v>
      </c>
      <c r="Y778">
        <v>22.87</v>
      </c>
      <c r="Z778">
        <v>2924.417</v>
      </c>
      <c r="AA778" s="2"/>
      <c r="AB778" s="2"/>
      <c r="AC778" t="s">
        <v>3455</v>
      </c>
      <c r="AD778">
        <v>26.35</v>
      </c>
      <c r="AE778">
        <v>3092.291</v>
      </c>
      <c r="AF778" s="2">
        <f t="shared" si="53"/>
        <v>0.15216440752077</v>
      </c>
      <c r="AG778" s="2">
        <f t="shared" si="54"/>
        <v>0.057404262114466</v>
      </c>
      <c r="AH778" t="s">
        <v>45</v>
      </c>
      <c r="AI778" t="s">
        <v>2786</v>
      </c>
      <c r="AJ778" t="s">
        <v>625</v>
      </c>
    </row>
    <row r="779" hidden="1" spans="1:36">
      <c r="A779">
        <v>128082</v>
      </c>
      <c r="B779" t="s">
        <v>3561</v>
      </c>
      <c r="C779">
        <v>2806</v>
      </c>
      <c r="D779" t="s">
        <v>3562</v>
      </c>
      <c r="E779" t="s">
        <v>3563</v>
      </c>
      <c r="F779" t="s">
        <v>41</v>
      </c>
      <c r="G779" t="s">
        <v>3564</v>
      </c>
      <c r="H779" t="s">
        <v>621</v>
      </c>
      <c r="I779" t="s">
        <v>255</v>
      </c>
      <c r="J779" t="s">
        <v>255</v>
      </c>
      <c r="K779" t="s">
        <v>255</v>
      </c>
      <c r="L779" t="s">
        <v>41</v>
      </c>
      <c r="M779" t="s">
        <v>41</v>
      </c>
      <c r="N779" t="s">
        <v>255</v>
      </c>
      <c r="O779" t="s">
        <v>41</v>
      </c>
      <c r="P779" t="s">
        <v>41</v>
      </c>
      <c r="Q779" s="2"/>
      <c r="R779" s="2"/>
      <c r="S779" t="s">
        <v>255</v>
      </c>
      <c r="T779" t="s">
        <v>41</v>
      </c>
      <c r="U779" t="s">
        <v>41</v>
      </c>
      <c r="V779" s="2"/>
      <c r="W779" s="2"/>
      <c r="X779" t="s">
        <v>3564</v>
      </c>
      <c r="Y779">
        <v>12.68</v>
      </c>
      <c r="Z779">
        <v>2878.116</v>
      </c>
      <c r="AA779" s="2"/>
      <c r="AB779" s="2"/>
      <c r="AC779" t="s">
        <v>3565</v>
      </c>
      <c r="AD779">
        <v>14.47</v>
      </c>
      <c r="AE779">
        <v>3083.408</v>
      </c>
      <c r="AF779" s="2">
        <f t="shared" si="53"/>
        <v>0.141167192429022</v>
      </c>
      <c r="AG779" s="2">
        <f t="shared" si="54"/>
        <v>0.0713286052403725</v>
      </c>
      <c r="AH779" t="s">
        <v>224</v>
      </c>
      <c r="AI779" t="s">
        <v>472</v>
      </c>
      <c r="AJ779" t="s">
        <v>625</v>
      </c>
    </row>
    <row r="780" hidden="1" spans="1:36">
      <c r="A780">
        <v>110062</v>
      </c>
      <c r="B780" t="s">
        <v>3566</v>
      </c>
      <c r="C780">
        <v>600498</v>
      </c>
      <c r="D780" t="s">
        <v>3567</v>
      </c>
      <c r="E780" t="s">
        <v>3568</v>
      </c>
      <c r="F780" t="s">
        <v>41</v>
      </c>
      <c r="G780" t="s">
        <v>3569</v>
      </c>
      <c r="H780" t="s">
        <v>621</v>
      </c>
      <c r="I780" t="s">
        <v>255</v>
      </c>
      <c r="J780" t="s">
        <v>255</v>
      </c>
      <c r="K780" t="s">
        <v>255</v>
      </c>
      <c r="L780" t="s">
        <v>41</v>
      </c>
      <c r="M780" t="s">
        <v>41</v>
      </c>
      <c r="N780" t="s">
        <v>255</v>
      </c>
      <c r="O780" t="s">
        <v>41</v>
      </c>
      <c r="P780" t="s">
        <v>41</v>
      </c>
      <c r="Q780" s="2"/>
      <c r="R780" s="2"/>
      <c r="S780" t="s">
        <v>255</v>
      </c>
      <c r="T780" t="s">
        <v>41</v>
      </c>
      <c r="U780" t="s">
        <v>41</v>
      </c>
      <c r="V780" s="2"/>
      <c r="W780" s="2"/>
      <c r="X780" t="s">
        <v>3569</v>
      </c>
      <c r="Y780">
        <v>23.7</v>
      </c>
      <c r="Z780">
        <v>2875.807</v>
      </c>
      <c r="AA780" s="2"/>
      <c r="AB780" s="2"/>
      <c r="AC780" t="s">
        <v>3495</v>
      </c>
      <c r="AD780">
        <v>26.08</v>
      </c>
      <c r="AE780">
        <v>2981.881</v>
      </c>
      <c r="AF780" s="2">
        <f t="shared" si="53"/>
        <v>0.10042194092827</v>
      </c>
      <c r="AG780" s="2">
        <f t="shared" si="54"/>
        <v>0.0368849509024771</v>
      </c>
      <c r="AH780" t="s">
        <v>258</v>
      </c>
      <c r="AI780" t="s">
        <v>125</v>
      </c>
      <c r="AJ780" t="s">
        <v>3077</v>
      </c>
    </row>
    <row r="781" hidden="1" spans="1:36">
      <c r="A781">
        <v>113552</v>
      </c>
      <c r="B781" t="s">
        <v>3570</v>
      </c>
      <c r="C781">
        <v>603960</v>
      </c>
      <c r="D781" t="s">
        <v>3571</v>
      </c>
      <c r="E781" t="s">
        <v>3572</v>
      </c>
      <c r="F781" t="s">
        <v>41</v>
      </c>
      <c r="G781" t="s">
        <v>3569</v>
      </c>
      <c r="H781" t="s">
        <v>621</v>
      </c>
      <c r="I781" t="s">
        <v>255</v>
      </c>
      <c r="J781" t="s">
        <v>255</v>
      </c>
      <c r="K781" t="s">
        <v>255</v>
      </c>
      <c r="L781" t="s">
        <v>41</v>
      </c>
      <c r="M781" t="s">
        <v>41</v>
      </c>
      <c r="N781" t="s">
        <v>255</v>
      </c>
      <c r="O781" t="s">
        <v>41</v>
      </c>
      <c r="P781" t="s">
        <v>41</v>
      </c>
      <c r="Q781" s="2"/>
      <c r="R781" s="2"/>
      <c r="S781" t="s">
        <v>255</v>
      </c>
      <c r="T781" t="s">
        <v>41</v>
      </c>
      <c r="U781" t="s">
        <v>41</v>
      </c>
      <c r="V781" s="2"/>
      <c r="W781" s="2"/>
      <c r="X781" t="s">
        <v>3569</v>
      </c>
      <c r="Y781">
        <v>20.3</v>
      </c>
      <c r="Z781">
        <v>2875.807</v>
      </c>
      <c r="AA781" s="2"/>
      <c r="AB781" s="2"/>
      <c r="AC781" t="s">
        <v>3522</v>
      </c>
      <c r="AD781">
        <v>21.78</v>
      </c>
      <c r="AE781">
        <v>3017.066</v>
      </c>
      <c r="AF781" s="2">
        <f t="shared" si="53"/>
        <v>0.0729064039408867</v>
      </c>
      <c r="AG781" s="2">
        <f t="shared" si="54"/>
        <v>0.0491197775094087</v>
      </c>
      <c r="AH781" t="s">
        <v>3573</v>
      </c>
      <c r="AI781" t="s">
        <v>2936</v>
      </c>
      <c r="AJ781" t="s">
        <v>625</v>
      </c>
    </row>
    <row r="782" hidden="1" spans="1:36">
      <c r="A782">
        <v>128081</v>
      </c>
      <c r="B782" t="s">
        <v>3574</v>
      </c>
      <c r="C782">
        <v>2203</v>
      </c>
      <c r="D782" t="s">
        <v>3575</v>
      </c>
      <c r="E782" t="s">
        <v>3576</v>
      </c>
      <c r="F782" t="s">
        <v>41</v>
      </c>
      <c r="G782" t="s">
        <v>3577</v>
      </c>
      <c r="H782" t="s">
        <v>621</v>
      </c>
      <c r="I782" t="s">
        <v>255</v>
      </c>
      <c r="J782" t="s">
        <v>255</v>
      </c>
      <c r="K782" t="s">
        <v>255</v>
      </c>
      <c r="L782" t="s">
        <v>41</v>
      </c>
      <c r="M782" t="s">
        <v>41</v>
      </c>
      <c r="N782" t="s">
        <v>255</v>
      </c>
      <c r="O782" t="s">
        <v>41</v>
      </c>
      <c r="P782" t="s">
        <v>41</v>
      </c>
      <c r="Q782" s="2"/>
      <c r="R782" s="2"/>
      <c r="S782" t="s">
        <v>255</v>
      </c>
      <c r="T782" t="s">
        <v>41</v>
      </c>
      <c r="U782" t="s">
        <v>41</v>
      </c>
      <c r="V782" s="2"/>
      <c r="W782" s="2"/>
      <c r="X782" t="s">
        <v>3577</v>
      </c>
      <c r="Y782">
        <v>9.42</v>
      </c>
      <c r="Z782">
        <v>2903.638</v>
      </c>
      <c r="AA782" s="2"/>
      <c r="AB782" s="2"/>
      <c r="AC782" t="s">
        <v>3535</v>
      </c>
      <c r="AD782">
        <v>9.11</v>
      </c>
      <c r="AE782">
        <v>2984.393</v>
      </c>
      <c r="AF782" s="2">
        <f t="shared" si="53"/>
        <v>-0.0329087048832272</v>
      </c>
      <c r="AG782" s="2">
        <f t="shared" si="54"/>
        <v>0.0278116624730769</v>
      </c>
      <c r="AH782" t="s">
        <v>51</v>
      </c>
      <c r="AI782" t="s">
        <v>162</v>
      </c>
      <c r="AJ782" t="s">
        <v>625</v>
      </c>
    </row>
    <row r="783" hidden="1" spans="1:36">
      <c r="A783">
        <v>128080</v>
      </c>
      <c r="B783" t="s">
        <v>3578</v>
      </c>
      <c r="C783">
        <v>2352</v>
      </c>
      <c r="D783" t="s">
        <v>3579</v>
      </c>
      <c r="E783" t="s">
        <v>3580</v>
      </c>
      <c r="F783" t="s">
        <v>41</v>
      </c>
      <c r="G783" t="s">
        <v>3581</v>
      </c>
      <c r="H783" t="s">
        <v>621</v>
      </c>
      <c r="I783" t="s">
        <v>255</v>
      </c>
      <c r="J783" t="s">
        <v>255</v>
      </c>
      <c r="K783" t="s">
        <v>255</v>
      </c>
      <c r="L783" t="s">
        <v>41</v>
      </c>
      <c r="M783" t="s">
        <v>41</v>
      </c>
      <c r="N783" t="s">
        <v>255</v>
      </c>
      <c r="O783" t="s">
        <v>41</v>
      </c>
      <c r="P783" t="s">
        <v>41</v>
      </c>
      <c r="Q783" s="2"/>
      <c r="R783" s="2"/>
      <c r="S783" t="s">
        <v>255</v>
      </c>
      <c r="T783" t="s">
        <v>41</v>
      </c>
      <c r="U783" t="s">
        <v>41</v>
      </c>
      <c r="V783" s="2"/>
      <c r="W783" s="2"/>
      <c r="X783" t="s">
        <v>3581</v>
      </c>
      <c r="Y783">
        <v>35.01</v>
      </c>
      <c r="Z783">
        <v>2909.2</v>
      </c>
      <c r="AA783" s="2"/>
      <c r="AB783" s="2"/>
      <c r="AC783" t="s">
        <v>3582</v>
      </c>
      <c r="AD783">
        <v>32.69</v>
      </c>
      <c r="AE783">
        <v>2914.478</v>
      </c>
      <c r="AF783" s="2">
        <f t="shared" si="53"/>
        <v>-0.0662667809197372</v>
      </c>
      <c r="AG783" s="2">
        <f t="shared" si="54"/>
        <v>0.00181424446583262</v>
      </c>
      <c r="AH783" t="s">
        <v>38</v>
      </c>
      <c r="AI783" t="s">
        <v>3583</v>
      </c>
      <c r="AJ783" t="s">
        <v>625</v>
      </c>
    </row>
    <row r="784" hidden="1" spans="1:36">
      <c r="A784">
        <v>113550</v>
      </c>
      <c r="B784" t="s">
        <v>3584</v>
      </c>
      <c r="C784">
        <v>603035</v>
      </c>
      <c r="D784" t="s">
        <v>3585</v>
      </c>
      <c r="E784" t="s">
        <v>3310</v>
      </c>
      <c r="F784" t="s">
        <v>41</v>
      </c>
      <c r="G784" t="s">
        <v>3581</v>
      </c>
      <c r="H784" t="s">
        <v>621</v>
      </c>
      <c r="I784" t="s">
        <v>255</v>
      </c>
      <c r="J784" t="s">
        <v>255</v>
      </c>
      <c r="K784" t="s">
        <v>255</v>
      </c>
      <c r="L784" t="s">
        <v>41</v>
      </c>
      <c r="M784" t="s">
        <v>41</v>
      </c>
      <c r="N784" t="s">
        <v>255</v>
      </c>
      <c r="O784" t="s">
        <v>41</v>
      </c>
      <c r="P784" t="s">
        <v>41</v>
      </c>
      <c r="Q784" s="2"/>
      <c r="R784" s="2"/>
      <c r="S784" t="s">
        <v>255</v>
      </c>
      <c r="T784" t="s">
        <v>41</v>
      </c>
      <c r="U784" t="s">
        <v>41</v>
      </c>
      <c r="V784" s="2"/>
      <c r="W784" s="2"/>
      <c r="X784" t="s">
        <v>3581</v>
      </c>
      <c r="Y784">
        <v>7.87</v>
      </c>
      <c r="Z784">
        <v>2909.2</v>
      </c>
      <c r="AA784" s="2"/>
      <c r="AB784" s="2"/>
      <c r="AC784" t="s">
        <v>3557</v>
      </c>
      <c r="AD784">
        <v>7.99</v>
      </c>
      <c r="AE784">
        <v>2915.698</v>
      </c>
      <c r="AF784" s="2">
        <f t="shared" si="53"/>
        <v>0.0152477763659466</v>
      </c>
      <c r="AG784" s="2">
        <f t="shared" si="54"/>
        <v>0.00223360373985977</v>
      </c>
      <c r="AH784" t="s">
        <v>684</v>
      </c>
      <c r="AI784" t="s">
        <v>1964</v>
      </c>
      <c r="AJ784" t="s">
        <v>625</v>
      </c>
    </row>
    <row r="785" hidden="1" spans="1:36">
      <c r="A785">
        <v>113551</v>
      </c>
      <c r="B785" t="s">
        <v>3586</v>
      </c>
      <c r="C785">
        <v>603806</v>
      </c>
      <c r="D785" t="s">
        <v>1611</v>
      </c>
      <c r="E785" t="s">
        <v>912</v>
      </c>
      <c r="F785" t="s">
        <v>41</v>
      </c>
      <c r="G785" t="s">
        <v>3581</v>
      </c>
      <c r="H785" t="s">
        <v>621</v>
      </c>
      <c r="I785" t="s">
        <v>255</v>
      </c>
      <c r="J785" t="s">
        <v>255</v>
      </c>
      <c r="K785" t="s">
        <v>255</v>
      </c>
      <c r="L785" t="s">
        <v>41</v>
      </c>
      <c r="M785" t="s">
        <v>41</v>
      </c>
      <c r="N785" t="s">
        <v>255</v>
      </c>
      <c r="O785" t="s">
        <v>41</v>
      </c>
      <c r="P785" t="s">
        <v>41</v>
      </c>
      <c r="Q785" s="2"/>
      <c r="R785" s="2"/>
      <c r="S785" t="s">
        <v>255</v>
      </c>
      <c r="T785" t="s">
        <v>41</v>
      </c>
      <c r="U785" t="s">
        <v>41</v>
      </c>
      <c r="V785" s="2"/>
      <c r="W785" s="2"/>
      <c r="X785" t="s">
        <v>3581</v>
      </c>
      <c r="Y785">
        <v>7.97</v>
      </c>
      <c r="Z785">
        <v>2909.2</v>
      </c>
      <c r="AA785" s="2"/>
      <c r="AB785" s="2"/>
      <c r="AC785" t="s">
        <v>3560</v>
      </c>
      <c r="AD785">
        <v>8.62</v>
      </c>
      <c r="AE785">
        <v>2924.417</v>
      </c>
      <c r="AF785" s="2">
        <f t="shared" si="53"/>
        <v>0.0815558343789209</v>
      </c>
      <c r="AG785" s="2">
        <f t="shared" si="54"/>
        <v>0.00523064760071501</v>
      </c>
      <c r="AH785" t="s">
        <v>684</v>
      </c>
      <c r="AI785" t="s">
        <v>3108</v>
      </c>
      <c r="AJ785" t="s">
        <v>625</v>
      </c>
    </row>
    <row r="786" hidden="1" spans="1:36">
      <c r="A786">
        <v>113549</v>
      </c>
      <c r="B786" t="s">
        <v>3587</v>
      </c>
      <c r="C786">
        <v>603861</v>
      </c>
      <c r="D786" t="s">
        <v>3588</v>
      </c>
      <c r="E786" t="s">
        <v>214</v>
      </c>
      <c r="F786" t="s">
        <v>41</v>
      </c>
      <c r="G786" t="s">
        <v>3589</v>
      </c>
      <c r="H786" t="s">
        <v>621</v>
      </c>
      <c r="I786" t="s">
        <v>255</v>
      </c>
      <c r="J786" t="s">
        <v>255</v>
      </c>
      <c r="K786" t="s">
        <v>255</v>
      </c>
      <c r="L786" t="s">
        <v>41</v>
      </c>
      <c r="M786" t="s">
        <v>41</v>
      </c>
      <c r="N786" t="s">
        <v>255</v>
      </c>
      <c r="O786" t="s">
        <v>41</v>
      </c>
      <c r="P786" t="s">
        <v>41</v>
      </c>
      <c r="Q786" s="2"/>
      <c r="R786" s="2"/>
      <c r="S786" t="s">
        <v>255</v>
      </c>
      <c r="T786" t="s">
        <v>41</v>
      </c>
      <c r="U786" t="s">
        <v>41</v>
      </c>
      <c r="V786" s="2"/>
      <c r="W786" s="2"/>
      <c r="X786" t="s">
        <v>3589</v>
      </c>
      <c r="Y786">
        <v>8</v>
      </c>
      <c r="Z786">
        <v>2891.343</v>
      </c>
      <c r="AA786" s="2"/>
      <c r="AB786" s="2"/>
      <c r="AC786" t="s">
        <v>3560</v>
      </c>
      <c r="AD786">
        <v>7.95</v>
      </c>
      <c r="AE786">
        <v>2924.417</v>
      </c>
      <c r="AF786" s="2">
        <f t="shared" si="53"/>
        <v>-0.00624999999999998</v>
      </c>
      <c r="AG786" s="2">
        <f t="shared" si="54"/>
        <v>0.011438974898516</v>
      </c>
      <c r="AH786" t="s">
        <v>260</v>
      </c>
      <c r="AI786" t="s">
        <v>915</v>
      </c>
      <c r="AJ786" t="s">
        <v>625</v>
      </c>
    </row>
    <row r="787" hidden="1" spans="1:36">
      <c r="A787">
        <v>123035</v>
      </c>
      <c r="B787" t="s">
        <v>3590</v>
      </c>
      <c r="C787">
        <v>300296</v>
      </c>
      <c r="D787" t="s">
        <v>3591</v>
      </c>
      <c r="E787" t="s">
        <v>115</v>
      </c>
      <c r="F787" t="s">
        <v>41</v>
      </c>
      <c r="G787" t="s">
        <v>3592</v>
      </c>
      <c r="H787" t="s">
        <v>621</v>
      </c>
      <c r="I787" t="s">
        <v>255</v>
      </c>
      <c r="J787" t="s">
        <v>255</v>
      </c>
      <c r="K787" t="s">
        <v>255</v>
      </c>
      <c r="L787" t="s">
        <v>41</v>
      </c>
      <c r="M787" t="s">
        <v>41</v>
      </c>
      <c r="N787" t="s">
        <v>255</v>
      </c>
      <c r="O787" t="s">
        <v>41</v>
      </c>
      <c r="P787" t="s">
        <v>41</v>
      </c>
      <c r="Q787" s="2"/>
      <c r="R787" s="2"/>
      <c r="S787" t="s">
        <v>255</v>
      </c>
      <c r="T787" t="s">
        <v>41</v>
      </c>
      <c r="U787" t="s">
        <v>41</v>
      </c>
      <c r="V787" s="2"/>
      <c r="W787" s="2"/>
      <c r="X787" t="s">
        <v>3592</v>
      </c>
      <c r="Y787">
        <v>6.55</v>
      </c>
      <c r="Z787">
        <v>2909.87</v>
      </c>
      <c r="AA787" s="2"/>
      <c r="AB787" s="2"/>
      <c r="AC787" t="s">
        <v>3582</v>
      </c>
      <c r="AD787">
        <v>6.06</v>
      </c>
      <c r="AE787">
        <v>2914.478</v>
      </c>
      <c r="AF787" s="2">
        <f t="shared" si="53"/>
        <v>-0.0748091603053435</v>
      </c>
      <c r="AG787" s="2">
        <f t="shared" si="54"/>
        <v>0.00158357589857972</v>
      </c>
      <c r="AH787" t="s">
        <v>57</v>
      </c>
      <c r="AI787" t="s">
        <v>3593</v>
      </c>
      <c r="AJ787" t="s">
        <v>625</v>
      </c>
    </row>
    <row r="788" hidden="1" spans="1:36">
      <c r="A788">
        <v>110061</v>
      </c>
      <c r="B788" t="s">
        <v>3594</v>
      </c>
      <c r="C788">
        <v>600674</v>
      </c>
      <c r="D788" t="s">
        <v>3595</v>
      </c>
      <c r="E788" t="s">
        <v>379</v>
      </c>
      <c r="F788" t="s">
        <v>41</v>
      </c>
      <c r="G788" t="s">
        <v>3596</v>
      </c>
      <c r="H788" t="s">
        <v>621</v>
      </c>
      <c r="I788" t="s">
        <v>255</v>
      </c>
      <c r="J788" t="s">
        <v>255</v>
      </c>
      <c r="K788" t="s">
        <v>255</v>
      </c>
      <c r="L788" t="s">
        <v>41</v>
      </c>
      <c r="M788" t="s">
        <v>41</v>
      </c>
      <c r="N788" t="s">
        <v>255</v>
      </c>
      <c r="O788" t="s">
        <v>41</v>
      </c>
      <c r="P788" t="s">
        <v>41</v>
      </c>
      <c r="Q788" s="2"/>
      <c r="R788" s="2"/>
      <c r="S788" t="s">
        <v>255</v>
      </c>
      <c r="T788" t="s">
        <v>41</v>
      </c>
      <c r="U788" t="s">
        <v>41</v>
      </c>
      <c r="V788" s="2"/>
      <c r="W788" s="2"/>
      <c r="X788" t="s">
        <v>3596</v>
      </c>
      <c r="Y788">
        <v>7.22</v>
      </c>
      <c r="Z788">
        <v>2909.975</v>
      </c>
      <c r="AA788" s="2"/>
      <c r="AB788" s="2"/>
      <c r="AC788" t="s">
        <v>3569</v>
      </c>
      <c r="AD788">
        <v>7.37</v>
      </c>
      <c r="AE788">
        <v>2875.807</v>
      </c>
      <c r="AF788" s="2">
        <f t="shared" si="53"/>
        <v>0.0207756232686981</v>
      </c>
      <c r="AG788" s="2">
        <f t="shared" si="54"/>
        <v>-0.0117416816295673</v>
      </c>
      <c r="AH788" t="s">
        <v>3597</v>
      </c>
      <c r="AI788" t="s">
        <v>623</v>
      </c>
      <c r="AJ788" t="s">
        <v>625</v>
      </c>
    </row>
    <row r="789" hidden="1" spans="1:36">
      <c r="A789">
        <v>123034</v>
      </c>
      <c r="B789" t="s">
        <v>3598</v>
      </c>
      <c r="C789">
        <v>300265</v>
      </c>
      <c r="D789" t="s">
        <v>3599</v>
      </c>
      <c r="E789" t="s">
        <v>3600</v>
      </c>
      <c r="F789" t="s">
        <v>41</v>
      </c>
      <c r="G789" t="s">
        <v>3601</v>
      </c>
      <c r="H789" t="s">
        <v>621</v>
      </c>
      <c r="I789" t="s">
        <v>255</v>
      </c>
      <c r="J789" t="s">
        <v>255</v>
      </c>
      <c r="K789" t="s">
        <v>255</v>
      </c>
      <c r="L789" t="s">
        <v>41</v>
      </c>
      <c r="M789" t="s">
        <v>41</v>
      </c>
      <c r="N789" t="s">
        <v>255</v>
      </c>
      <c r="O789" t="s">
        <v>41</v>
      </c>
      <c r="P789" t="s">
        <v>41</v>
      </c>
      <c r="Q789" s="2"/>
      <c r="R789" s="2"/>
      <c r="S789" t="s">
        <v>255</v>
      </c>
      <c r="T789" t="s">
        <v>41</v>
      </c>
      <c r="U789" t="s">
        <v>41</v>
      </c>
      <c r="V789" s="2"/>
      <c r="W789" s="2"/>
      <c r="X789" t="s">
        <v>3601</v>
      </c>
      <c r="Y789">
        <v>7.63</v>
      </c>
      <c r="Z789">
        <v>2975.492</v>
      </c>
      <c r="AA789" s="2"/>
      <c r="AB789" s="2"/>
      <c r="AC789" t="s">
        <v>3602</v>
      </c>
      <c r="AD789">
        <v>7.53</v>
      </c>
      <c r="AE789">
        <v>2889.693</v>
      </c>
      <c r="AF789" s="2">
        <f t="shared" si="53"/>
        <v>-0.0131061598951507</v>
      </c>
      <c r="AG789" s="2">
        <f t="shared" si="54"/>
        <v>-0.0288352312827593</v>
      </c>
      <c r="AH789" t="s">
        <v>3603</v>
      </c>
      <c r="AI789" t="s">
        <v>166</v>
      </c>
      <c r="AJ789" t="s">
        <v>3077</v>
      </c>
    </row>
    <row r="790" hidden="1" spans="1:36">
      <c r="A790">
        <v>123033</v>
      </c>
      <c r="B790" t="s">
        <v>3604</v>
      </c>
      <c r="C790">
        <v>300748</v>
      </c>
      <c r="D790" t="s">
        <v>3605</v>
      </c>
      <c r="E790" t="s">
        <v>3606</v>
      </c>
      <c r="F790" t="s">
        <v>41</v>
      </c>
      <c r="G790" t="s">
        <v>3607</v>
      </c>
      <c r="H790" t="s">
        <v>621</v>
      </c>
      <c r="I790" t="s">
        <v>255</v>
      </c>
      <c r="J790" t="s">
        <v>255</v>
      </c>
      <c r="K790" t="s">
        <v>255</v>
      </c>
      <c r="L790" t="s">
        <v>41</v>
      </c>
      <c r="M790" t="s">
        <v>41</v>
      </c>
      <c r="N790" t="s">
        <v>255</v>
      </c>
      <c r="O790" t="s">
        <v>41</v>
      </c>
      <c r="P790" t="s">
        <v>41</v>
      </c>
      <c r="Q790" s="2"/>
      <c r="R790" s="2"/>
      <c r="S790" t="s">
        <v>255</v>
      </c>
      <c r="T790" t="s">
        <v>41</v>
      </c>
      <c r="U790" t="s">
        <v>41</v>
      </c>
      <c r="V790" s="2"/>
      <c r="W790" s="2"/>
      <c r="X790" t="s">
        <v>3607</v>
      </c>
      <c r="Y790">
        <v>14.1</v>
      </c>
      <c r="Z790">
        <v>2958.199</v>
      </c>
      <c r="AA790" s="2"/>
      <c r="AB790" s="2"/>
      <c r="AC790" t="s">
        <v>3608</v>
      </c>
      <c r="AD790">
        <v>14.69</v>
      </c>
      <c r="AE790">
        <v>2906.169</v>
      </c>
      <c r="AF790" s="2">
        <f t="shared" si="53"/>
        <v>0.0418439716312057</v>
      </c>
      <c r="AG790" s="2">
        <f t="shared" si="54"/>
        <v>-0.0175884042959923</v>
      </c>
      <c r="AH790" t="s">
        <v>136</v>
      </c>
      <c r="AI790" t="s">
        <v>3609</v>
      </c>
      <c r="AJ790" t="s">
        <v>625</v>
      </c>
    </row>
    <row r="791" hidden="1" spans="1:36">
      <c r="A791">
        <v>110059</v>
      </c>
      <c r="B791" t="s">
        <v>3610</v>
      </c>
      <c r="C791">
        <v>600000</v>
      </c>
      <c r="D791" t="s">
        <v>3611</v>
      </c>
      <c r="E791" t="s">
        <v>2196</v>
      </c>
      <c r="F791" t="s">
        <v>41</v>
      </c>
      <c r="G791" t="s">
        <v>3612</v>
      </c>
      <c r="H791" t="s">
        <v>621</v>
      </c>
      <c r="I791" t="s">
        <v>255</v>
      </c>
      <c r="J791" t="s">
        <v>255</v>
      </c>
      <c r="K791" t="s">
        <v>255</v>
      </c>
      <c r="L791" t="s">
        <v>41</v>
      </c>
      <c r="M791" t="s">
        <v>41</v>
      </c>
      <c r="N791" t="s">
        <v>255</v>
      </c>
      <c r="O791" t="s">
        <v>41</v>
      </c>
      <c r="P791" t="s">
        <v>41</v>
      </c>
      <c r="Q791" s="2"/>
      <c r="R791" s="2"/>
      <c r="S791" t="s">
        <v>255</v>
      </c>
      <c r="T791" t="s">
        <v>41</v>
      </c>
      <c r="U791" t="s">
        <v>41</v>
      </c>
      <c r="V791" s="2"/>
      <c r="W791" s="2"/>
      <c r="X791" t="s">
        <v>3612</v>
      </c>
      <c r="Y791">
        <v>10.16</v>
      </c>
      <c r="Z791">
        <v>2980.05</v>
      </c>
      <c r="AA791" s="2"/>
      <c r="AB791" s="2"/>
      <c r="AC791" t="s">
        <v>3589</v>
      </c>
      <c r="AD791">
        <v>9.61</v>
      </c>
      <c r="AE791">
        <v>2891.343</v>
      </c>
      <c r="AF791" s="2">
        <f t="shared" si="53"/>
        <v>-0.0541338582677166</v>
      </c>
      <c r="AG791" s="2">
        <f t="shared" si="54"/>
        <v>-0.0297669502189562</v>
      </c>
      <c r="AH791" t="s">
        <v>171</v>
      </c>
      <c r="AI791" t="s">
        <v>72</v>
      </c>
      <c r="AJ791" t="s">
        <v>3077</v>
      </c>
    </row>
    <row r="792" hidden="1" spans="1:36">
      <c r="A792">
        <v>113548</v>
      </c>
      <c r="B792" t="s">
        <v>3613</v>
      </c>
      <c r="C792">
        <v>603688</v>
      </c>
      <c r="D792" t="s">
        <v>3614</v>
      </c>
      <c r="E792" t="s">
        <v>1051</v>
      </c>
      <c r="F792" t="s">
        <v>41</v>
      </c>
      <c r="G792" t="s">
        <v>3612</v>
      </c>
      <c r="H792" t="s">
        <v>621</v>
      </c>
      <c r="I792" t="s">
        <v>255</v>
      </c>
      <c r="J792" t="s">
        <v>255</v>
      </c>
      <c r="K792" t="s">
        <v>255</v>
      </c>
      <c r="L792" t="s">
        <v>41</v>
      </c>
      <c r="M792" t="s">
        <v>41</v>
      </c>
      <c r="N792" t="s">
        <v>255</v>
      </c>
      <c r="O792" t="s">
        <v>41</v>
      </c>
      <c r="P792" t="s">
        <v>41</v>
      </c>
      <c r="Q792" s="2"/>
      <c r="R792" s="2"/>
      <c r="S792" t="s">
        <v>255</v>
      </c>
      <c r="T792" t="s">
        <v>41</v>
      </c>
      <c r="U792" t="s">
        <v>41</v>
      </c>
      <c r="V792" s="2"/>
      <c r="W792" s="2"/>
      <c r="X792" t="s">
        <v>3612</v>
      </c>
      <c r="Y792">
        <v>4.49</v>
      </c>
      <c r="Z792">
        <v>2980.05</v>
      </c>
      <c r="AA792" s="2"/>
      <c r="AB792" s="2"/>
      <c r="AC792" t="s">
        <v>3615</v>
      </c>
      <c r="AD792">
        <v>4.25</v>
      </c>
      <c r="AE792">
        <v>2885.288</v>
      </c>
      <c r="AF792" s="2">
        <f t="shared" si="53"/>
        <v>-0.0534521158129176</v>
      </c>
      <c r="AG792" s="2">
        <f t="shared" si="54"/>
        <v>-0.0317987953222262</v>
      </c>
      <c r="AH792" t="s">
        <v>179</v>
      </c>
      <c r="AI792" t="s">
        <v>1369</v>
      </c>
      <c r="AJ792" t="s">
        <v>625</v>
      </c>
    </row>
    <row r="793" hidden="1" spans="1:36">
      <c r="A793">
        <v>110060</v>
      </c>
      <c r="B793" t="s">
        <v>3616</v>
      </c>
      <c r="C793">
        <v>600326</v>
      </c>
      <c r="D793" t="s">
        <v>3617</v>
      </c>
      <c r="E793" t="s">
        <v>3435</v>
      </c>
      <c r="F793" t="s">
        <v>41</v>
      </c>
      <c r="G793" t="s">
        <v>3612</v>
      </c>
      <c r="H793" t="s">
        <v>621</v>
      </c>
      <c r="I793" t="s">
        <v>255</v>
      </c>
      <c r="J793" t="s">
        <v>255</v>
      </c>
      <c r="K793" t="s">
        <v>255</v>
      </c>
      <c r="L793" t="s">
        <v>41</v>
      </c>
      <c r="M793" t="s">
        <v>41</v>
      </c>
      <c r="N793" t="s">
        <v>255</v>
      </c>
      <c r="O793" t="s">
        <v>41</v>
      </c>
      <c r="P793" t="s">
        <v>41</v>
      </c>
      <c r="Q793" s="2"/>
      <c r="R793" s="2"/>
      <c r="S793" t="s">
        <v>255</v>
      </c>
      <c r="T793" t="s">
        <v>41</v>
      </c>
      <c r="U793" t="s">
        <v>41</v>
      </c>
      <c r="V793" s="2"/>
      <c r="W793" s="2"/>
      <c r="X793" t="s">
        <v>3612</v>
      </c>
      <c r="Y793">
        <v>5.22</v>
      </c>
      <c r="Z793">
        <v>2980.05</v>
      </c>
      <c r="AA793" s="2"/>
      <c r="AB793" s="2"/>
      <c r="AC793" t="s">
        <v>3602</v>
      </c>
      <c r="AD793">
        <v>5.08</v>
      </c>
      <c r="AE793">
        <v>2889.693</v>
      </c>
      <c r="AF793" s="2">
        <f t="shared" si="53"/>
        <v>-0.0268199233716474</v>
      </c>
      <c r="AG793" s="2">
        <f t="shared" si="54"/>
        <v>-0.0303206322041576</v>
      </c>
      <c r="AH793" t="s">
        <v>171</v>
      </c>
      <c r="AI793" t="s">
        <v>72</v>
      </c>
      <c r="AJ793" t="s">
        <v>3077</v>
      </c>
    </row>
    <row r="794" hidden="1" spans="1:36">
      <c r="A794">
        <v>113547</v>
      </c>
      <c r="B794" t="s">
        <v>3618</v>
      </c>
      <c r="C794">
        <v>603612</v>
      </c>
      <c r="D794" t="s">
        <v>3619</v>
      </c>
      <c r="E794" t="s">
        <v>3620</v>
      </c>
      <c r="F794" t="s">
        <v>41</v>
      </c>
      <c r="G794" t="s">
        <v>3621</v>
      </c>
      <c r="H794" t="s">
        <v>621</v>
      </c>
      <c r="I794" t="s">
        <v>255</v>
      </c>
      <c r="J794" t="s">
        <v>255</v>
      </c>
      <c r="K794" t="s">
        <v>255</v>
      </c>
      <c r="L794" t="s">
        <v>41</v>
      </c>
      <c r="M794" t="s">
        <v>41</v>
      </c>
      <c r="N794" t="s">
        <v>255</v>
      </c>
      <c r="O794" t="s">
        <v>41</v>
      </c>
      <c r="P794" t="s">
        <v>41</v>
      </c>
      <c r="Q794" s="2"/>
      <c r="R794" s="2"/>
      <c r="S794" t="s">
        <v>255</v>
      </c>
      <c r="T794" t="s">
        <v>41</v>
      </c>
      <c r="U794" t="s">
        <v>41</v>
      </c>
      <c r="V794" s="2"/>
      <c r="W794" s="2"/>
      <c r="X794" t="s">
        <v>3621</v>
      </c>
      <c r="Y794">
        <v>8.03</v>
      </c>
      <c r="Z794">
        <v>2940.922</v>
      </c>
      <c r="AA794" s="2"/>
      <c r="AB794" s="2"/>
      <c r="AC794" t="s">
        <v>3615</v>
      </c>
      <c r="AD794">
        <v>8.24</v>
      </c>
      <c r="AE794">
        <v>2885.288</v>
      </c>
      <c r="AF794" s="2">
        <f t="shared" si="53"/>
        <v>0.0261519302615194</v>
      </c>
      <c r="AG794" s="2">
        <f t="shared" si="54"/>
        <v>-0.0189171967158599</v>
      </c>
      <c r="AH794" t="s">
        <v>182</v>
      </c>
      <c r="AI794" t="s">
        <v>2739</v>
      </c>
      <c r="AJ794" t="s">
        <v>625</v>
      </c>
    </row>
    <row r="795" hidden="1" spans="1:36">
      <c r="A795">
        <v>127014</v>
      </c>
      <c r="B795" t="s">
        <v>3622</v>
      </c>
      <c r="C795">
        <v>65</v>
      </c>
      <c r="D795" t="s">
        <v>3623</v>
      </c>
      <c r="E795" t="s">
        <v>309</v>
      </c>
      <c r="F795" t="s">
        <v>41</v>
      </c>
      <c r="G795" t="s">
        <v>3621</v>
      </c>
      <c r="H795" t="s">
        <v>621</v>
      </c>
      <c r="I795" t="s">
        <v>255</v>
      </c>
      <c r="J795" t="s">
        <v>255</v>
      </c>
      <c r="K795" t="s">
        <v>255</v>
      </c>
      <c r="L795" t="s">
        <v>41</v>
      </c>
      <c r="M795" t="s">
        <v>41</v>
      </c>
      <c r="N795" t="s">
        <v>255</v>
      </c>
      <c r="O795" t="s">
        <v>41</v>
      </c>
      <c r="P795" t="s">
        <v>41</v>
      </c>
      <c r="Q795" s="2"/>
      <c r="R795" s="2"/>
      <c r="S795" t="s">
        <v>255</v>
      </c>
      <c r="T795" t="s">
        <v>41</v>
      </c>
      <c r="U795" t="s">
        <v>41</v>
      </c>
      <c r="V795" s="2"/>
      <c r="W795" s="2"/>
      <c r="X795" t="s">
        <v>3621</v>
      </c>
      <c r="Y795">
        <v>7.13</v>
      </c>
      <c r="Z795">
        <v>2940.922</v>
      </c>
      <c r="AA795" s="2"/>
      <c r="AB795" s="2"/>
      <c r="AC795" t="s">
        <v>3577</v>
      </c>
      <c r="AD795">
        <v>6.79</v>
      </c>
      <c r="AE795">
        <v>2903.638</v>
      </c>
      <c r="AF795" s="2">
        <f t="shared" si="53"/>
        <v>-0.0476858345021038</v>
      </c>
      <c r="AG795" s="2">
        <f t="shared" si="54"/>
        <v>-0.0126776568708725</v>
      </c>
      <c r="AH795" t="s">
        <v>278</v>
      </c>
      <c r="AI795" t="s">
        <v>3624</v>
      </c>
      <c r="AJ795" t="s">
        <v>625</v>
      </c>
    </row>
    <row r="796" hidden="1" spans="1:36">
      <c r="A796">
        <v>113546</v>
      </c>
      <c r="B796" t="s">
        <v>3625</v>
      </c>
      <c r="C796">
        <v>603320</v>
      </c>
      <c r="D796" t="s">
        <v>3626</v>
      </c>
      <c r="E796" t="s">
        <v>3627</v>
      </c>
      <c r="F796" t="s">
        <v>41</v>
      </c>
      <c r="G796" t="s">
        <v>3628</v>
      </c>
      <c r="H796" t="s">
        <v>621</v>
      </c>
      <c r="I796" t="s">
        <v>255</v>
      </c>
      <c r="J796" t="s">
        <v>255</v>
      </c>
      <c r="K796" t="s">
        <v>255</v>
      </c>
      <c r="L796" t="s">
        <v>41</v>
      </c>
      <c r="M796" t="s">
        <v>41</v>
      </c>
      <c r="N796" t="s">
        <v>255</v>
      </c>
      <c r="O796" t="s">
        <v>41</v>
      </c>
      <c r="P796" t="s">
        <v>41</v>
      </c>
      <c r="Q796" s="2"/>
      <c r="R796" s="2"/>
      <c r="S796" t="s">
        <v>255</v>
      </c>
      <c r="T796" t="s">
        <v>41</v>
      </c>
      <c r="U796" t="s">
        <v>41</v>
      </c>
      <c r="V796" s="2"/>
      <c r="W796" s="2"/>
      <c r="X796" t="s">
        <v>3628</v>
      </c>
      <c r="Y796">
        <v>12.97</v>
      </c>
      <c r="Z796">
        <v>2941.619</v>
      </c>
      <c r="AA796" s="2"/>
      <c r="AB796" s="2"/>
      <c r="AC796" t="s">
        <v>3577</v>
      </c>
      <c r="AD796">
        <v>11.65</v>
      </c>
      <c r="AE796">
        <v>2903.638</v>
      </c>
      <c r="AF796" s="2">
        <f t="shared" si="53"/>
        <v>-0.1017733230532</v>
      </c>
      <c r="AG796" s="2">
        <f t="shared" si="54"/>
        <v>-0.0129115973210671</v>
      </c>
      <c r="AH796" t="s">
        <v>182</v>
      </c>
      <c r="AI796" t="s">
        <v>446</v>
      </c>
      <c r="AJ796" t="s">
        <v>625</v>
      </c>
    </row>
    <row r="797" hidden="1" spans="1:36">
      <c r="A797">
        <v>128079</v>
      </c>
      <c r="B797" t="s">
        <v>3629</v>
      </c>
      <c r="C797">
        <v>2846</v>
      </c>
      <c r="D797" t="s">
        <v>3630</v>
      </c>
      <c r="E797" t="s">
        <v>3631</v>
      </c>
      <c r="F797" t="s">
        <v>41</v>
      </c>
      <c r="G797" t="s">
        <v>3632</v>
      </c>
      <c r="H797" t="s">
        <v>621</v>
      </c>
      <c r="I797" t="s">
        <v>255</v>
      </c>
      <c r="J797" t="s">
        <v>255</v>
      </c>
      <c r="K797" t="s">
        <v>255</v>
      </c>
      <c r="L797" t="s">
        <v>41</v>
      </c>
      <c r="M797" t="s">
        <v>41</v>
      </c>
      <c r="N797" t="s">
        <v>255</v>
      </c>
      <c r="O797" t="s">
        <v>41</v>
      </c>
      <c r="P797" t="s">
        <v>41</v>
      </c>
      <c r="Q797" s="2"/>
      <c r="R797" s="2"/>
      <c r="S797" t="s">
        <v>255</v>
      </c>
      <c r="T797" t="s">
        <v>41</v>
      </c>
      <c r="U797" t="s">
        <v>41</v>
      </c>
      <c r="V797" s="2"/>
      <c r="W797" s="2"/>
      <c r="X797" t="s">
        <v>3632</v>
      </c>
      <c r="Y797">
        <v>7.95</v>
      </c>
      <c r="Z797">
        <v>2939.618</v>
      </c>
      <c r="AA797" s="2"/>
      <c r="AB797" s="2"/>
      <c r="AC797" t="s">
        <v>3577</v>
      </c>
      <c r="AD797">
        <v>8.44</v>
      </c>
      <c r="AE797">
        <v>2903.638</v>
      </c>
      <c r="AF797" s="2">
        <f t="shared" si="53"/>
        <v>0.0616352201257861</v>
      </c>
      <c r="AG797" s="2">
        <f t="shared" si="54"/>
        <v>-0.012239685564587</v>
      </c>
      <c r="AH797" t="s">
        <v>3633</v>
      </c>
      <c r="AI797" t="s">
        <v>639</v>
      </c>
      <c r="AJ797" t="s">
        <v>625</v>
      </c>
    </row>
    <row r="798" hidden="1" spans="1:36">
      <c r="A798">
        <v>128078</v>
      </c>
      <c r="B798" t="s">
        <v>3634</v>
      </c>
      <c r="C798">
        <v>2368</v>
      </c>
      <c r="D798" t="s">
        <v>3635</v>
      </c>
      <c r="E798" t="s">
        <v>55</v>
      </c>
      <c r="F798" t="s">
        <v>41</v>
      </c>
      <c r="G798" t="s">
        <v>3632</v>
      </c>
      <c r="H798" t="s">
        <v>621</v>
      </c>
      <c r="I798" t="s">
        <v>255</v>
      </c>
      <c r="J798" t="s">
        <v>255</v>
      </c>
      <c r="K798" t="s">
        <v>255</v>
      </c>
      <c r="L798" t="s">
        <v>41</v>
      </c>
      <c r="M798" t="s">
        <v>41</v>
      </c>
      <c r="N798" t="s">
        <v>255</v>
      </c>
      <c r="O798" t="s">
        <v>41</v>
      </c>
      <c r="P798" t="s">
        <v>41</v>
      </c>
      <c r="Q798" s="2"/>
      <c r="R798" s="2"/>
      <c r="S798" t="s">
        <v>255</v>
      </c>
      <c r="T798" t="s">
        <v>41</v>
      </c>
      <c r="U798" t="s">
        <v>41</v>
      </c>
      <c r="V798" s="2"/>
      <c r="W798" s="2"/>
      <c r="X798" t="s">
        <v>3632</v>
      </c>
      <c r="Y798">
        <v>19.34</v>
      </c>
      <c r="Z798">
        <v>2939.618</v>
      </c>
      <c r="AA798" s="2"/>
      <c r="AB798" s="2"/>
      <c r="AC798" t="s">
        <v>3636</v>
      </c>
      <c r="AD798">
        <v>23.34</v>
      </c>
      <c r="AE798">
        <v>2964.185</v>
      </c>
      <c r="AF798" s="2">
        <f t="shared" si="53"/>
        <v>0.206825232678387</v>
      </c>
      <c r="AG798" s="2">
        <f t="shared" si="54"/>
        <v>0.0083572083175433</v>
      </c>
      <c r="AH798" t="s">
        <v>3633</v>
      </c>
      <c r="AI798" t="s">
        <v>1266</v>
      </c>
      <c r="AJ798" t="s">
        <v>625</v>
      </c>
    </row>
    <row r="799" hidden="1" spans="1:36">
      <c r="A799">
        <v>128077</v>
      </c>
      <c r="B799" t="s">
        <v>3637</v>
      </c>
      <c r="C799">
        <v>2928</v>
      </c>
      <c r="D799" t="s">
        <v>3638</v>
      </c>
      <c r="E799" t="s">
        <v>3639</v>
      </c>
      <c r="F799" t="s">
        <v>41</v>
      </c>
      <c r="G799" t="s">
        <v>3640</v>
      </c>
      <c r="H799" t="s">
        <v>621</v>
      </c>
      <c r="I799" t="s">
        <v>255</v>
      </c>
      <c r="J799" t="s">
        <v>255</v>
      </c>
      <c r="K799" t="s">
        <v>255</v>
      </c>
      <c r="L799" t="s">
        <v>41</v>
      </c>
      <c r="M799" t="s">
        <v>41</v>
      </c>
      <c r="N799" t="s">
        <v>255</v>
      </c>
      <c r="O799" t="s">
        <v>41</v>
      </c>
      <c r="P799" t="s">
        <v>41</v>
      </c>
      <c r="Q799" s="2"/>
      <c r="R799" s="2"/>
      <c r="S799" t="s">
        <v>255</v>
      </c>
      <c r="T799" t="s">
        <v>41</v>
      </c>
      <c r="U799" t="s">
        <v>41</v>
      </c>
      <c r="V799" s="2"/>
      <c r="W799" s="2"/>
      <c r="X799" t="s">
        <v>3640</v>
      </c>
      <c r="Y799">
        <v>7.09</v>
      </c>
      <c r="Z799">
        <v>2978.712</v>
      </c>
      <c r="AA799" s="2"/>
      <c r="AB799" s="2"/>
      <c r="AC799" t="s">
        <v>3641</v>
      </c>
      <c r="AD799">
        <v>7.56</v>
      </c>
      <c r="AE799">
        <v>2978.714</v>
      </c>
      <c r="AF799" s="2">
        <f t="shared" si="53"/>
        <v>0.0662905500705218</v>
      </c>
      <c r="AG799" s="2">
        <f t="shared" si="54"/>
        <v>6.71431142034781e-7</v>
      </c>
      <c r="AH799" t="s">
        <v>133</v>
      </c>
      <c r="AI799" t="s">
        <v>2734</v>
      </c>
      <c r="AJ799" t="s">
        <v>625</v>
      </c>
    </row>
    <row r="800" hidden="1" spans="1:36">
      <c r="A800">
        <v>113545</v>
      </c>
      <c r="B800" t="s">
        <v>3642</v>
      </c>
      <c r="C800">
        <v>603113</v>
      </c>
      <c r="D800" t="s">
        <v>3643</v>
      </c>
      <c r="E800" t="s">
        <v>155</v>
      </c>
      <c r="F800" t="s">
        <v>41</v>
      </c>
      <c r="G800" t="s">
        <v>3644</v>
      </c>
      <c r="H800" t="s">
        <v>621</v>
      </c>
      <c r="I800" t="s">
        <v>255</v>
      </c>
      <c r="J800" t="s">
        <v>255</v>
      </c>
      <c r="K800" t="s">
        <v>255</v>
      </c>
      <c r="L800" t="s">
        <v>41</v>
      </c>
      <c r="M800" t="s">
        <v>41</v>
      </c>
      <c r="N800" t="s">
        <v>255</v>
      </c>
      <c r="O800" t="s">
        <v>41</v>
      </c>
      <c r="P800" t="s">
        <v>41</v>
      </c>
      <c r="Q800" s="2"/>
      <c r="R800" s="2"/>
      <c r="S800" t="s">
        <v>255</v>
      </c>
      <c r="T800" t="s">
        <v>41</v>
      </c>
      <c r="U800" t="s">
        <v>41</v>
      </c>
      <c r="V800" s="2"/>
      <c r="W800" s="2"/>
      <c r="X800" t="s">
        <v>3644</v>
      </c>
      <c r="Y800">
        <v>9.8</v>
      </c>
      <c r="Z800">
        <v>3007.883</v>
      </c>
      <c r="AA800" s="2"/>
      <c r="AB800" s="2"/>
      <c r="AC800" t="s">
        <v>3641</v>
      </c>
      <c r="AD800">
        <v>9</v>
      </c>
      <c r="AE800">
        <v>2978.714</v>
      </c>
      <c r="AF800" s="2">
        <f t="shared" si="53"/>
        <v>-0.0816326530612246</v>
      </c>
      <c r="AG800" s="2">
        <f t="shared" si="54"/>
        <v>-0.00969751815479521</v>
      </c>
      <c r="AH800" t="s">
        <v>284</v>
      </c>
      <c r="AI800" t="s">
        <v>128</v>
      </c>
      <c r="AJ800" t="s">
        <v>3077</v>
      </c>
    </row>
    <row r="801" hidden="1" spans="1:36">
      <c r="A801">
        <v>128076</v>
      </c>
      <c r="B801" t="s">
        <v>3645</v>
      </c>
      <c r="C801">
        <v>2722</v>
      </c>
      <c r="D801" t="s">
        <v>3646</v>
      </c>
      <c r="E801" t="s">
        <v>3631</v>
      </c>
      <c r="F801" t="s">
        <v>41</v>
      </c>
      <c r="G801" t="s">
        <v>3644</v>
      </c>
      <c r="H801" t="s">
        <v>621</v>
      </c>
      <c r="I801" t="s">
        <v>255</v>
      </c>
      <c r="J801" t="s">
        <v>255</v>
      </c>
      <c r="K801" t="s">
        <v>255</v>
      </c>
      <c r="L801" t="s">
        <v>41</v>
      </c>
      <c r="M801" t="s">
        <v>41</v>
      </c>
      <c r="N801" t="s">
        <v>255</v>
      </c>
      <c r="O801" t="s">
        <v>41</v>
      </c>
      <c r="P801" t="s">
        <v>41</v>
      </c>
      <c r="Q801" s="2"/>
      <c r="R801" s="2"/>
      <c r="S801" t="s">
        <v>255</v>
      </c>
      <c r="T801" t="s">
        <v>41</v>
      </c>
      <c r="U801" t="s">
        <v>41</v>
      </c>
      <c r="V801" s="2"/>
      <c r="W801" s="2"/>
      <c r="X801" t="s">
        <v>3644</v>
      </c>
      <c r="Y801">
        <v>14.19</v>
      </c>
      <c r="Z801">
        <v>3007.883</v>
      </c>
      <c r="AA801" s="2"/>
      <c r="AB801" s="2"/>
      <c r="AC801" t="s">
        <v>3636</v>
      </c>
      <c r="AD801">
        <v>13.98</v>
      </c>
      <c r="AE801">
        <v>2964.185</v>
      </c>
      <c r="AF801" s="2">
        <f t="shared" si="53"/>
        <v>-0.014799154334038</v>
      </c>
      <c r="AG801" s="2">
        <f t="shared" si="54"/>
        <v>-0.0145278257166252</v>
      </c>
      <c r="AH801" t="s">
        <v>284</v>
      </c>
      <c r="AI801" t="s">
        <v>295</v>
      </c>
      <c r="AJ801" t="s">
        <v>3077</v>
      </c>
    </row>
    <row r="802" hidden="1" spans="1:36">
      <c r="A802">
        <v>123032</v>
      </c>
      <c r="B802" t="s">
        <v>3647</v>
      </c>
      <c r="C802">
        <v>300591</v>
      </c>
      <c r="D802" t="s">
        <v>3648</v>
      </c>
      <c r="E802" t="s">
        <v>3572</v>
      </c>
      <c r="F802" t="s">
        <v>41</v>
      </c>
      <c r="G802" t="s">
        <v>3649</v>
      </c>
      <c r="H802" t="s">
        <v>621</v>
      </c>
      <c r="I802" t="s">
        <v>255</v>
      </c>
      <c r="J802" t="s">
        <v>255</v>
      </c>
      <c r="K802" t="s">
        <v>255</v>
      </c>
      <c r="L802" t="s">
        <v>41</v>
      </c>
      <c r="M802" t="s">
        <v>41</v>
      </c>
      <c r="N802" t="s">
        <v>255</v>
      </c>
      <c r="O802" t="s">
        <v>41</v>
      </c>
      <c r="P802" t="s">
        <v>41</v>
      </c>
      <c r="Q802" s="2"/>
      <c r="R802" s="2"/>
      <c r="S802" t="s">
        <v>255</v>
      </c>
      <c r="T802" t="s">
        <v>41</v>
      </c>
      <c r="U802" t="s">
        <v>41</v>
      </c>
      <c r="V802" s="2"/>
      <c r="W802" s="2"/>
      <c r="X802" t="s">
        <v>3649</v>
      </c>
      <c r="Y802">
        <v>6.1</v>
      </c>
      <c r="Z802">
        <v>2973.656</v>
      </c>
      <c r="AA802" s="2"/>
      <c r="AB802" s="2"/>
      <c r="AC802" t="s">
        <v>3650</v>
      </c>
      <c r="AD802">
        <v>5.59</v>
      </c>
      <c r="AE802">
        <v>2929.056</v>
      </c>
      <c r="AF802" s="2">
        <f t="shared" si="53"/>
        <v>-0.0836065573770492</v>
      </c>
      <c r="AG802" s="2">
        <f t="shared" si="54"/>
        <v>-0.0149983723739397</v>
      </c>
      <c r="AH802" t="s">
        <v>163</v>
      </c>
      <c r="AI802" t="s">
        <v>3651</v>
      </c>
      <c r="AJ802" t="s">
        <v>625</v>
      </c>
    </row>
    <row r="803" hidden="1" spans="1:36">
      <c r="A803">
        <v>128074</v>
      </c>
      <c r="B803" t="s">
        <v>3652</v>
      </c>
      <c r="C803">
        <v>2174</v>
      </c>
      <c r="D803" t="s">
        <v>3653</v>
      </c>
      <c r="E803" t="s">
        <v>2001</v>
      </c>
      <c r="F803" t="s">
        <v>41</v>
      </c>
      <c r="G803" t="s">
        <v>3654</v>
      </c>
      <c r="H803" t="s">
        <v>621</v>
      </c>
      <c r="I803" t="s">
        <v>255</v>
      </c>
      <c r="J803" t="s">
        <v>255</v>
      </c>
      <c r="K803" t="s">
        <v>255</v>
      </c>
      <c r="L803" t="s">
        <v>41</v>
      </c>
      <c r="M803" t="s">
        <v>41</v>
      </c>
      <c r="N803" t="s">
        <v>255</v>
      </c>
      <c r="O803" t="s">
        <v>41</v>
      </c>
      <c r="P803" t="s">
        <v>41</v>
      </c>
      <c r="Q803" s="2"/>
      <c r="R803" s="2"/>
      <c r="S803" t="s">
        <v>255</v>
      </c>
      <c r="T803" t="s">
        <v>41</v>
      </c>
      <c r="U803" t="s">
        <v>41</v>
      </c>
      <c r="V803" s="2"/>
      <c r="W803" s="2"/>
      <c r="X803" t="s">
        <v>3654</v>
      </c>
      <c r="Y803">
        <v>15.99</v>
      </c>
      <c r="Z803">
        <v>2977.077</v>
      </c>
      <c r="AA803" s="2"/>
      <c r="AB803" s="2"/>
      <c r="AC803" t="s">
        <v>3632</v>
      </c>
      <c r="AD803">
        <v>16.66</v>
      </c>
      <c r="AE803">
        <v>2939.618</v>
      </c>
      <c r="AF803" s="2">
        <f t="shared" si="53"/>
        <v>0.0419011882426517</v>
      </c>
      <c r="AG803" s="2">
        <f t="shared" si="54"/>
        <v>-0.0125824760326993</v>
      </c>
      <c r="AH803" t="s">
        <v>162</v>
      </c>
      <c r="AI803" t="s">
        <v>385</v>
      </c>
      <c r="AJ803" t="s">
        <v>625</v>
      </c>
    </row>
    <row r="804" hidden="1" spans="1:36">
      <c r="A804">
        <v>128075</v>
      </c>
      <c r="B804" t="s">
        <v>3655</v>
      </c>
      <c r="C804">
        <v>2406</v>
      </c>
      <c r="D804" t="s">
        <v>3656</v>
      </c>
      <c r="E804" t="s">
        <v>3657</v>
      </c>
      <c r="F804" t="s">
        <v>41</v>
      </c>
      <c r="G804" t="s">
        <v>3654</v>
      </c>
      <c r="H804" t="s">
        <v>621</v>
      </c>
      <c r="I804" t="s">
        <v>255</v>
      </c>
      <c r="J804" t="s">
        <v>255</v>
      </c>
      <c r="K804" t="s">
        <v>255</v>
      </c>
      <c r="L804" t="s">
        <v>41</v>
      </c>
      <c r="M804" t="s">
        <v>41</v>
      </c>
      <c r="N804" t="s">
        <v>255</v>
      </c>
      <c r="O804" t="s">
        <v>41</v>
      </c>
      <c r="P804" t="s">
        <v>41</v>
      </c>
      <c r="Q804" s="2"/>
      <c r="R804" s="2"/>
      <c r="S804" t="s">
        <v>255</v>
      </c>
      <c r="T804" t="s">
        <v>41</v>
      </c>
      <c r="U804" t="s">
        <v>41</v>
      </c>
      <c r="V804" s="2"/>
      <c r="W804" s="2"/>
      <c r="X804" t="s">
        <v>3654</v>
      </c>
      <c r="Y804">
        <v>4.83</v>
      </c>
      <c r="Z804">
        <v>2977.077</v>
      </c>
      <c r="AA804" s="2"/>
      <c r="AB804" s="2"/>
      <c r="AC804" t="s">
        <v>3650</v>
      </c>
      <c r="AD804">
        <v>4.37</v>
      </c>
      <c r="AE804">
        <v>2929.056</v>
      </c>
      <c r="AF804" s="2">
        <f t="shared" si="53"/>
        <v>-0.0952380952380952</v>
      </c>
      <c r="AG804" s="2">
        <f t="shared" si="54"/>
        <v>-0.0161302512497998</v>
      </c>
      <c r="AH804" t="s">
        <v>162</v>
      </c>
      <c r="AI804" t="s">
        <v>3658</v>
      </c>
      <c r="AJ804" t="s">
        <v>625</v>
      </c>
    </row>
    <row r="805" hidden="1" spans="1:36">
      <c r="A805">
        <v>113544</v>
      </c>
      <c r="B805" t="s">
        <v>3659</v>
      </c>
      <c r="C805">
        <v>603866</v>
      </c>
      <c r="D805" t="s">
        <v>3660</v>
      </c>
      <c r="E805" t="s">
        <v>55</v>
      </c>
      <c r="F805" t="s">
        <v>41</v>
      </c>
      <c r="G805" t="s">
        <v>3661</v>
      </c>
      <c r="H805" t="s">
        <v>621</v>
      </c>
      <c r="I805" t="s">
        <v>255</v>
      </c>
      <c r="J805" t="s">
        <v>255</v>
      </c>
      <c r="K805" t="s">
        <v>255</v>
      </c>
      <c r="L805" t="s">
        <v>41</v>
      </c>
      <c r="M805" t="s">
        <v>41</v>
      </c>
      <c r="N805" t="s">
        <v>255</v>
      </c>
      <c r="O805" t="s">
        <v>41</v>
      </c>
      <c r="P805" t="s">
        <v>41</v>
      </c>
      <c r="Q805" s="2"/>
      <c r="R805" s="2"/>
      <c r="S805" t="s">
        <v>255</v>
      </c>
      <c r="T805" t="s">
        <v>41</v>
      </c>
      <c r="U805" t="s">
        <v>41</v>
      </c>
      <c r="V805" s="2"/>
      <c r="W805" s="2"/>
      <c r="X805" t="s">
        <v>3661</v>
      </c>
      <c r="Y805">
        <v>18.14</v>
      </c>
      <c r="Z805">
        <v>3006.447</v>
      </c>
      <c r="AA805" s="2"/>
      <c r="AB805" s="2"/>
      <c r="AC805" t="s">
        <v>3662</v>
      </c>
      <c r="AD805">
        <v>18.59</v>
      </c>
      <c r="AE805">
        <v>2991.046</v>
      </c>
      <c r="AF805" s="2">
        <f t="shared" si="53"/>
        <v>0.0248070562293274</v>
      </c>
      <c r="AG805" s="2">
        <f t="shared" si="54"/>
        <v>-0.00512265807446474</v>
      </c>
      <c r="AH805" t="s">
        <v>293</v>
      </c>
      <c r="AI805" t="s">
        <v>2777</v>
      </c>
      <c r="AJ805" t="s">
        <v>625</v>
      </c>
    </row>
    <row r="806" hidden="1" spans="1:36">
      <c r="A806">
        <v>123031</v>
      </c>
      <c r="B806" t="s">
        <v>3663</v>
      </c>
      <c r="C806">
        <v>300655</v>
      </c>
      <c r="D806" t="s">
        <v>2350</v>
      </c>
      <c r="E806" t="s">
        <v>3664</v>
      </c>
      <c r="F806" t="s">
        <v>41</v>
      </c>
      <c r="G806" t="s">
        <v>3665</v>
      </c>
      <c r="H806" t="s">
        <v>621</v>
      </c>
      <c r="I806" t="s">
        <v>255</v>
      </c>
      <c r="J806" t="s">
        <v>255</v>
      </c>
      <c r="K806" t="s">
        <v>255</v>
      </c>
      <c r="L806" t="s">
        <v>41</v>
      </c>
      <c r="M806" t="s">
        <v>41</v>
      </c>
      <c r="N806" t="s">
        <v>255</v>
      </c>
      <c r="O806" t="s">
        <v>41</v>
      </c>
      <c r="P806" t="s">
        <v>41</v>
      </c>
      <c r="Q806" s="2"/>
      <c r="R806" s="2"/>
      <c r="S806" t="s">
        <v>255</v>
      </c>
      <c r="T806" t="s">
        <v>41</v>
      </c>
      <c r="U806" t="s">
        <v>41</v>
      </c>
      <c r="V806" s="2"/>
      <c r="W806" s="2"/>
      <c r="X806" t="s">
        <v>3665</v>
      </c>
      <c r="Y806">
        <v>3.2</v>
      </c>
      <c r="Z806">
        <v>2890.919</v>
      </c>
      <c r="AA806" s="2"/>
      <c r="AB806" s="2"/>
      <c r="AC806" t="s">
        <v>3666</v>
      </c>
      <c r="AD806">
        <v>3.76</v>
      </c>
      <c r="AE806">
        <v>2929.088</v>
      </c>
      <c r="AF806" s="2">
        <f t="shared" si="53"/>
        <v>0.175</v>
      </c>
      <c r="AG806" s="2">
        <f t="shared" si="54"/>
        <v>0.0132030679517483</v>
      </c>
      <c r="AH806" t="s">
        <v>369</v>
      </c>
      <c r="AI806" t="s">
        <v>915</v>
      </c>
      <c r="AJ806" t="s">
        <v>3077</v>
      </c>
    </row>
    <row r="807" hidden="1" spans="1:36">
      <c r="A807">
        <v>128073</v>
      </c>
      <c r="B807" t="s">
        <v>3667</v>
      </c>
      <c r="C807">
        <v>2615</v>
      </c>
      <c r="D807" t="s">
        <v>3668</v>
      </c>
      <c r="E807" t="s">
        <v>218</v>
      </c>
      <c r="F807" t="s">
        <v>41</v>
      </c>
      <c r="G807" t="s">
        <v>3669</v>
      </c>
      <c r="H807" t="s">
        <v>621</v>
      </c>
      <c r="I807" t="s">
        <v>255</v>
      </c>
      <c r="J807" t="s">
        <v>255</v>
      </c>
      <c r="K807" t="s">
        <v>255</v>
      </c>
      <c r="L807" t="s">
        <v>41</v>
      </c>
      <c r="M807" t="s">
        <v>41</v>
      </c>
      <c r="N807" t="s">
        <v>255</v>
      </c>
      <c r="O807" t="s">
        <v>41</v>
      </c>
      <c r="P807" t="s">
        <v>41</v>
      </c>
      <c r="Q807" s="2"/>
      <c r="R807" s="2"/>
      <c r="S807" t="s">
        <v>255</v>
      </c>
      <c r="T807" t="s">
        <v>41</v>
      </c>
      <c r="U807" t="s">
        <v>41</v>
      </c>
      <c r="V807" s="2"/>
      <c r="W807" s="2"/>
      <c r="X807" t="s">
        <v>3669</v>
      </c>
      <c r="Y807">
        <v>5.23</v>
      </c>
      <c r="Z807">
        <v>2883.436</v>
      </c>
      <c r="AA807" s="2"/>
      <c r="AB807" s="2"/>
      <c r="AC807" t="s">
        <v>3670</v>
      </c>
      <c r="AD807">
        <v>5.24</v>
      </c>
      <c r="AE807">
        <v>3008.812</v>
      </c>
      <c r="AF807" s="2">
        <f t="shared" si="53"/>
        <v>0.0019120458891013</v>
      </c>
      <c r="AG807" s="2">
        <f t="shared" si="54"/>
        <v>0.0434814575388529</v>
      </c>
      <c r="AH807" t="s">
        <v>742</v>
      </c>
      <c r="AI807" t="s">
        <v>1348</v>
      </c>
      <c r="AJ807" t="s">
        <v>625</v>
      </c>
    </row>
    <row r="808" hidden="1" spans="1:36">
      <c r="A808">
        <v>128072</v>
      </c>
      <c r="B808" t="s">
        <v>3671</v>
      </c>
      <c r="C808">
        <v>2842</v>
      </c>
      <c r="D808" t="s">
        <v>3672</v>
      </c>
      <c r="E808" t="s">
        <v>3673</v>
      </c>
      <c r="F808" t="s">
        <v>41</v>
      </c>
      <c r="G808" t="s">
        <v>3674</v>
      </c>
      <c r="H808" t="s">
        <v>621</v>
      </c>
      <c r="I808" t="s">
        <v>255</v>
      </c>
      <c r="J808" t="s">
        <v>255</v>
      </c>
      <c r="K808" t="s">
        <v>255</v>
      </c>
      <c r="L808" t="s">
        <v>41</v>
      </c>
      <c r="M808" t="s">
        <v>41</v>
      </c>
      <c r="N808" t="s">
        <v>255</v>
      </c>
      <c r="O808" t="s">
        <v>41</v>
      </c>
      <c r="P808" t="s">
        <v>41</v>
      </c>
      <c r="Q808" s="2"/>
      <c r="R808" s="2"/>
      <c r="S808" t="s">
        <v>255</v>
      </c>
      <c r="T808" t="s">
        <v>41</v>
      </c>
      <c r="U808" t="s">
        <v>41</v>
      </c>
      <c r="V808" s="2"/>
      <c r="W808" s="2"/>
      <c r="X808" t="s">
        <v>3674</v>
      </c>
      <c r="Y808">
        <v>15.71</v>
      </c>
      <c r="Z808">
        <v>2880.001</v>
      </c>
      <c r="AA808" s="2"/>
      <c r="AB808" s="2"/>
      <c r="AC808" t="s">
        <v>3675</v>
      </c>
      <c r="AD808">
        <v>15.91</v>
      </c>
      <c r="AE808">
        <v>3030.754</v>
      </c>
      <c r="AF808" s="2">
        <f t="shared" si="53"/>
        <v>0.0127307447485677</v>
      </c>
      <c r="AG808" s="2">
        <f t="shared" si="54"/>
        <v>0.052344773491398</v>
      </c>
      <c r="AH808" t="s">
        <v>71</v>
      </c>
      <c r="AI808" t="s">
        <v>555</v>
      </c>
      <c r="AJ808" t="s">
        <v>625</v>
      </c>
    </row>
    <row r="809" hidden="1" spans="1:36">
      <c r="A809">
        <v>123030</v>
      </c>
      <c r="B809" t="s">
        <v>3676</v>
      </c>
      <c r="C809">
        <v>300040</v>
      </c>
      <c r="D809" t="s">
        <v>2732</v>
      </c>
      <c r="E809" t="s">
        <v>428</v>
      </c>
      <c r="F809" t="s">
        <v>41</v>
      </c>
      <c r="G809" t="s">
        <v>3674</v>
      </c>
      <c r="H809" t="s">
        <v>621</v>
      </c>
      <c r="I809" t="s">
        <v>255</v>
      </c>
      <c r="J809" t="s">
        <v>255</v>
      </c>
      <c r="K809" t="s">
        <v>255</v>
      </c>
      <c r="L809" t="s">
        <v>41</v>
      </c>
      <c r="M809" t="s">
        <v>41</v>
      </c>
      <c r="N809" t="s">
        <v>255</v>
      </c>
      <c r="O809" t="s">
        <v>41</v>
      </c>
      <c r="P809" t="s">
        <v>41</v>
      </c>
      <c r="Q809" s="2"/>
      <c r="R809" s="2"/>
      <c r="S809" t="s">
        <v>255</v>
      </c>
      <c r="T809" t="s">
        <v>41</v>
      </c>
      <c r="U809" t="s">
        <v>41</v>
      </c>
      <c r="V809" s="2"/>
      <c r="W809" s="2"/>
      <c r="X809" t="s">
        <v>3674</v>
      </c>
      <c r="Y809">
        <v>3.73</v>
      </c>
      <c r="Z809">
        <v>2880.001</v>
      </c>
      <c r="AA809" s="2"/>
      <c r="AB809" s="2"/>
      <c r="AC809" t="s">
        <v>3677</v>
      </c>
      <c r="AD809">
        <v>4.03</v>
      </c>
      <c r="AE809">
        <v>3031.235</v>
      </c>
      <c r="AF809" s="2">
        <f t="shared" si="53"/>
        <v>0.0804289544235926</v>
      </c>
      <c r="AG809" s="2">
        <f t="shared" si="54"/>
        <v>0.052511787322296</v>
      </c>
      <c r="AH809" t="s">
        <v>149</v>
      </c>
      <c r="AI809" t="s">
        <v>2322</v>
      </c>
      <c r="AJ809" t="s">
        <v>625</v>
      </c>
    </row>
    <row r="810" hidden="1" spans="1:36">
      <c r="A810">
        <v>113543</v>
      </c>
      <c r="B810" t="s">
        <v>3678</v>
      </c>
      <c r="C810">
        <v>603833</v>
      </c>
      <c r="D810" t="s">
        <v>1835</v>
      </c>
      <c r="E810" t="s">
        <v>3679</v>
      </c>
      <c r="F810" t="s">
        <v>41</v>
      </c>
      <c r="G810" t="s">
        <v>3680</v>
      </c>
      <c r="H810" t="s">
        <v>621</v>
      </c>
      <c r="I810" t="s">
        <v>255</v>
      </c>
      <c r="J810" t="s">
        <v>255</v>
      </c>
      <c r="K810" t="s">
        <v>255</v>
      </c>
      <c r="L810" t="s">
        <v>41</v>
      </c>
      <c r="M810" t="s">
        <v>41</v>
      </c>
      <c r="N810" t="s">
        <v>255</v>
      </c>
      <c r="O810" t="s">
        <v>41</v>
      </c>
      <c r="P810" t="s">
        <v>41</v>
      </c>
      <c r="Q810" s="2"/>
      <c r="R810" s="2"/>
      <c r="S810" t="s">
        <v>255</v>
      </c>
      <c r="T810" t="s">
        <v>41</v>
      </c>
      <c r="U810" t="s">
        <v>41</v>
      </c>
      <c r="V810" s="2"/>
      <c r="W810" s="2"/>
      <c r="X810" t="s">
        <v>3680</v>
      </c>
      <c r="Y810">
        <v>64.79</v>
      </c>
      <c r="Z810">
        <v>2823.824</v>
      </c>
      <c r="AA810" s="2"/>
      <c r="AB810" s="2"/>
      <c r="AC810" t="s">
        <v>3681</v>
      </c>
      <c r="AD810">
        <v>75</v>
      </c>
      <c r="AE810">
        <v>2957.412</v>
      </c>
      <c r="AF810" s="2">
        <f t="shared" si="53"/>
        <v>0.157586047229511</v>
      </c>
      <c r="AG810" s="2">
        <f t="shared" si="54"/>
        <v>0.0473074809194906</v>
      </c>
      <c r="AH810" t="s">
        <v>191</v>
      </c>
      <c r="AI810" t="s">
        <v>2476</v>
      </c>
      <c r="AJ810" t="s">
        <v>625</v>
      </c>
    </row>
    <row r="811" hidden="1" spans="1:36">
      <c r="A811">
        <v>123029</v>
      </c>
      <c r="B811" t="s">
        <v>3682</v>
      </c>
      <c r="C811">
        <v>300677</v>
      </c>
      <c r="D811" t="s">
        <v>3683</v>
      </c>
      <c r="E811" t="s">
        <v>959</v>
      </c>
      <c r="F811" t="s">
        <v>41</v>
      </c>
      <c r="G811" t="s">
        <v>3680</v>
      </c>
      <c r="H811" t="s">
        <v>621</v>
      </c>
      <c r="I811" t="s">
        <v>255</v>
      </c>
      <c r="J811" t="s">
        <v>255</v>
      </c>
      <c r="K811" t="s">
        <v>255</v>
      </c>
      <c r="L811" t="s">
        <v>41</v>
      </c>
      <c r="M811" t="s">
        <v>41</v>
      </c>
      <c r="N811" t="s">
        <v>255</v>
      </c>
      <c r="O811" t="s">
        <v>41</v>
      </c>
      <c r="P811" t="s">
        <v>41</v>
      </c>
      <c r="Q811" s="2"/>
      <c r="R811" s="2"/>
      <c r="S811" t="s">
        <v>255</v>
      </c>
      <c r="T811" t="s">
        <v>41</v>
      </c>
      <c r="U811" t="s">
        <v>41</v>
      </c>
      <c r="V811" s="2"/>
      <c r="W811" s="2"/>
      <c r="X811" t="s">
        <v>3680</v>
      </c>
      <c r="Y811">
        <v>3.06</v>
      </c>
      <c r="Z811">
        <v>2823.824</v>
      </c>
      <c r="AA811" s="2"/>
      <c r="AB811" s="2"/>
      <c r="AC811" t="s">
        <v>3684</v>
      </c>
      <c r="AD811">
        <v>3.37</v>
      </c>
      <c r="AE811">
        <v>3021.202</v>
      </c>
      <c r="AF811" s="2">
        <f t="shared" si="53"/>
        <v>0.101307189542484</v>
      </c>
      <c r="AG811" s="2">
        <f t="shared" si="54"/>
        <v>0.0698974157029617</v>
      </c>
      <c r="AH811" t="s">
        <v>195</v>
      </c>
      <c r="AI811" t="s">
        <v>1785</v>
      </c>
      <c r="AJ811" t="s">
        <v>3077</v>
      </c>
    </row>
    <row r="812" hidden="1" spans="1:36">
      <c r="A812">
        <v>128071</v>
      </c>
      <c r="B812" t="s">
        <v>3685</v>
      </c>
      <c r="C812">
        <v>2228</v>
      </c>
      <c r="D812" t="s">
        <v>3686</v>
      </c>
      <c r="E812" t="s">
        <v>3687</v>
      </c>
      <c r="F812" t="s">
        <v>41</v>
      </c>
      <c r="G812" t="s">
        <v>3680</v>
      </c>
      <c r="H812" t="s">
        <v>621</v>
      </c>
      <c r="I812" t="s">
        <v>255</v>
      </c>
      <c r="J812" t="s">
        <v>255</v>
      </c>
      <c r="K812" t="s">
        <v>255</v>
      </c>
      <c r="L812" t="s">
        <v>41</v>
      </c>
      <c r="M812" t="s">
        <v>41</v>
      </c>
      <c r="N812" t="s">
        <v>255</v>
      </c>
      <c r="O812" t="s">
        <v>41</v>
      </c>
      <c r="P812" t="s">
        <v>41</v>
      </c>
      <c r="Q812" s="2"/>
      <c r="R812" s="2"/>
      <c r="S812" t="s">
        <v>255</v>
      </c>
      <c r="T812" t="s">
        <v>41</v>
      </c>
      <c r="U812" t="s">
        <v>41</v>
      </c>
      <c r="V812" s="2"/>
      <c r="W812" s="2"/>
      <c r="X812" t="s">
        <v>3680</v>
      </c>
      <c r="Y812">
        <v>3.27</v>
      </c>
      <c r="Z812">
        <v>2823.824</v>
      </c>
      <c r="AA812" s="2"/>
      <c r="AB812" s="2"/>
      <c r="AC812" t="s">
        <v>3675</v>
      </c>
      <c r="AD812">
        <v>3.41</v>
      </c>
      <c r="AE812">
        <v>3030.754</v>
      </c>
      <c r="AF812" s="2">
        <f t="shared" si="53"/>
        <v>0.0428134556574924</v>
      </c>
      <c r="AG812" s="2">
        <f t="shared" si="54"/>
        <v>0.0732800627801165</v>
      </c>
      <c r="AH812" t="s">
        <v>195</v>
      </c>
      <c r="AI812" t="s">
        <v>3103</v>
      </c>
      <c r="AJ812" t="s">
        <v>3077</v>
      </c>
    </row>
    <row r="813" hidden="1" spans="1:36">
      <c r="A813">
        <v>113542</v>
      </c>
      <c r="B813" t="s">
        <v>3688</v>
      </c>
      <c r="C813">
        <v>603898</v>
      </c>
      <c r="D813" t="s">
        <v>3689</v>
      </c>
      <c r="E813" t="s">
        <v>170</v>
      </c>
      <c r="F813" t="s">
        <v>41</v>
      </c>
      <c r="G813" t="s">
        <v>3690</v>
      </c>
      <c r="H813" t="s">
        <v>621</v>
      </c>
      <c r="I813" t="s">
        <v>255</v>
      </c>
      <c r="J813" t="s">
        <v>255</v>
      </c>
      <c r="K813" t="s">
        <v>255</v>
      </c>
      <c r="L813" t="s">
        <v>41</v>
      </c>
      <c r="M813" t="s">
        <v>41</v>
      </c>
      <c r="N813" t="s">
        <v>255</v>
      </c>
      <c r="O813" t="s">
        <v>41</v>
      </c>
      <c r="P813" t="s">
        <v>41</v>
      </c>
      <c r="Q813" s="2"/>
      <c r="R813" s="2"/>
      <c r="S813" t="s">
        <v>255</v>
      </c>
      <c r="T813" t="s">
        <v>41</v>
      </c>
      <c r="U813" t="s">
        <v>41</v>
      </c>
      <c r="V813" s="2"/>
      <c r="W813" s="2"/>
      <c r="X813" t="s">
        <v>3690</v>
      </c>
      <c r="Y813">
        <v>14.72</v>
      </c>
      <c r="Z813">
        <v>2908.766</v>
      </c>
      <c r="AA813" s="2"/>
      <c r="AB813" s="2"/>
      <c r="AC813" t="s">
        <v>3691</v>
      </c>
      <c r="AD813">
        <v>13.6</v>
      </c>
      <c r="AE813">
        <v>2897.425</v>
      </c>
      <c r="AF813" s="2">
        <f t="shared" si="53"/>
        <v>-0.0760869565217392</v>
      </c>
      <c r="AG813" s="2">
        <f t="shared" si="54"/>
        <v>-0.00389890420886379</v>
      </c>
      <c r="AH813" t="s">
        <v>198</v>
      </c>
      <c r="AI813" t="s">
        <v>464</v>
      </c>
      <c r="AJ813" t="s">
        <v>3077</v>
      </c>
    </row>
    <row r="814" hidden="1" spans="1:36">
      <c r="A814">
        <v>113541</v>
      </c>
      <c r="B814" t="s">
        <v>3692</v>
      </c>
      <c r="C814">
        <v>603165</v>
      </c>
      <c r="D814" t="s">
        <v>1094</v>
      </c>
      <c r="E814" t="s">
        <v>80</v>
      </c>
      <c r="F814" t="s">
        <v>41</v>
      </c>
      <c r="G814" t="s">
        <v>3693</v>
      </c>
      <c r="H814" t="s">
        <v>621</v>
      </c>
      <c r="I814" t="s">
        <v>255</v>
      </c>
      <c r="J814" t="s">
        <v>255</v>
      </c>
      <c r="K814" t="s">
        <v>255</v>
      </c>
      <c r="L814" t="s">
        <v>41</v>
      </c>
      <c r="M814" t="s">
        <v>41</v>
      </c>
      <c r="N814" t="s">
        <v>255</v>
      </c>
      <c r="O814" t="s">
        <v>41</v>
      </c>
      <c r="P814" t="s">
        <v>41</v>
      </c>
      <c r="Q814" s="2"/>
      <c r="R814" s="2"/>
      <c r="S814" t="s">
        <v>255</v>
      </c>
      <c r="T814" t="s">
        <v>41</v>
      </c>
      <c r="U814" t="s">
        <v>41</v>
      </c>
      <c r="V814" s="2"/>
      <c r="W814" s="2"/>
      <c r="X814" t="s">
        <v>3693</v>
      </c>
      <c r="Y814">
        <v>9.76</v>
      </c>
      <c r="Z814">
        <v>2899.945</v>
      </c>
      <c r="AA814" s="2"/>
      <c r="AB814" s="2"/>
      <c r="AC814" t="s">
        <v>3694</v>
      </c>
      <c r="AD814">
        <v>8.93</v>
      </c>
      <c r="AE814">
        <v>2797.26</v>
      </c>
      <c r="AF814" s="2">
        <f t="shared" si="53"/>
        <v>-0.0850409836065574</v>
      </c>
      <c r="AG814" s="2">
        <f t="shared" si="54"/>
        <v>-0.0354092922451977</v>
      </c>
      <c r="AH814" t="s">
        <v>455</v>
      </c>
      <c r="AI814" t="s">
        <v>1073</v>
      </c>
      <c r="AJ814" t="s">
        <v>625</v>
      </c>
    </row>
    <row r="815" hidden="1" spans="1:36">
      <c r="A815">
        <v>113540</v>
      </c>
      <c r="B815" t="s">
        <v>3695</v>
      </c>
      <c r="C815">
        <v>603636</v>
      </c>
      <c r="D815" t="s">
        <v>3696</v>
      </c>
      <c r="E815" t="s">
        <v>885</v>
      </c>
      <c r="F815" t="s">
        <v>41</v>
      </c>
      <c r="G815" t="s">
        <v>3697</v>
      </c>
      <c r="H815" t="s">
        <v>621</v>
      </c>
      <c r="I815" t="s">
        <v>255</v>
      </c>
      <c r="J815" t="s">
        <v>255</v>
      </c>
      <c r="K815" t="s">
        <v>255</v>
      </c>
      <c r="L815" t="s">
        <v>41</v>
      </c>
      <c r="M815" t="s">
        <v>41</v>
      </c>
      <c r="N815" t="s">
        <v>255</v>
      </c>
      <c r="O815" t="s">
        <v>41</v>
      </c>
      <c r="P815" t="s">
        <v>41</v>
      </c>
      <c r="Q815" s="2"/>
      <c r="R815" s="2"/>
      <c r="S815" t="s">
        <v>255</v>
      </c>
      <c r="T815" t="s">
        <v>41</v>
      </c>
      <c r="U815" t="s">
        <v>41</v>
      </c>
      <c r="V815" s="2"/>
      <c r="W815" s="2"/>
      <c r="X815" t="s">
        <v>3697</v>
      </c>
      <c r="Y815">
        <v>9.25</v>
      </c>
      <c r="Z815">
        <v>2942.185</v>
      </c>
      <c r="AA815" s="2"/>
      <c r="AB815" s="2"/>
      <c r="AC815" t="s">
        <v>3698</v>
      </c>
      <c r="AD815">
        <v>8.75</v>
      </c>
      <c r="AE815">
        <v>2821.496</v>
      </c>
      <c r="AF815" s="2">
        <f t="shared" si="53"/>
        <v>-0.0540540540540541</v>
      </c>
      <c r="AG815" s="2">
        <f t="shared" si="54"/>
        <v>-0.0410201941754172</v>
      </c>
      <c r="AH815" t="s">
        <v>486</v>
      </c>
      <c r="AI815" t="s">
        <v>3334</v>
      </c>
      <c r="AJ815" t="s">
        <v>625</v>
      </c>
    </row>
    <row r="816" hidden="1" spans="1:36">
      <c r="A816">
        <v>113539</v>
      </c>
      <c r="B816" t="s">
        <v>3699</v>
      </c>
      <c r="C816">
        <v>603079</v>
      </c>
      <c r="D816" t="s">
        <v>3700</v>
      </c>
      <c r="E816" t="s">
        <v>3701</v>
      </c>
      <c r="F816" t="s">
        <v>41</v>
      </c>
      <c r="G816" t="s">
        <v>3702</v>
      </c>
      <c r="H816" t="s">
        <v>621</v>
      </c>
      <c r="I816" t="s">
        <v>255</v>
      </c>
      <c r="J816" t="s">
        <v>255</v>
      </c>
      <c r="K816" t="s">
        <v>255</v>
      </c>
      <c r="L816" t="s">
        <v>41</v>
      </c>
      <c r="M816" t="s">
        <v>41</v>
      </c>
      <c r="N816" t="s">
        <v>255</v>
      </c>
      <c r="O816" t="s">
        <v>41</v>
      </c>
      <c r="P816" t="s">
        <v>41</v>
      </c>
      <c r="Q816" s="2"/>
      <c r="R816" s="2"/>
      <c r="S816" t="s">
        <v>255</v>
      </c>
      <c r="T816" t="s">
        <v>41</v>
      </c>
      <c r="U816" t="s">
        <v>41</v>
      </c>
      <c r="V816" s="2"/>
      <c r="W816" s="2"/>
      <c r="X816" t="s">
        <v>3702</v>
      </c>
      <c r="Y816">
        <v>20.58</v>
      </c>
      <c r="Z816">
        <v>3015.263</v>
      </c>
      <c r="AA816" s="2"/>
      <c r="AB816" s="2"/>
      <c r="AC816" t="s">
        <v>3703</v>
      </c>
      <c r="AD816">
        <v>23.73</v>
      </c>
      <c r="AE816">
        <v>2944.541</v>
      </c>
      <c r="AF816" s="2">
        <f t="shared" si="53"/>
        <v>0.153061224489796</v>
      </c>
      <c r="AG816" s="2">
        <f t="shared" si="54"/>
        <v>-0.0234546704549486</v>
      </c>
      <c r="AH816" t="s">
        <v>3704</v>
      </c>
      <c r="AI816" t="s">
        <v>3705</v>
      </c>
      <c r="AJ816" t="s">
        <v>625</v>
      </c>
    </row>
    <row r="817" hidden="1" spans="1:36">
      <c r="A817">
        <v>128070</v>
      </c>
      <c r="B817" t="s">
        <v>3706</v>
      </c>
      <c r="C817">
        <v>2877</v>
      </c>
      <c r="D817" t="s">
        <v>3707</v>
      </c>
      <c r="E817" t="s">
        <v>3627</v>
      </c>
      <c r="F817" t="s">
        <v>41</v>
      </c>
      <c r="G817" t="s">
        <v>3708</v>
      </c>
      <c r="H817" t="s">
        <v>621</v>
      </c>
      <c r="I817" t="s">
        <v>255</v>
      </c>
      <c r="J817" t="s">
        <v>255</v>
      </c>
      <c r="K817" t="s">
        <v>255</v>
      </c>
      <c r="L817" t="s">
        <v>41</v>
      </c>
      <c r="M817" t="s">
        <v>41</v>
      </c>
      <c r="N817" t="s">
        <v>255</v>
      </c>
      <c r="O817" t="s">
        <v>41</v>
      </c>
      <c r="P817" t="s">
        <v>41</v>
      </c>
      <c r="Q817" s="2"/>
      <c r="R817" s="2"/>
      <c r="S817" t="s">
        <v>255</v>
      </c>
      <c r="T817" t="s">
        <v>41</v>
      </c>
      <c r="U817" t="s">
        <v>41</v>
      </c>
      <c r="V817" s="2"/>
      <c r="W817" s="2"/>
      <c r="X817" t="s">
        <v>3708</v>
      </c>
      <c r="Y817">
        <v>9.23</v>
      </c>
      <c r="Z817">
        <v>3043.943</v>
      </c>
      <c r="AA817" s="2"/>
      <c r="AB817" s="2"/>
      <c r="AC817" t="s">
        <v>3693</v>
      </c>
      <c r="AD817">
        <v>8.18</v>
      </c>
      <c r="AE817">
        <v>2899.945</v>
      </c>
      <c r="AF817" s="2">
        <f t="shared" si="53"/>
        <v>-0.113759479956663</v>
      </c>
      <c r="AG817" s="2">
        <f t="shared" si="54"/>
        <v>-0.0473064048834029</v>
      </c>
      <c r="AH817" t="s">
        <v>3704</v>
      </c>
      <c r="AI817" t="s">
        <v>3709</v>
      </c>
      <c r="AJ817" t="s">
        <v>3077</v>
      </c>
    </row>
    <row r="818" hidden="1" spans="1:36">
      <c r="A818">
        <v>113538</v>
      </c>
      <c r="B818" t="s">
        <v>3710</v>
      </c>
      <c r="C818">
        <v>603658</v>
      </c>
      <c r="D818" t="s">
        <v>3711</v>
      </c>
      <c r="E818" t="s">
        <v>3712</v>
      </c>
      <c r="F818" t="s">
        <v>41</v>
      </c>
      <c r="G818" t="s">
        <v>3713</v>
      </c>
      <c r="H818" t="s">
        <v>621</v>
      </c>
      <c r="I818" t="s">
        <v>255</v>
      </c>
      <c r="J818" t="s">
        <v>255</v>
      </c>
      <c r="K818" t="s">
        <v>255</v>
      </c>
      <c r="L818" t="s">
        <v>41</v>
      </c>
      <c r="M818" t="s">
        <v>41</v>
      </c>
      <c r="N818" t="s">
        <v>255</v>
      </c>
      <c r="O818" t="s">
        <v>41</v>
      </c>
      <c r="P818" t="s">
        <v>41</v>
      </c>
      <c r="Q818" s="2"/>
      <c r="R818" s="2"/>
      <c r="S818" t="s">
        <v>255</v>
      </c>
      <c r="T818" t="s">
        <v>41</v>
      </c>
      <c r="U818" t="s">
        <v>41</v>
      </c>
      <c r="V818" s="2"/>
      <c r="W818" s="2"/>
      <c r="X818" t="s">
        <v>3713</v>
      </c>
      <c r="Y818">
        <v>47.42</v>
      </c>
      <c r="Z818">
        <v>2978.878</v>
      </c>
      <c r="AA818" s="2"/>
      <c r="AB818" s="2"/>
      <c r="AC818" t="s">
        <v>3714</v>
      </c>
      <c r="AD818">
        <v>48.74</v>
      </c>
      <c r="AE818">
        <v>2886.974</v>
      </c>
      <c r="AF818" s="2">
        <f t="shared" si="53"/>
        <v>0.027836355967946</v>
      </c>
      <c r="AG818" s="2">
        <f t="shared" si="54"/>
        <v>-0.0308518845014801</v>
      </c>
      <c r="AH818" t="s">
        <v>3709</v>
      </c>
      <c r="AI818" t="s">
        <v>3715</v>
      </c>
      <c r="AJ818" t="s">
        <v>625</v>
      </c>
    </row>
    <row r="819" hidden="1" spans="1:36">
      <c r="A819">
        <v>128069</v>
      </c>
      <c r="B819" t="s">
        <v>3716</v>
      </c>
      <c r="C819">
        <v>2907</v>
      </c>
      <c r="D819" t="s">
        <v>3717</v>
      </c>
      <c r="E819" t="s">
        <v>218</v>
      </c>
      <c r="F819" t="s">
        <v>41</v>
      </c>
      <c r="G819" t="s">
        <v>3718</v>
      </c>
      <c r="H819" t="s">
        <v>621</v>
      </c>
      <c r="I819" t="s">
        <v>255</v>
      </c>
      <c r="J819" t="s">
        <v>255</v>
      </c>
      <c r="K819" t="s">
        <v>255</v>
      </c>
      <c r="L819" t="s">
        <v>41</v>
      </c>
      <c r="M819" t="s">
        <v>41</v>
      </c>
      <c r="N819" t="s">
        <v>255</v>
      </c>
      <c r="O819" t="s">
        <v>41</v>
      </c>
      <c r="P819" t="s">
        <v>41</v>
      </c>
      <c r="Q819" s="2"/>
      <c r="R819" s="2"/>
      <c r="S819" t="s">
        <v>255</v>
      </c>
      <c r="T819" t="s">
        <v>41</v>
      </c>
      <c r="U819" t="s">
        <v>41</v>
      </c>
      <c r="V819" s="2"/>
      <c r="W819" s="2"/>
      <c r="X819" t="s">
        <v>3718</v>
      </c>
      <c r="Y819">
        <v>17.6</v>
      </c>
      <c r="Z819">
        <v>3008.148</v>
      </c>
      <c r="AA819" s="2"/>
      <c r="AB819" s="2"/>
      <c r="AC819" t="s">
        <v>3719</v>
      </c>
      <c r="AD819">
        <v>16.8</v>
      </c>
      <c r="AE819">
        <v>2917.761</v>
      </c>
      <c r="AF819" s="2">
        <f t="shared" si="53"/>
        <v>-0.0454545454545455</v>
      </c>
      <c r="AG819" s="2">
        <f t="shared" si="54"/>
        <v>-0.0300473912852693</v>
      </c>
      <c r="AH819" t="s">
        <v>183</v>
      </c>
      <c r="AI819" t="s">
        <v>874</v>
      </c>
      <c r="AJ819" t="s">
        <v>625</v>
      </c>
    </row>
    <row r="820" hidden="1" spans="1:36">
      <c r="A820">
        <v>123028</v>
      </c>
      <c r="B820" t="s">
        <v>3720</v>
      </c>
      <c r="C820">
        <v>300437</v>
      </c>
      <c r="D820" t="s">
        <v>3721</v>
      </c>
      <c r="E820" t="s">
        <v>1603</v>
      </c>
      <c r="F820" t="s">
        <v>41</v>
      </c>
      <c r="G820" t="s">
        <v>3722</v>
      </c>
      <c r="H820" t="s">
        <v>621</v>
      </c>
      <c r="I820" t="s">
        <v>255</v>
      </c>
      <c r="J820" t="s">
        <v>255</v>
      </c>
      <c r="K820" t="s">
        <v>255</v>
      </c>
      <c r="L820" t="s">
        <v>41</v>
      </c>
      <c r="M820" t="s">
        <v>41</v>
      </c>
      <c r="N820" t="s">
        <v>255</v>
      </c>
      <c r="O820" t="s">
        <v>41</v>
      </c>
      <c r="P820" t="s">
        <v>41</v>
      </c>
      <c r="Q820" s="2"/>
      <c r="R820" s="2"/>
      <c r="S820" t="s">
        <v>255</v>
      </c>
      <c r="T820" t="s">
        <v>41</v>
      </c>
      <c r="U820" t="s">
        <v>41</v>
      </c>
      <c r="V820" s="2"/>
      <c r="W820" s="2"/>
      <c r="X820" t="s">
        <v>3722</v>
      </c>
      <c r="Y820">
        <v>11.69</v>
      </c>
      <c r="Z820">
        <v>2917.803</v>
      </c>
      <c r="AA820" s="2"/>
      <c r="AB820" s="2"/>
      <c r="AC820" t="s">
        <v>3697</v>
      </c>
      <c r="AD820">
        <v>12.65</v>
      </c>
      <c r="AE820">
        <v>2942.185</v>
      </c>
      <c r="AF820" s="2">
        <f t="shared" si="53"/>
        <v>0.0821214713430283</v>
      </c>
      <c r="AG820" s="2">
        <f t="shared" si="54"/>
        <v>0.0083562872476312</v>
      </c>
      <c r="AH820" t="s">
        <v>484</v>
      </c>
      <c r="AI820" t="s">
        <v>2244</v>
      </c>
      <c r="AJ820" t="s">
        <v>625</v>
      </c>
    </row>
    <row r="821" hidden="1" spans="1:36">
      <c r="A821">
        <v>113028</v>
      </c>
      <c r="B821" t="s">
        <v>3723</v>
      </c>
      <c r="C821">
        <v>601200</v>
      </c>
      <c r="D821" t="s">
        <v>3724</v>
      </c>
      <c r="E821" t="s">
        <v>3725</v>
      </c>
      <c r="F821" t="s">
        <v>41</v>
      </c>
      <c r="G821" t="s">
        <v>3726</v>
      </c>
      <c r="H821" t="s">
        <v>621</v>
      </c>
      <c r="I821" t="s">
        <v>255</v>
      </c>
      <c r="J821" t="s">
        <v>255</v>
      </c>
      <c r="K821" t="s">
        <v>255</v>
      </c>
      <c r="L821" t="s">
        <v>41</v>
      </c>
      <c r="M821" t="s">
        <v>41</v>
      </c>
      <c r="N821" t="s">
        <v>255</v>
      </c>
      <c r="O821" t="s">
        <v>41</v>
      </c>
      <c r="P821" t="s">
        <v>41</v>
      </c>
      <c r="Q821" s="2"/>
      <c r="R821" s="2"/>
      <c r="S821" t="s">
        <v>255</v>
      </c>
      <c r="T821" t="s">
        <v>41</v>
      </c>
      <c r="U821" t="s">
        <v>41</v>
      </c>
      <c r="V821" s="2"/>
      <c r="W821" s="2"/>
      <c r="X821" t="s">
        <v>3726</v>
      </c>
      <c r="Y821">
        <v>8.3</v>
      </c>
      <c r="Z821">
        <v>2890.158</v>
      </c>
      <c r="AA821" s="2"/>
      <c r="AB821" s="2"/>
      <c r="AC821" t="s">
        <v>3727</v>
      </c>
      <c r="AD821">
        <v>10.32</v>
      </c>
      <c r="AE821">
        <v>2933.363</v>
      </c>
      <c r="AF821" s="2">
        <f t="shared" si="53"/>
        <v>0.243373493975904</v>
      </c>
      <c r="AG821" s="2">
        <f t="shared" si="54"/>
        <v>0.0149490097081197</v>
      </c>
      <c r="AH821" t="s">
        <v>511</v>
      </c>
      <c r="AI821" t="s">
        <v>2777</v>
      </c>
      <c r="AJ821" t="s">
        <v>625</v>
      </c>
    </row>
    <row r="822" hidden="1" spans="1:36">
      <c r="A822">
        <v>113027</v>
      </c>
      <c r="B822" t="s">
        <v>3728</v>
      </c>
      <c r="C822">
        <v>601020</v>
      </c>
      <c r="D822" t="s">
        <v>3729</v>
      </c>
      <c r="E822" t="s">
        <v>1233</v>
      </c>
      <c r="F822" t="s">
        <v>41</v>
      </c>
      <c r="G822" t="s">
        <v>3730</v>
      </c>
      <c r="H822" t="s">
        <v>621</v>
      </c>
      <c r="I822" t="s">
        <v>255</v>
      </c>
      <c r="J822" t="s">
        <v>255</v>
      </c>
      <c r="K822" t="s">
        <v>255</v>
      </c>
      <c r="L822" t="s">
        <v>41</v>
      </c>
      <c r="M822" t="s">
        <v>41</v>
      </c>
      <c r="N822" t="s">
        <v>255</v>
      </c>
      <c r="O822" t="s">
        <v>41</v>
      </c>
      <c r="P822" t="s">
        <v>41</v>
      </c>
      <c r="Q822" s="2"/>
      <c r="R822" s="2"/>
      <c r="S822" t="s">
        <v>255</v>
      </c>
      <c r="T822" t="s">
        <v>41</v>
      </c>
      <c r="U822" t="s">
        <v>41</v>
      </c>
      <c r="V822" s="2"/>
      <c r="W822" s="2"/>
      <c r="X822" t="s">
        <v>3730</v>
      </c>
      <c r="Y822">
        <v>7.85</v>
      </c>
      <c r="Z822">
        <v>2881.974</v>
      </c>
      <c r="AA822" s="2"/>
      <c r="AB822" s="2"/>
      <c r="AC822" t="s">
        <v>3731</v>
      </c>
      <c r="AD822">
        <v>7.45</v>
      </c>
      <c r="AE822">
        <v>2915.302</v>
      </c>
      <c r="AF822" s="2">
        <f t="shared" si="53"/>
        <v>-0.0509554140127388</v>
      </c>
      <c r="AG822" s="2">
        <f t="shared" si="54"/>
        <v>0.0115642958611008</v>
      </c>
      <c r="AH822" t="s">
        <v>431</v>
      </c>
      <c r="AI822" t="s">
        <v>3732</v>
      </c>
      <c r="AJ822" t="s">
        <v>625</v>
      </c>
    </row>
    <row r="823" hidden="1" spans="1:36">
      <c r="A823">
        <v>123027</v>
      </c>
      <c r="B823" t="s">
        <v>3733</v>
      </c>
      <c r="C823">
        <v>300487</v>
      </c>
      <c r="D823" t="s">
        <v>1337</v>
      </c>
      <c r="E823" t="s">
        <v>1531</v>
      </c>
      <c r="F823" t="s">
        <v>41</v>
      </c>
      <c r="G823" t="s">
        <v>3734</v>
      </c>
      <c r="H823" t="s">
        <v>621</v>
      </c>
      <c r="I823" t="s">
        <v>255</v>
      </c>
      <c r="J823" t="s">
        <v>255</v>
      </c>
      <c r="K823" t="s">
        <v>255</v>
      </c>
      <c r="L823" t="s">
        <v>41</v>
      </c>
      <c r="M823" t="s">
        <v>41</v>
      </c>
      <c r="N823" t="s">
        <v>255</v>
      </c>
      <c r="O823" t="s">
        <v>41</v>
      </c>
      <c r="P823" t="s">
        <v>41</v>
      </c>
      <c r="Q823" s="2"/>
      <c r="R823" s="2"/>
      <c r="S823" t="s">
        <v>255</v>
      </c>
      <c r="T823" t="s">
        <v>41</v>
      </c>
      <c r="U823" t="s">
        <v>41</v>
      </c>
      <c r="V823" s="2"/>
      <c r="W823" s="2"/>
      <c r="X823" t="s">
        <v>3734</v>
      </c>
      <c r="Y823">
        <v>11.09</v>
      </c>
      <c r="Z823">
        <v>2925.716</v>
      </c>
      <c r="AA823" s="2"/>
      <c r="AB823" s="2"/>
      <c r="AC823" t="s">
        <v>3735</v>
      </c>
      <c r="AD823">
        <v>11.56</v>
      </c>
      <c r="AE823">
        <v>3005.249</v>
      </c>
      <c r="AF823" s="2">
        <f t="shared" si="53"/>
        <v>0.0423805229936881</v>
      </c>
      <c r="AG823" s="2">
        <f t="shared" si="54"/>
        <v>0.0271841149311826</v>
      </c>
      <c r="AH823" t="s">
        <v>70</v>
      </c>
      <c r="AI823" t="s">
        <v>3736</v>
      </c>
      <c r="AJ823" t="s">
        <v>625</v>
      </c>
    </row>
    <row r="824" hidden="1" spans="1:36">
      <c r="A824">
        <v>113537</v>
      </c>
      <c r="B824" t="s">
        <v>3737</v>
      </c>
      <c r="C824">
        <v>603348</v>
      </c>
      <c r="D824" t="s">
        <v>3738</v>
      </c>
      <c r="E824" t="s">
        <v>115</v>
      </c>
      <c r="F824" t="s">
        <v>41</v>
      </c>
      <c r="G824" t="s">
        <v>3739</v>
      </c>
      <c r="H824" t="s">
        <v>621</v>
      </c>
      <c r="I824" t="s">
        <v>255</v>
      </c>
      <c r="J824" t="s">
        <v>255</v>
      </c>
      <c r="K824" t="s">
        <v>255</v>
      </c>
      <c r="L824" t="s">
        <v>41</v>
      </c>
      <c r="M824" t="s">
        <v>41</v>
      </c>
      <c r="N824" t="s">
        <v>255</v>
      </c>
      <c r="O824" t="s">
        <v>41</v>
      </c>
      <c r="P824" t="s">
        <v>41</v>
      </c>
      <c r="Q824" s="2"/>
      <c r="R824" s="2"/>
      <c r="S824" t="s">
        <v>255</v>
      </c>
      <c r="T824" t="s">
        <v>41</v>
      </c>
      <c r="U824" t="s">
        <v>41</v>
      </c>
      <c r="V824" s="2"/>
      <c r="W824" s="2"/>
      <c r="X824" t="s">
        <v>3739</v>
      </c>
      <c r="Y824">
        <v>19.69</v>
      </c>
      <c r="Z824">
        <v>2852.13</v>
      </c>
      <c r="AA824" s="2"/>
      <c r="AB824" s="2"/>
      <c r="AC824" t="s">
        <v>3740</v>
      </c>
      <c r="AD824">
        <v>19.07</v>
      </c>
      <c r="AE824">
        <v>3011.059</v>
      </c>
      <c r="AF824" s="2">
        <f t="shared" si="53"/>
        <v>-0.0314880650076181</v>
      </c>
      <c r="AG824" s="2">
        <f t="shared" si="54"/>
        <v>0.0557229158558692</v>
      </c>
      <c r="AH824" t="s">
        <v>70</v>
      </c>
      <c r="AI824" t="s">
        <v>3053</v>
      </c>
      <c r="AJ824" t="s">
        <v>625</v>
      </c>
    </row>
    <row r="825" hidden="1" spans="1:36">
      <c r="A825">
        <v>123026</v>
      </c>
      <c r="B825" t="s">
        <v>3741</v>
      </c>
      <c r="C825">
        <v>300692</v>
      </c>
      <c r="D825" t="s">
        <v>1975</v>
      </c>
      <c r="E825" t="s">
        <v>135</v>
      </c>
      <c r="F825" t="s">
        <v>41</v>
      </c>
      <c r="G825" t="s">
        <v>3739</v>
      </c>
      <c r="H825" t="s">
        <v>621</v>
      </c>
      <c r="I825" t="s">
        <v>255</v>
      </c>
      <c r="J825" t="s">
        <v>255</v>
      </c>
      <c r="K825" t="s">
        <v>255</v>
      </c>
      <c r="L825" t="s">
        <v>41</v>
      </c>
      <c r="M825" t="s">
        <v>41</v>
      </c>
      <c r="N825" t="s">
        <v>255</v>
      </c>
      <c r="O825" t="s">
        <v>41</v>
      </c>
      <c r="P825" t="s">
        <v>41</v>
      </c>
      <c r="Q825" s="2"/>
      <c r="R825" s="2"/>
      <c r="S825" t="s">
        <v>255</v>
      </c>
      <c r="T825" t="s">
        <v>41</v>
      </c>
      <c r="U825" t="s">
        <v>41</v>
      </c>
      <c r="V825" s="2"/>
      <c r="W825" s="2"/>
      <c r="X825" t="s">
        <v>3739</v>
      </c>
      <c r="Y825">
        <v>6.42</v>
      </c>
      <c r="Z825">
        <v>2852.13</v>
      </c>
      <c r="AA825" s="2"/>
      <c r="AB825" s="2"/>
      <c r="AC825" t="s">
        <v>3742</v>
      </c>
      <c r="AD825">
        <v>7.43</v>
      </c>
      <c r="AE825">
        <v>3044.903</v>
      </c>
      <c r="AF825" s="2">
        <f t="shared" si="53"/>
        <v>0.157320872274143</v>
      </c>
      <c r="AG825" s="2">
        <f t="shared" si="54"/>
        <v>0.0675891351375988</v>
      </c>
      <c r="AH825" t="s">
        <v>3743</v>
      </c>
      <c r="AI825" t="s">
        <v>2765</v>
      </c>
      <c r="AJ825" t="s">
        <v>625</v>
      </c>
    </row>
    <row r="826" hidden="1" spans="1:36">
      <c r="A826">
        <v>128068</v>
      </c>
      <c r="B826" t="s">
        <v>3744</v>
      </c>
      <c r="C826">
        <v>2402</v>
      </c>
      <c r="D826" t="s">
        <v>3745</v>
      </c>
      <c r="E826" t="s">
        <v>3746</v>
      </c>
      <c r="F826" t="s">
        <v>41</v>
      </c>
      <c r="G826" t="s">
        <v>3747</v>
      </c>
      <c r="H826" t="s">
        <v>621</v>
      </c>
      <c r="I826" t="s">
        <v>255</v>
      </c>
      <c r="J826" t="s">
        <v>255</v>
      </c>
      <c r="K826" t="s">
        <v>255</v>
      </c>
      <c r="L826" t="s">
        <v>41</v>
      </c>
      <c r="M826" t="s">
        <v>41</v>
      </c>
      <c r="N826" t="s">
        <v>255</v>
      </c>
      <c r="O826" t="s">
        <v>41</v>
      </c>
      <c r="P826" t="s">
        <v>41</v>
      </c>
      <c r="Q826" s="2"/>
      <c r="R826" s="2"/>
      <c r="S826" t="s">
        <v>255</v>
      </c>
      <c r="T826" t="s">
        <v>41</v>
      </c>
      <c r="U826" t="s">
        <v>41</v>
      </c>
      <c r="V826" s="2"/>
      <c r="W826" s="2"/>
      <c r="X826" t="s">
        <v>3747</v>
      </c>
      <c r="Y826">
        <v>8.19</v>
      </c>
      <c r="Z826">
        <v>2862.28</v>
      </c>
      <c r="AA826" s="2"/>
      <c r="AB826" s="2"/>
      <c r="AC826" t="s">
        <v>3742</v>
      </c>
      <c r="AD826">
        <v>9.12</v>
      </c>
      <c r="AE826">
        <v>3044.903</v>
      </c>
      <c r="AF826" s="2">
        <f t="shared" si="53"/>
        <v>0.113553113553114</v>
      </c>
      <c r="AG826" s="2">
        <f t="shared" si="54"/>
        <v>0.0638033316097655</v>
      </c>
      <c r="AH826" t="s">
        <v>3748</v>
      </c>
      <c r="AI826" t="s">
        <v>3749</v>
      </c>
      <c r="AJ826" t="s">
        <v>625</v>
      </c>
    </row>
    <row r="827" hidden="1" spans="1:36">
      <c r="A827">
        <v>113536</v>
      </c>
      <c r="B827" t="s">
        <v>3750</v>
      </c>
      <c r="C827">
        <v>603578</v>
      </c>
      <c r="D827" t="s">
        <v>3751</v>
      </c>
      <c r="E827" t="s">
        <v>3752</v>
      </c>
      <c r="F827" t="s">
        <v>41</v>
      </c>
      <c r="G827" t="s">
        <v>3753</v>
      </c>
      <c r="H827" t="s">
        <v>621</v>
      </c>
      <c r="I827" t="s">
        <v>255</v>
      </c>
      <c r="J827" t="s">
        <v>255</v>
      </c>
      <c r="K827" t="s">
        <v>255</v>
      </c>
      <c r="L827" t="s">
        <v>41</v>
      </c>
      <c r="M827" t="s">
        <v>41</v>
      </c>
      <c r="N827" t="s">
        <v>255</v>
      </c>
      <c r="O827" t="s">
        <v>41</v>
      </c>
      <c r="P827" t="s">
        <v>41</v>
      </c>
      <c r="Q827" s="2"/>
      <c r="R827" s="2"/>
      <c r="S827" t="s">
        <v>255</v>
      </c>
      <c r="T827" t="s">
        <v>41</v>
      </c>
      <c r="U827" t="s">
        <v>41</v>
      </c>
      <c r="V827" s="2"/>
      <c r="W827" s="2"/>
      <c r="X827" t="s">
        <v>3753</v>
      </c>
      <c r="Y827">
        <v>10.05</v>
      </c>
      <c r="Z827">
        <v>2898.696</v>
      </c>
      <c r="AA827" s="2"/>
      <c r="AB827" s="2"/>
      <c r="AC827" t="s">
        <v>3718</v>
      </c>
      <c r="AD827">
        <v>10.2</v>
      </c>
      <c r="AE827">
        <v>3008.148</v>
      </c>
      <c r="AF827" s="2">
        <f t="shared" si="53"/>
        <v>0.0149253731343282</v>
      </c>
      <c r="AG827" s="2">
        <f t="shared" si="54"/>
        <v>0.0377590475165386</v>
      </c>
      <c r="AH827" t="s">
        <v>454</v>
      </c>
      <c r="AI827" t="s">
        <v>2084</v>
      </c>
      <c r="AJ827" t="s">
        <v>625</v>
      </c>
    </row>
    <row r="828" hidden="1" spans="1:36">
      <c r="A828">
        <v>113535</v>
      </c>
      <c r="B828" t="s">
        <v>3754</v>
      </c>
      <c r="C828">
        <v>603278</v>
      </c>
      <c r="D828" t="s">
        <v>3755</v>
      </c>
      <c r="E828" t="s">
        <v>522</v>
      </c>
      <c r="F828" t="s">
        <v>41</v>
      </c>
      <c r="G828" t="s">
        <v>3756</v>
      </c>
      <c r="H828" t="s">
        <v>621</v>
      </c>
      <c r="I828" t="s">
        <v>255</v>
      </c>
      <c r="J828" t="s">
        <v>255</v>
      </c>
      <c r="K828" t="s">
        <v>255</v>
      </c>
      <c r="L828" t="s">
        <v>41</v>
      </c>
      <c r="M828" t="s">
        <v>41</v>
      </c>
      <c r="N828" t="s">
        <v>255</v>
      </c>
      <c r="O828" t="s">
        <v>41</v>
      </c>
      <c r="P828" t="s">
        <v>41</v>
      </c>
      <c r="Q828" s="2"/>
      <c r="R828" s="2"/>
      <c r="S828" t="s">
        <v>255</v>
      </c>
      <c r="T828" t="s">
        <v>41</v>
      </c>
      <c r="U828" t="s">
        <v>41</v>
      </c>
      <c r="V828" s="2"/>
      <c r="W828" s="2"/>
      <c r="X828" t="s">
        <v>3756</v>
      </c>
      <c r="Y828">
        <v>10.27</v>
      </c>
      <c r="Z828">
        <v>2850.954</v>
      </c>
      <c r="AA828" s="2"/>
      <c r="AB828" s="2"/>
      <c r="AC828" t="s">
        <v>3757</v>
      </c>
      <c r="AD828">
        <v>12.66</v>
      </c>
      <c r="AE828">
        <v>2890.081</v>
      </c>
      <c r="AF828" s="2">
        <f t="shared" si="53"/>
        <v>0.232716650438169</v>
      </c>
      <c r="AG828" s="2">
        <f t="shared" si="54"/>
        <v>0.0137241779418398</v>
      </c>
      <c r="AH828" t="s">
        <v>3758</v>
      </c>
      <c r="AI828" t="s">
        <v>3759</v>
      </c>
      <c r="AJ828" t="s">
        <v>625</v>
      </c>
    </row>
    <row r="829" hidden="1" spans="1:36">
      <c r="A829">
        <v>128067</v>
      </c>
      <c r="B829" t="s">
        <v>3760</v>
      </c>
      <c r="C829">
        <v>2727</v>
      </c>
      <c r="D829" t="s">
        <v>3761</v>
      </c>
      <c r="E829" t="s">
        <v>3762</v>
      </c>
      <c r="F829" t="s">
        <v>41</v>
      </c>
      <c r="G829" t="s">
        <v>3763</v>
      </c>
      <c r="H829" t="s">
        <v>621</v>
      </c>
      <c r="I829" t="s">
        <v>255</v>
      </c>
      <c r="J829" t="s">
        <v>255</v>
      </c>
      <c r="K829" t="s">
        <v>255</v>
      </c>
      <c r="L829" t="s">
        <v>41</v>
      </c>
      <c r="M829" t="s">
        <v>41</v>
      </c>
      <c r="N829" t="s">
        <v>255</v>
      </c>
      <c r="O829" t="s">
        <v>41</v>
      </c>
      <c r="P829" t="s">
        <v>41</v>
      </c>
      <c r="Q829" s="2"/>
      <c r="R829" s="2"/>
      <c r="S829" t="s">
        <v>255</v>
      </c>
      <c r="T829" t="s">
        <v>41</v>
      </c>
      <c r="U829" t="s">
        <v>41</v>
      </c>
      <c r="V829" s="2"/>
      <c r="W829" s="2"/>
      <c r="X829" t="s">
        <v>3763</v>
      </c>
      <c r="Y829">
        <v>26.13</v>
      </c>
      <c r="Z829">
        <v>3270.797</v>
      </c>
      <c r="AA829" s="2"/>
      <c r="AB829" s="2"/>
      <c r="AC829" t="s">
        <v>3764</v>
      </c>
      <c r="AD829">
        <v>27.91</v>
      </c>
      <c r="AE829">
        <v>2882.296</v>
      </c>
      <c r="AF829" s="2">
        <f t="shared" si="53"/>
        <v>0.0681209337925756</v>
      </c>
      <c r="AG829" s="2">
        <f t="shared" si="54"/>
        <v>-0.118778695223213</v>
      </c>
      <c r="AH829" t="s">
        <v>3765</v>
      </c>
      <c r="AI829" t="s">
        <v>2328</v>
      </c>
      <c r="AJ829" t="s">
        <v>625</v>
      </c>
    </row>
    <row r="830" hidden="1" spans="1:36">
      <c r="A830">
        <v>128066</v>
      </c>
      <c r="B830" t="s">
        <v>3766</v>
      </c>
      <c r="C830">
        <v>2811</v>
      </c>
      <c r="D830" t="s">
        <v>3767</v>
      </c>
      <c r="E830" t="s">
        <v>1298</v>
      </c>
      <c r="F830" t="s">
        <v>41</v>
      </c>
      <c r="G830" t="s">
        <v>3768</v>
      </c>
      <c r="H830" t="s">
        <v>621</v>
      </c>
      <c r="I830" t="s">
        <v>255</v>
      </c>
      <c r="J830" t="s">
        <v>255</v>
      </c>
      <c r="K830" t="s">
        <v>255</v>
      </c>
      <c r="L830" t="s">
        <v>41</v>
      </c>
      <c r="M830" t="s">
        <v>41</v>
      </c>
      <c r="N830" t="s">
        <v>255</v>
      </c>
      <c r="O830" t="s">
        <v>41</v>
      </c>
      <c r="P830" t="s">
        <v>41</v>
      </c>
      <c r="Q830" s="2"/>
      <c r="R830" s="2"/>
      <c r="S830" t="s">
        <v>255</v>
      </c>
      <c r="T830" t="s">
        <v>41</v>
      </c>
      <c r="U830" t="s">
        <v>41</v>
      </c>
      <c r="V830" s="2"/>
      <c r="W830" s="2"/>
      <c r="X830" t="s">
        <v>3768</v>
      </c>
      <c r="Y830">
        <v>9.5</v>
      </c>
      <c r="Z830">
        <v>3263.118</v>
      </c>
      <c r="AA830" s="2"/>
      <c r="AB830" s="2"/>
      <c r="AC830" t="s">
        <v>3769</v>
      </c>
      <c r="AD830">
        <v>7.75</v>
      </c>
      <c r="AE830">
        <v>2883.611</v>
      </c>
      <c r="AF830" s="2">
        <f t="shared" si="53"/>
        <v>-0.184210526315789</v>
      </c>
      <c r="AG830" s="2">
        <f t="shared" si="54"/>
        <v>-0.116301954143246</v>
      </c>
      <c r="AH830" t="s">
        <v>1000</v>
      </c>
      <c r="AI830" t="s">
        <v>3770</v>
      </c>
      <c r="AJ830" t="s">
        <v>3077</v>
      </c>
    </row>
    <row r="831" hidden="1" spans="1:36">
      <c r="A831">
        <v>110058</v>
      </c>
      <c r="B831" t="s">
        <v>3771</v>
      </c>
      <c r="C831">
        <v>600105</v>
      </c>
      <c r="D831" t="s">
        <v>3772</v>
      </c>
      <c r="E831" t="s">
        <v>181</v>
      </c>
      <c r="F831" t="s">
        <v>41</v>
      </c>
      <c r="G831" t="s">
        <v>3773</v>
      </c>
      <c r="H831" t="s">
        <v>621</v>
      </c>
      <c r="I831" t="s">
        <v>255</v>
      </c>
      <c r="J831" t="s">
        <v>255</v>
      </c>
      <c r="K831" t="s">
        <v>255</v>
      </c>
      <c r="L831" t="s">
        <v>41</v>
      </c>
      <c r="M831" t="s">
        <v>41</v>
      </c>
      <c r="N831" t="s">
        <v>255</v>
      </c>
      <c r="O831" t="s">
        <v>41</v>
      </c>
      <c r="P831" t="s">
        <v>41</v>
      </c>
      <c r="Q831" s="2"/>
      <c r="R831" s="2"/>
      <c r="S831" t="s">
        <v>255</v>
      </c>
      <c r="T831" t="s">
        <v>41</v>
      </c>
      <c r="U831" t="s">
        <v>41</v>
      </c>
      <c r="V831" s="2"/>
      <c r="W831" s="2"/>
      <c r="X831" t="s">
        <v>3773</v>
      </c>
      <c r="Y831">
        <v>6.08</v>
      </c>
      <c r="Z831">
        <v>3253.598</v>
      </c>
      <c r="AA831" s="2"/>
      <c r="AB831" s="2"/>
      <c r="AC831" t="s">
        <v>3774</v>
      </c>
      <c r="AD831">
        <v>4.88</v>
      </c>
      <c r="AE831">
        <v>2893.757</v>
      </c>
      <c r="AF831" s="2">
        <f t="shared" si="53"/>
        <v>-0.197368421052632</v>
      </c>
      <c r="AG831" s="2">
        <f t="shared" si="54"/>
        <v>-0.110597867345628</v>
      </c>
      <c r="AH831" t="s">
        <v>547</v>
      </c>
      <c r="AI831" t="s">
        <v>3775</v>
      </c>
      <c r="AJ831" t="s">
        <v>625</v>
      </c>
    </row>
    <row r="832" hidden="1" spans="1:36">
      <c r="A832">
        <v>128065</v>
      </c>
      <c r="B832" t="s">
        <v>3776</v>
      </c>
      <c r="C832">
        <v>2497</v>
      </c>
      <c r="D832" t="s">
        <v>3777</v>
      </c>
      <c r="E832" t="s">
        <v>115</v>
      </c>
      <c r="F832" t="s">
        <v>41</v>
      </c>
      <c r="G832" t="s">
        <v>3773</v>
      </c>
      <c r="H832" t="s">
        <v>621</v>
      </c>
      <c r="I832" t="s">
        <v>255</v>
      </c>
      <c r="J832" t="s">
        <v>255</v>
      </c>
      <c r="K832" t="s">
        <v>255</v>
      </c>
      <c r="L832" t="s">
        <v>41</v>
      </c>
      <c r="M832" t="s">
        <v>41</v>
      </c>
      <c r="N832" t="s">
        <v>255</v>
      </c>
      <c r="O832" t="s">
        <v>41</v>
      </c>
      <c r="P832" t="s">
        <v>41</v>
      </c>
      <c r="Q832" s="2"/>
      <c r="R832" s="2"/>
      <c r="S832" t="s">
        <v>255</v>
      </c>
      <c r="T832" t="s">
        <v>41</v>
      </c>
      <c r="U832" t="s">
        <v>41</v>
      </c>
      <c r="V832" s="2"/>
      <c r="W832" s="2"/>
      <c r="X832" t="s">
        <v>3773</v>
      </c>
      <c r="Y832">
        <v>7.49</v>
      </c>
      <c r="Z832">
        <v>3253.598</v>
      </c>
      <c r="AA832" s="2"/>
      <c r="AB832" s="2"/>
      <c r="AC832" t="s">
        <v>3778</v>
      </c>
      <c r="AD832">
        <v>6.15</v>
      </c>
      <c r="AE832">
        <v>2939.211</v>
      </c>
      <c r="AF832" s="2">
        <f t="shared" si="53"/>
        <v>-0.17890520694259</v>
      </c>
      <c r="AG832" s="2">
        <f t="shared" si="54"/>
        <v>-0.096627487476941</v>
      </c>
      <c r="AH832" t="s">
        <v>547</v>
      </c>
      <c r="AI832" t="s">
        <v>2646</v>
      </c>
      <c r="AJ832" t="s">
        <v>625</v>
      </c>
    </row>
    <row r="833" hidden="1" spans="1:36">
      <c r="A833">
        <v>127013</v>
      </c>
      <c r="B833" t="s">
        <v>3779</v>
      </c>
      <c r="C833">
        <v>810</v>
      </c>
      <c r="D833" t="s">
        <v>3780</v>
      </c>
      <c r="E833" t="s">
        <v>2239</v>
      </c>
      <c r="F833" t="s">
        <v>41</v>
      </c>
      <c r="G833" t="s">
        <v>3781</v>
      </c>
      <c r="H833" t="s">
        <v>621</v>
      </c>
      <c r="I833" t="s">
        <v>255</v>
      </c>
      <c r="J833" t="s">
        <v>255</v>
      </c>
      <c r="K833" t="s">
        <v>255</v>
      </c>
      <c r="L833" t="s">
        <v>41</v>
      </c>
      <c r="M833" t="s">
        <v>41</v>
      </c>
      <c r="N833" t="s">
        <v>255</v>
      </c>
      <c r="O833" t="s">
        <v>41</v>
      </c>
      <c r="P833" t="s">
        <v>41</v>
      </c>
      <c r="Q833" s="2"/>
      <c r="R833" s="2"/>
      <c r="S833" t="s">
        <v>255</v>
      </c>
      <c r="T833" t="s">
        <v>41</v>
      </c>
      <c r="U833" t="s">
        <v>41</v>
      </c>
      <c r="V833" s="2"/>
      <c r="W833" s="2"/>
      <c r="X833" t="s">
        <v>3781</v>
      </c>
      <c r="Y833">
        <v>9.88</v>
      </c>
      <c r="Z833">
        <v>3177.787</v>
      </c>
      <c r="AA833" s="2"/>
      <c r="AB833" s="2"/>
      <c r="AC833" t="s">
        <v>3782</v>
      </c>
      <c r="AD833">
        <v>8.67</v>
      </c>
      <c r="AE833">
        <v>2955.711</v>
      </c>
      <c r="AF833" s="2">
        <f t="shared" si="53"/>
        <v>-0.12246963562753</v>
      </c>
      <c r="AG833" s="2">
        <f t="shared" si="54"/>
        <v>-0.0698838531342724</v>
      </c>
      <c r="AH833" t="s">
        <v>119</v>
      </c>
      <c r="AI833" t="s">
        <v>1917</v>
      </c>
      <c r="AJ833" t="s">
        <v>625</v>
      </c>
    </row>
    <row r="834" hidden="1" spans="1:36">
      <c r="A834">
        <v>113026</v>
      </c>
      <c r="B834" t="s">
        <v>3783</v>
      </c>
      <c r="C834">
        <v>601985</v>
      </c>
      <c r="D834" t="s">
        <v>3784</v>
      </c>
      <c r="E834" t="s">
        <v>2045</v>
      </c>
      <c r="F834" t="s">
        <v>41</v>
      </c>
      <c r="G834" t="s">
        <v>3781</v>
      </c>
      <c r="H834" t="s">
        <v>621</v>
      </c>
      <c r="I834" t="s">
        <v>255</v>
      </c>
      <c r="J834" t="s">
        <v>255</v>
      </c>
      <c r="K834" t="s">
        <v>255</v>
      </c>
      <c r="L834" t="s">
        <v>41</v>
      </c>
      <c r="M834" t="s">
        <v>41</v>
      </c>
      <c r="N834" t="s">
        <v>255</v>
      </c>
      <c r="O834" t="s">
        <v>41</v>
      </c>
      <c r="P834" t="s">
        <v>41</v>
      </c>
      <c r="Q834" s="2"/>
      <c r="R834" s="2"/>
      <c r="S834" t="s">
        <v>255</v>
      </c>
      <c r="T834" t="s">
        <v>41</v>
      </c>
      <c r="U834" t="s">
        <v>41</v>
      </c>
      <c r="V834" s="2"/>
      <c r="W834" s="2"/>
      <c r="X834" t="s">
        <v>3781</v>
      </c>
      <c r="Y834">
        <v>5.18</v>
      </c>
      <c r="Z834">
        <v>3177.787</v>
      </c>
      <c r="AA834" s="2"/>
      <c r="AB834" s="2"/>
      <c r="AC834" t="s">
        <v>3774</v>
      </c>
      <c r="AD834">
        <v>4.55</v>
      </c>
      <c r="AE834">
        <v>2893.757</v>
      </c>
      <c r="AF834" s="2">
        <f t="shared" si="53"/>
        <v>-0.121621621621622</v>
      </c>
      <c r="AG834" s="2">
        <f t="shared" si="54"/>
        <v>-0.0893798105411092</v>
      </c>
      <c r="AH834" t="s">
        <v>3770</v>
      </c>
      <c r="AI834" t="s">
        <v>3785</v>
      </c>
      <c r="AJ834" t="s">
        <v>625</v>
      </c>
    </row>
    <row r="835" hidden="1" spans="1:36">
      <c r="A835">
        <v>113025</v>
      </c>
      <c r="B835" t="s">
        <v>3786</v>
      </c>
      <c r="C835">
        <v>601677</v>
      </c>
      <c r="D835" t="s">
        <v>3787</v>
      </c>
      <c r="E835" t="s">
        <v>3788</v>
      </c>
      <c r="F835" t="s">
        <v>41</v>
      </c>
      <c r="G835" t="s">
        <v>3789</v>
      </c>
      <c r="H835" t="s">
        <v>621</v>
      </c>
      <c r="I835" t="s">
        <v>255</v>
      </c>
      <c r="J835" t="s">
        <v>255</v>
      </c>
      <c r="K835" t="s">
        <v>255</v>
      </c>
      <c r="L835" t="s">
        <v>41</v>
      </c>
      <c r="M835" t="s">
        <v>41</v>
      </c>
      <c r="N835" t="s">
        <v>255</v>
      </c>
      <c r="O835" t="s">
        <v>41</v>
      </c>
      <c r="P835" t="s">
        <v>41</v>
      </c>
      <c r="Q835" s="2"/>
      <c r="R835" s="2"/>
      <c r="S835" t="s">
        <v>255</v>
      </c>
      <c r="T835" t="s">
        <v>41</v>
      </c>
      <c r="U835" t="s">
        <v>41</v>
      </c>
      <c r="V835" s="2"/>
      <c r="W835" s="2"/>
      <c r="X835" t="s">
        <v>3789</v>
      </c>
      <c r="Y835">
        <v>7.1</v>
      </c>
      <c r="Z835">
        <v>3241.93</v>
      </c>
      <c r="AA835" s="2"/>
      <c r="AB835" s="2"/>
      <c r="AC835" t="s">
        <v>3790</v>
      </c>
      <c r="AD835">
        <v>5.92</v>
      </c>
      <c r="AE835">
        <v>2926.391</v>
      </c>
      <c r="AF835" s="2">
        <f t="shared" ref="AF835:AF898" si="55">(AD835-Y835)/Y835</f>
        <v>-0.166197183098592</v>
      </c>
      <c r="AG835" s="2">
        <f t="shared" ref="AG835:AG898" si="56">(AE835-Z835)/Z835</f>
        <v>-0.0973306024497752</v>
      </c>
      <c r="AH835" t="s">
        <v>225</v>
      </c>
      <c r="AI835" t="s">
        <v>1016</v>
      </c>
      <c r="AJ835" t="s">
        <v>625</v>
      </c>
    </row>
    <row r="836" hidden="1" spans="1:36">
      <c r="A836">
        <v>113534</v>
      </c>
      <c r="B836" t="s">
        <v>3791</v>
      </c>
      <c r="C836">
        <v>603876</v>
      </c>
      <c r="D836" t="s">
        <v>3792</v>
      </c>
      <c r="E836" t="s">
        <v>3793</v>
      </c>
      <c r="F836" t="s">
        <v>41</v>
      </c>
      <c r="G836" t="s">
        <v>3794</v>
      </c>
      <c r="H836" t="s">
        <v>621</v>
      </c>
      <c r="I836" t="s">
        <v>255</v>
      </c>
      <c r="J836" t="s">
        <v>255</v>
      </c>
      <c r="K836" t="s">
        <v>255</v>
      </c>
      <c r="L836" t="s">
        <v>41</v>
      </c>
      <c r="M836" t="s">
        <v>41</v>
      </c>
      <c r="N836" t="s">
        <v>255</v>
      </c>
      <c r="O836" t="s">
        <v>41</v>
      </c>
      <c r="P836" t="s">
        <v>41</v>
      </c>
      <c r="Q836" s="2"/>
      <c r="R836" s="2"/>
      <c r="S836" t="s">
        <v>255</v>
      </c>
      <c r="T836" t="s">
        <v>41</v>
      </c>
      <c r="U836" t="s">
        <v>41</v>
      </c>
      <c r="V836" s="2"/>
      <c r="W836" s="2"/>
      <c r="X836" t="s">
        <v>3794</v>
      </c>
      <c r="Y836">
        <v>10.3</v>
      </c>
      <c r="Z836">
        <v>3239.664</v>
      </c>
      <c r="AA836" s="2"/>
      <c r="AB836" s="2"/>
      <c r="AC836" t="s">
        <v>3795</v>
      </c>
      <c r="AD836">
        <v>8.28</v>
      </c>
      <c r="AE836">
        <v>3078.339</v>
      </c>
      <c r="AF836" s="2">
        <f t="shared" si="55"/>
        <v>-0.196116504854369</v>
      </c>
      <c r="AG836" s="2">
        <f t="shared" si="56"/>
        <v>-0.0497968307824516</v>
      </c>
      <c r="AH836" t="s">
        <v>230</v>
      </c>
      <c r="AI836" t="s">
        <v>537</v>
      </c>
      <c r="AJ836" t="s">
        <v>3077</v>
      </c>
    </row>
    <row r="837" hidden="1" spans="1:36">
      <c r="A837">
        <v>113024</v>
      </c>
      <c r="B837" t="s">
        <v>3796</v>
      </c>
      <c r="C837">
        <v>601611</v>
      </c>
      <c r="D837" t="s">
        <v>3797</v>
      </c>
      <c r="E837" t="s">
        <v>3798</v>
      </c>
      <c r="F837" t="s">
        <v>41</v>
      </c>
      <c r="G837" t="s">
        <v>3799</v>
      </c>
      <c r="H837" t="s">
        <v>621</v>
      </c>
      <c r="I837" t="s">
        <v>255</v>
      </c>
      <c r="J837" t="s">
        <v>255</v>
      </c>
      <c r="K837" t="s">
        <v>255</v>
      </c>
      <c r="L837" t="s">
        <v>41</v>
      </c>
      <c r="M837" t="s">
        <v>41</v>
      </c>
      <c r="N837" t="s">
        <v>255</v>
      </c>
      <c r="O837" t="s">
        <v>41</v>
      </c>
      <c r="P837" t="s">
        <v>41</v>
      </c>
      <c r="Q837" s="2"/>
      <c r="R837" s="2"/>
      <c r="S837" t="s">
        <v>255</v>
      </c>
      <c r="T837" t="s">
        <v>41</v>
      </c>
      <c r="U837" t="s">
        <v>41</v>
      </c>
      <c r="V837" s="2"/>
      <c r="W837" s="2"/>
      <c r="X837" t="s">
        <v>3799</v>
      </c>
      <c r="Y837">
        <v>9.46</v>
      </c>
      <c r="Z837">
        <v>3244.81</v>
      </c>
      <c r="AA837" s="2"/>
      <c r="AB837" s="2"/>
      <c r="AC837" t="s">
        <v>3800</v>
      </c>
      <c r="AD837">
        <v>8.23</v>
      </c>
      <c r="AE837">
        <v>3086.399</v>
      </c>
      <c r="AF837" s="2">
        <f t="shared" si="55"/>
        <v>-0.130021141649049</v>
      </c>
      <c r="AG837" s="2">
        <f t="shared" si="56"/>
        <v>-0.0488198076312635</v>
      </c>
      <c r="AH837" t="s">
        <v>398</v>
      </c>
      <c r="AI837" t="s">
        <v>313</v>
      </c>
      <c r="AJ837" t="s">
        <v>3077</v>
      </c>
    </row>
    <row r="838" hidden="1" spans="1:36">
      <c r="A838">
        <v>128064</v>
      </c>
      <c r="B838" t="s">
        <v>3801</v>
      </c>
      <c r="C838">
        <v>2538</v>
      </c>
      <c r="D838" t="s">
        <v>3802</v>
      </c>
      <c r="E838" t="s">
        <v>115</v>
      </c>
      <c r="F838" t="s">
        <v>41</v>
      </c>
      <c r="G838" t="s">
        <v>3799</v>
      </c>
      <c r="H838" t="s">
        <v>621</v>
      </c>
      <c r="I838" t="s">
        <v>255</v>
      </c>
      <c r="J838" t="s">
        <v>255</v>
      </c>
      <c r="K838" t="s">
        <v>255</v>
      </c>
      <c r="L838" t="s">
        <v>41</v>
      </c>
      <c r="M838" t="s">
        <v>41</v>
      </c>
      <c r="N838" t="s">
        <v>255</v>
      </c>
      <c r="O838" t="s">
        <v>41</v>
      </c>
      <c r="P838" t="s">
        <v>41</v>
      </c>
      <c r="Q838" s="2"/>
      <c r="R838" s="2"/>
      <c r="S838" t="s">
        <v>255</v>
      </c>
      <c r="T838" t="s">
        <v>41</v>
      </c>
      <c r="U838" t="s">
        <v>41</v>
      </c>
      <c r="V838" s="2"/>
      <c r="W838" s="2"/>
      <c r="X838" t="s">
        <v>3799</v>
      </c>
      <c r="Y838">
        <v>5.95</v>
      </c>
      <c r="Z838">
        <v>3244.81</v>
      </c>
      <c r="AA838" s="2"/>
      <c r="AB838" s="2"/>
      <c r="AC838" t="s">
        <v>3790</v>
      </c>
      <c r="AD838">
        <v>4.42</v>
      </c>
      <c r="AE838">
        <v>2926.391</v>
      </c>
      <c r="AF838" s="2">
        <f t="shared" si="55"/>
        <v>-0.257142857142857</v>
      </c>
      <c r="AG838" s="2">
        <f t="shared" si="56"/>
        <v>-0.0981317858364588</v>
      </c>
      <c r="AH838" t="s">
        <v>398</v>
      </c>
      <c r="AI838" t="s">
        <v>1857</v>
      </c>
      <c r="AJ838" t="s">
        <v>625</v>
      </c>
    </row>
    <row r="839" hidden="1" spans="1:36">
      <c r="A839">
        <v>113533</v>
      </c>
      <c r="B839" t="s">
        <v>3803</v>
      </c>
      <c r="C839">
        <v>603233</v>
      </c>
      <c r="D839" t="s">
        <v>2908</v>
      </c>
      <c r="E839" t="s">
        <v>55</v>
      </c>
      <c r="F839" t="s">
        <v>41</v>
      </c>
      <c r="G839" t="s">
        <v>3804</v>
      </c>
      <c r="H839" t="s">
        <v>621</v>
      </c>
      <c r="I839" t="s">
        <v>255</v>
      </c>
      <c r="J839" t="s">
        <v>255</v>
      </c>
      <c r="K839" t="s">
        <v>255</v>
      </c>
      <c r="L839" t="s">
        <v>41</v>
      </c>
      <c r="M839" t="s">
        <v>41</v>
      </c>
      <c r="N839" t="s">
        <v>255</v>
      </c>
      <c r="O839" t="s">
        <v>41</v>
      </c>
      <c r="P839" t="s">
        <v>41</v>
      </c>
      <c r="Q839" s="2"/>
      <c r="R839" s="2"/>
      <c r="S839" t="s">
        <v>255</v>
      </c>
      <c r="T839" t="s">
        <v>41</v>
      </c>
      <c r="U839" t="s">
        <v>41</v>
      </c>
      <c r="V839" s="2"/>
      <c r="W839" s="2"/>
      <c r="X839" t="s">
        <v>3804</v>
      </c>
      <c r="Y839">
        <v>15.24</v>
      </c>
      <c r="Z839">
        <v>3216.295</v>
      </c>
      <c r="AA839" s="2"/>
      <c r="AB839" s="2"/>
      <c r="AC839" t="s">
        <v>3805</v>
      </c>
      <c r="AD839">
        <v>14.11</v>
      </c>
      <c r="AE839">
        <v>3201.614</v>
      </c>
      <c r="AF839" s="2">
        <f t="shared" si="55"/>
        <v>-0.0741469816272966</v>
      </c>
      <c r="AG839" s="2">
        <f t="shared" si="56"/>
        <v>-0.00456456885951072</v>
      </c>
      <c r="AH839" t="s">
        <v>537</v>
      </c>
      <c r="AI839" t="s">
        <v>3439</v>
      </c>
      <c r="AJ839" t="s">
        <v>625</v>
      </c>
    </row>
    <row r="840" hidden="1" spans="1:36">
      <c r="A840">
        <v>128063</v>
      </c>
      <c r="B840" t="s">
        <v>3806</v>
      </c>
      <c r="C840">
        <v>2631</v>
      </c>
      <c r="D840" t="s">
        <v>3807</v>
      </c>
      <c r="E840" t="s">
        <v>170</v>
      </c>
      <c r="F840" t="s">
        <v>41</v>
      </c>
      <c r="G840" t="s">
        <v>3804</v>
      </c>
      <c r="H840" t="s">
        <v>621</v>
      </c>
      <c r="I840" t="s">
        <v>255</v>
      </c>
      <c r="J840" t="s">
        <v>255</v>
      </c>
      <c r="K840" t="s">
        <v>255</v>
      </c>
      <c r="L840" t="s">
        <v>41</v>
      </c>
      <c r="M840" t="s">
        <v>41</v>
      </c>
      <c r="N840" t="s">
        <v>255</v>
      </c>
      <c r="O840" t="s">
        <v>41</v>
      </c>
      <c r="P840" t="s">
        <v>41</v>
      </c>
      <c r="Q840" s="2"/>
      <c r="R840" s="2"/>
      <c r="S840" t="s">
        <v>255</v>
      </c>
      <c r="T840" t="s">
        <v>41</v>
      </c>
      <c r="U840" t="s">
        <v>41</v>
      </c>
      <c r="V840" s="2"/>
      <c r="W840" s="2"/>
      <c r="X840" t="s">
        <v>3804</v>
      </c>
      <c r="Y840">
        <v>8.74</v>
      </c>
      <c r="Z840">
        <v>3216.295</v>
      </c>
      <c r="AA840" s="2"/>
      <c r="AB840" s="2"/>
      <c r="AC840" t="s">
        <v>3805</v>
      </c>
      <c r="AD840">
        <v>11.33</v>
      </c>
      <c r="AE840">
        <v>3201.614</v>
      </c>
      <c r="AF840" s="2">
        <f t="shared" si="55"/>
        <v>0.296338672768879</v>
      </c>
      <c r="AG840" s="2">
        <f t="shared" si="56"/>
        <v>-0.00456456885951072</v>
      </c>
      <c r="AH840" t="s">
        <v>562</v>
      </c>
      <c r="AI840" t="s">
        <v>1271</v>
      </c>
      <c r="AJ840" t="s">
        <v>625</v>
      </c>
    </row>
    <row r="841" hidden="1" spans="1:36">
      <c r="A841">
        <v>113532</v>
      </c>
      <c r="B841" t="s">
        <v>3808</v>
      </c>
      <c r="C841">
        <v>603817</v>
      </c>
      <c r="D841" t="s">
        <v>3809</v>
      </c>
      <c r="E841" t="s">
        <v>476</v>
      </c>
      <c r="F841" t="s">
        <v>41</v>
      </c>
      <c r="G841" t="s">
        <v>3810</v>
      </c>
      <c r="H841" t="s">
        <v>621</v>
      </c>
      <c r="I841" t="s">
        <v>255</v>
      </c>
      <c r="J841" t="s">
        <v>255</v>
      </c>
      <c r="K841" t="s">
        <v>255</v>
      </c>
      <c r="L841" t="s">
        <v>41</v>
      </c>
      <c r="M841" t="s">
        <v>41</v>
      </c>
      <c r="N841" t="s">
        <v>255</v>
      </c>
      <c r="O841" t="s">
        <v>41</v>
      </c>
      <c r="P841" t="s">
        <v>41</v>
      </c>
      <c r="Q841" s="2"/>
      <c r="R841" s="2"/>
      <c r="S841" t="s">
        <v>255</v>
      </c>
      <c r="T841" t="s">
        <v>41</v>
      </c>
      <c r="U841" t="s">
        <v>41</v>
      </c>
      <c r="V841" s="2"/>
      <c r="W841" s="2"/>
      <c r="X841" t="s">
        <v>3810</v>
      </c>
      <c r="Y841">
        <v>8.25</v>
      </c>
      <c r="Z841">
        <v>3176.823</v>
      </c>
      <c r="AA841" s="2"/>
      <c r="AB841" s="2"/>
      <c r="AC841" t="s">
        <v>3805</v>
      </c>
      <c r="AD841">
        <v>7.67</v>
      </c>
      <c r="AE841">
        <v>3201.614</v>
      </c>
      <c r="AF841" s="2">
        <f t="shared" si="55"/>
        <v>-0.0703030303030303</v>
      </c>
      <c r="AG841" s="2">
        <f t="shared" si="56"/>
        <v>0.00780370829599262</v>
      </c>
      <c r="AH841" t="s">
        <v>537</v>
      </c>
      <c r="AI841" t="s">
        <v>463</v>
      </c>
      <c r="AJ841" t="s">
        <v>3077</v>
      </c>
    </row>
    <row r="842" hidden="1" spans="1:36">
      <c r="A842">
        <v>128062</v>
      </c>
      <c r="B842" t="s">
        <v>3811</v>
      </c>
      <c r="C842">
        <v>2370</v>
      </c>
      <c r="D842" t="s">
        <v>3812</v>
      </c>
      <c r="E842" t="s">
        <v>3813</v>
      </c>
      <c r="F842" t="s">
        <v>41</v>
      </c>
      <c r="G842" t="s">
        <v>3810</v>
      </c>
      <c r="H842" t="s">
        <v>621</v>
      </c>
      <c r="I842" t="s">
        <v>255</v>
      </c>
      <c r="J842" t="s">
        <v>255</v>
      </c>
      <c r="K842" t="s">
        <v>255</v>
      </c>
      <c r="L842" t="s">
        <v>41</v>
      </c>
      <c r="M842" t="s">
        <v>41</v>
      </c>
      <c r="N842" t="s">
        <v>255</v>
      </c>
      <c r="O842" t="s">
        <v>41</v>
      </c>
      <c r="P842" t="s">
        <v>41</v>
      </c>
      <c r="Q842" s="2"/>
      <c r="R842" s="2"/>
      <c r="S842" t="s">
        <v>255</v>
      </c>
      <c r="T842" t="s">
        <v>41</v>
      </c>
      <c r="U842" t="s">
        <v>41</v>
      </c>
      <c r="V842" s="2"/>
      <c r="W842" s="2"/>
      <c r="X842" t="s">
        <v>3810</v>
      </c>
      <c r="Y842">
        <v>20.14</v>
      </c>
      <c r="Z842">
        <v>3176.823</v>
      </c>
      <c r="AA842" s="2"/>
      <c r="AB842" s="2"/>
      <c r="AC842" t="s">
        <v>3805</v>
      </c>
      <c r="AD842">
        <v>17.75</v>
      </c>
      <c r="AE842">
        <v>3201.614</v>
      </c>
      <c r="AF842" s="2">
        <f t="shared" si="55"/>
        <v>-0.118669314796425</v>
      </c>
      <c r="AG842" s="2">
        <f t="shared" si="56"/>
        <v>0.00780370829599262</v>
      </c>
      <c r="AH842" t="s">
        <v>537</v>
      </c>
      <c r="AI842" t="s">
        <v>544</v>
      </c>
      <c r="AJ842" t="s">
        <v>3077</v>
      </c>
    </row>
    <row r="843" hidden="1" spans="1:36">
      <c r="A843">
        <v>110057</v>
      </c>
      <c r="B843" t="s">
        <v>3814</v>
      </c>
      <c r="C843">
        <v>600420</v>
      </c>
      <c r="D843" t="s">
        <v>3815</v>
      </c>
      <c r="E843" t="s">
        <v>3816</v>
      </c>
      <c r="F843" t="s">
        <v>41</v>
      </c>
      <c r="G843" t="s">
        <v>3817</v>
      </c>
      <c r="H843" t="s">
        <v>621</v>
      </c>
      <c r="I843" t="s">
        <v>255</v>
      </c>
      <c r="J843" t="s">
        <v>255</v>
      </c>
      <c r="K843" t="s">
        <v>255</v>
      </c>
      <c r="L843" t="s">
        <v>41</v>
      </c>
      <c r="M843" t="s">
        <v>41</v>
      </c>
      <c r="N843" t="s">
        <v>255</v>
      </c>
      <c r="O843" t="s">
        <v>41</v>
      </c>
      <c r="P843" t="s">
        <v>41</v>
      </c>
      <c r="Q843" s="2"/>
      <c r="R843" s="2"/>
      <c r="S843" t="s">
        <v>255</v>
      </c>
      <c r="T843" t="s">
        <v>41</v>
      </c>
      <c r="U843" t="s">
        <v>41</v>
      </c>
      <c r="V843" s="2"/>
      <c r="W843" s="2"/>
      <c r="X843" t="s">
        <v>3817</v>
      </c>
      <c r="Y843">
        <v>9.48</v>
      </c>
      <c r="Z843">
        <v>3170.361</v>
      </c>
      <c r="AA843" s="2"/>
      <c r="AB843" s="2"/>
      <c r="AC843" t="s">
        <v>3795</v>
      </c>
      <c r="AD843">
        <v>9.03</v>
      </c>
      <c r="AE843">
        <v>3078.339</v>
      </c>
      <c r="AF843" s="2">
        <f t="shared" si="55"/>
        <v>-0.0474683544303799</v>
      </c>
      <c r="AG843" s="2">
        <f t="shared" si="56"/>
        <v>-0.0290257166297466</v>
      </c>
      <c r="AH843" t="s">
        <v>3624</v>
      </c>
      <c r="AI843" t="s">
        <v>1110</v>
      </c>
      <c r="AJ843" t="s">
        <v>625</v>
      </c>
    </row>
    <row r="844" hidden="1" spans="1:36">
      <c r="A844">
        <v>123025</v>
      </c>
      <c r="B844" t="s">
        <v>3818</v>
      </c>
      <c r="C844">
        <v>300567</v>
      </c>
      <c r="D844" t="s">
        <v>1477</v>
      </c>
      <c r="E844" t="s">
        <v>228</v>
      </c>
      <c r="F844" t="s">
        <v>41</v>
      </c>
      <c r="G844" t="s">
        <v>3819</v>
      </c>
      <c r="H844" t="s">
        <v>621</v>
      </c>
      <c r="I844" t="s">
        <v>255</v>
      </c>
      <c r="J844" t="s">
        <v>255</v>
      </c>
      <c r="K844" t="s">
        <v>255</v>
      </c>
      <c r="L844" t="s">
        <v>41</v>
      </c>
      <c r="M844" t="s">
        <v>41</v>
      </c>
      <c r="N844" t="s">
        <v>255</v>
      </c>
      <c r="O844" t="s">
        <v>41</v>
      </c>
      <c r="P844" t="s">
        <v>41</v>
      </c>
      <c r="Q844" s="2"/>
      <c r="R844" s="2"/>
      <c r="S844" t="s">
        <v>255</v>
      </c>
      <c r="T844" t="s">
        <v>41</v>
      </c>
      <c r="U844" t="s">
        <v>41</v>
      </c>
      <c r="V844" s="2"/>
      <c r="W844" s="2"/>
      <c r="X844" t="s">
        <v>3819</v>
      </c>
      <c r="Y844">
        <v>52.22</v>
      </c>
      <c r="Z844">
        <v>3090.758</v>
      </c>
      <c r="AA844" s="2"/>
      <c r="AB844" s="2"/>
      <c r="AC844" t="s">
        <v>3763</v>
      </c>
      <c r="AD844">
        <v>50.74</v>
      </c>
      <c r="AE844">
        <v>3270.797</v>
      </c>
      <c r="AF844" s="2">
        <f t="shared" si="55"/>
        <v>-0.0283416315587897</v>
      </c>
      <c r="AG844" s="2">
        <f t="shared" si="56"/>
        <v>0.0582507591988762</v>
      </c>
      <c r="AH844" t="s">
        <v>220</v>
      </c>
      <c r="AI844" t="s">
        <v>331</v>
      </c>
      <c r="AJ844" t="s">
        <v>3077</v>
      </c>
    </row>
    <row r="845" hidden="1" spans="1:36">
      <c r="A845">
        <v>113531</v>
      </c>
      <c r="B845" t="s">
        <v>3820</v>
      </c>
      <c r="C845">
        <v>603883</v>
      </c>
      <c r="D845" t="s">
        <v>3821</v>
      </c>
      <c r="E845" t="s">
        <v>3822</v>
      </c>
      <c r="F845" t="s">
        <v>41</v>
      </c>
      <c r="G845" t="s">
        <v>3819</v>
      </c>
      <c r="H845" t="s">
        <v>621</v>
      </c>
      <c r="I845" t="s">
        <v>255</v>
      </c>
      <c r="J845" t="s">
        <v>255</v>
      </c>
      <c r="K845" t="s">
        <v>255</v>
      </c>
      <c r="L845" t="s">
        <v>41</v>
      </c>
      <c r="M845" t="s">
        <v>41</v>
      </c>
      <c r="N845" t="s">
        <v>255</v>
      </c>
      <c r="O845" t="s">
        <v>41</v>
      </c>
      <c r="P845" t="s">
        <v>41</v>
      </c>
      <c r="Q845" s="2"/>
      <c r="R845" s="2"/>
      <c r="S845" t="s">
        <v>255</v>
      </c>
      <c r="T845" t="s">
        <v>41</v>
      </c>
      <c r="U845" t="s">
        <v>41</v>
      </c>
      <c r="V845" s="2"/>
      <c r="W845" s="2"/>
      <c r="X845" t="s">
        <v>3819</v>
      </c>
      <c r="Y845">
        <v>24.24</v>
      </c>
      <c r="Z845">
        <v>3090.758</v>
      </c>
      <c r="AA845" s="2"/>
      <c r="AB845" s="2"/>
      <c r="AC845" t="s">
        <v>3823</v>
      </c>
      <c r="AD845">
        <v>21.63</v>
      </c>
      <c r="AE845">
        <v>3215.043</v>
      </c>
      <c r="AF845" s="2">
        <f t="shared" si="55"/>
        <v>-0.107673267326733</v>
      </c>
      <c r="AG845" s="2">
        <f t="shared" si="56"/>
        <v>0.0402118185894853</v>
      </c>
      <c r="AH845" t="s">
        <v>825</v>
      </c>
      <c r="AI845" t="s">
        <v>3246</v>
      </c>
      <c r="AJ845" t="s">
        <v>625</v>
      </c>
    </row>
    <row r="846" hidden="1" spans="1:36">
      <c r="A846">
        <v>113530</v>
      </c>
      <c r="B846" t="s">
        <v>3824</v>
      </c>
      <c r="C846">
        <v>603081</v>
      </c>
      <c r="D846" t="s">
        <v>3825</v>
      </c>
      <c r="E846" t="s">
        <v>170</v>
      </c>
      <c r="F846" t="s">
        <v>41</v>
      </c>
      <c r="G846" t="s">
        <v>3826</v>
      </c>
      <c r="H846" t="s">
        <v>621</v>
      </c>
      <c r="I846" t="s">
        <v>255</v>
      </c>
      <c r="J846" t="s">
        <v>255</v>
      </c>
      <c r="K846" t="s">
        <v>255</v>
      </c>
      <c r="L846" t="s">
        <v>41</v>
      </c>
      <c r="M846" t="s">
        <v>41</v>
      </c>
      <c r="N846" t="s">
        <v>255</v>
      </c>
      <c r="O846" t="s">
        <v>41</v>
      </c>
      <c r="P846" t="s">
        <v>41</v>
      </c>
      <c r="Q846" s="2"/>
      <c r="R846" s="2"/>
      <c r="S846" t="s">
        <v>255</v>
      </c>
      <c r="T846" t="s">
        <v>41</v>
      </c>
      <c r="U846" t="s">
        <v>41</v>
      </c>
      <c r="V846" s="2"/>
      <c r="W846" s="2"/>
      <c r="X846" t="s">
        <v>3826</v>
      </c>
      <c r="Y846">
        <v>14.49</v>
      </c>
      <c r="Z846">
        <v>3022.72</v>
      </c>
      <c r="AA846" s="2"/>
      <c r="AB846" s="2"/>
      <c r="AC846" t="s">
        <v>3827</v>
      </c>
      <c r="AD846">
        <v>14.38</v>
      </c>
      <c r="AE846">
        <v>3250.201</v>
      </c>
      <c r="AF846" s="2">
        <f t="shared" si="55"/>
        <v>-0.00759144237405103</v>
      </c>
      <c r="AG846" s="2">
        <f t="shared" si="56"/>
        <v>0.075257053250053</v>
      </c>
      <c r="AH846" t="s">
        <v>463</v>
      </c>
      <c r="AI846" t="s">
        <v>505</v>
      </c>
      <c r="AJ846" t="s">
        <v>3077</v>
      </c>
    </row>
    <row r="847" hidden="1" spans="1:36">
      <c r="A847">
        <v>128061</v>
      </c>
      <c r="B847" t="s">
        <v>3828</v>
      </c>
      <c r="C847">
        <v>2439</v>
      </c>
      <c r="D847" t="s">
        <v>3829</v>
      </c>
      <c r="E847" t="s">
        <v>3830</v>
      </c>
      <c r="F847" t="s">
        <v>41</v>
      </c>
      <c r="G847" t="s">
        <v>3826</v>
      </c>
      <c r="H847" t="s">
        <v>621</v>
      </c>
      <c r="I847" t="s">
        <v>255</v>
      </c>
      <c r="J847" t="s">
        <v>255</v>
      </c>
      <c r="K847" t="s">
        <v>255</v>
      </c>
      <c r="L847" t="s">
        <v>41</v>
      </c>
      <c r="M847" t="s">
        <v>41</v>
      </c>
      <c r="N847" t="s">
        <v>255</v>
      </c>
      <c r="O847" t="s">
        <v>41</v>
      </c>
      <c r="P847" t="s">
        <v>41</v>
      </c>
      <c r="Q847" s="2"/>
      <c r="R847" s="2"/>
      <c r="S847" t="s">
        <v>255</v>
      </c>
      <c r="T847" t="s">
        <v>41</v>
      </c>
      <c r="U847" t="s">
        <v>41</v>
      </c>
      <c r="V847" s="2"/>
      <c r="W847" s="2"/>
      <c r="X847" t="s">
        <v>3826</v>
      </c>
      <c r="Y847">
        <v>28.37</v>
      </c>
      <c r="Z847">
        <v>3022.72</v>
      </c>
      <c r="AA847" s="2"/>
      <c r="AB847" s="2"/>
      <c r="AC847" t="s">
        <v>3805</v>
      </c>
      <c r="AD847">
        <v>28.16</v>
      </c>
      <c r="AE847">
        <v>3201.614</v>
      </c>
      <c r="AF847" s="2">
        <f t="shared" si="55"/>
        <v>-0.00740218540712023</v>
      </c>
      <c r="AG847" s="2">
        <f t="shared" si="56"/>
        <v>0.0591831198390854</v>
      </c>
      <c r="AH847" t="s">
        <v>463</v>
      </c>
      <c r="AI847" t="s">
        <v>3831</v>
      </c>
      <c r="AJ847" t="s">
        <v>625</v>
      </c>
    </row>
    <row r="848" hidden="1" spans="1:36">
      <c r="A848">
        <v>128060</v>
      </c>
      <c r="B848" t="s">
        <v>3832</v>
      </c>
      <c r="C848">
        <v>2822</v>
      </c>
      <c r="D848" t="s">
        <v>2522</v>
      </c>
      <c r="E848" t="s">
        <v>2818</v>
      </c>
      <c r="F848" t="s">
        <v>41</v>
      </c>
      <c r="G848" t="s">
        <v>3833</v>
      </c>
      <c r="H848" t="s">
        <v>621</v>
      </c>
      <c r="I848" t="s">
        <v>255</v>
      </c>
      <c r="J848" t="s">
        <v>255</v>
      </c>
      <c r="K848" t="s">
        <v>255</v>
      </c>
      <c r="L848" t="s">
        <v>41</v>
      </c>
      <c r="M848" t="s">
        <v>41</v>
      </c>
      <c r="N848" t="s">
        <v>255</v>
      </c>
      <c r="O848" t="s">
        <v>41</v>
      </c>
      <c r="P848" t="s">
        <v>41</v>
      </c>
      <c r="Q848" s="2"/>
      <c r="R848" s="2"/>
      <c r="S848" t="s">
        <v>255</v>
      </c>
      <c r="T848" t="s">
        <v>41</v>
      </c>
      <c r="U848" t="s">
        <v>41</v>
      </c>
      <c r="V848" s="2"/>
      <c r="W848" s="2"/>
      <c r="X848" t="s">
        <v>3833</v>
      </c>
      <c r="Y848">
        <v>5.62</v>
      </c>
      <c r="Z848">
        <v>2997.095</v>
      </c>
      <c r="AA848" s="2"/>
      <c r="AB848" s="2"/>
      <c r="AC848" t="s">
        <v>3781</v>
      </c>
      <c r="AD848">
        <v>5.69</v>
      </c>
      <c r="AE848">
        <v>3177.787</v>
      </c>
      <c r="AF848" s="2">
        <f t="shared" si="55"/>
        <v>0.0124555160142349</v>
      </c>
      <c r="AG848" s="2">
        <f t="shared" si="56"/>
        <v>0.0602890465600857</v>
      </c>
      <c r="AH848" t="s">
        <v>118</v>
      </c>
      <c r="AI848" t="s">
        <v>3834</v>
      </c>
      <c r="AJ848" t="s">
        <v>3835</v>
      </c>
    </row>
    <row r="849" hidden="1" spans="1:36">
      <c r="A849">
        <v>127012</v>
      </c>
      <c r="B849" t="s">
        <v>3836</v>
      </c>
      <c r="C849">
        <v>1965</v>
      </c>
      <c r="D849" t="s">
        <v>3837</v>
      </c>
      <c r="E849" t="s">
        <v>237</v>
      </c>
      <c r="F849" t="s">
        <v>41</v>
      </c>
      <c r="G849" t="s">
        <v>3838</v>
      </c>
      <c r="H849" t="s">
        <v>621</v>
      </c>
      <c r="I849" t="s">
        <v>255</v>
      </c>
      <c r="J849" t="s">
        <v>255</v>
      </c>
      <c r="K849" t="s">
        <v>255</v>
      </c>
      <c r="L849" t="s">
        <v>41</v>
      </c>
      <c r="M849" t="s">
        <v>41</v>
      </c>
      <c r="N849" t="s">
        <v>255</v>
      </c>
      <c r="O849" t="s">
        <v>41</v>
      </c>
      <c r="P849" t="s">
        <v>41</v>
      </c>
      <c r="Q849" s="2"/>
      <c r="R849" s="2"/>
      <c r="S849" t="s">
        <v>255</v>
      </c>
      <c r="T849" t="s">
        <v>41</v>
      </c>
      <c r="U849" t="s">
        <v>41</v>
      </c>
      <c r="V849" s="2"/>
      <c r="W849" s="2"/>
      <c r="X849" t="s">
        <v>3838</v>
      </c>
      <c r="Y849">
        <v>6.72</v>
      </c>
      <c r="Z849">
        <v>3104.149</v>
      </c>
      <c r="AA849" s="2"/>
      <c r="AB849" s="2"/>
      <c r="AC849" t="s">
        <v>3795</v>
      </c>
      <c r="AD849">
        <v>5.94</v>
      </c>
      <c r="AE849">
        <v>3078.339</v>
      </c>
      <c r="AF849" s="2">
        <f t="shared" si="55"/>
        <v>-0.116071428571428</v>
      </c>
      <c r="AG849" s="2">
        <f t="shared" si="56"/>
        <v>-0.00831467819360474</v>
      </c>
      <c r="AH849" t="s">
        <v>3839</v>
      </c>
      <c r="AI849" t="s">
        <v>3840</v>
      </c>
      <c r="AJ849" t="s">
        <v>625</v>
      </c>
    </row>
    <row r="850" hidden="1" spans="1:36">
      <c r="A850">
        <v>123024</v>
      </c>
      <c r="B850" t="s">
        <v>3841</v>
      </c>
      <c r="C850">
        <v>300700</v>
      </c>
      <c r="D850" t="s">
        <v>3842</v>
      </c>
      <c r="E850" t="s">
        <v>984</v>
      </c>
      <c r="F850" t="s">
        <v>41</v>
      </c>
      <c r="G850" t="s">
        <v>3843</v>
      </c>
      <c r="H850" t="s">
        <v>621</v>
      </c>
      <c r="I850" t="s">
        <v>255</v>
      </c>
      <c r="J850" t="s">
        <v>255</v>
      </c>
      <c r="K850" t="s">
        <v>255</v>
      </c>
      <c r="L850" t="s">
        <v>41</v>
      </c>
      <c r="M850" t="s">
        <v>41</v>
      </c>
      <c r="N850" t="s">
        <v>255</v>
      </c>
      <c r="O850" t="s">
        <v>41</v>
      </c>
      <c r="P850" t="s">
        <v>41</v>
      </c>
      <c r="Q850" s="2"/>
      <c r="R850" s="2"/>
      <c r="S850" t="s">
        <v>255</v>
      </c>
      <c r="T850" t="s">
        <v>41</v>
      </c>
      <c r="U850" t="s">
        <v>41</v>
      </c>
      <c r="V850" s="2"/>
      <c r="W850" s="2"/>
      <c r="X850" t="s">
        <v>3843</v>
      </c>
      <c r="Y850">
        <v>7.69</v>
      </c>
      <c r="Z850">
        <v>3101.455</v>
      </c>
      <c r="AA850" s="2"/>
      <c r="AB850" s="2"/>
      <c r="AC850" t="s">
        <v>3768</v>
      </c>
      <c r="AD850">
        <v>8.33</v>
      </c>
      <c r="AE850">
        <v>3263.118</v>
      </c>
      <c r="AF850" s="2">
        <f t="shared" si="55"/>
        <v>0.083224967490247</v>
      </c>
      <c r="AG850" s="2">
        <f t="shared" si="56"/>
        <v>0.0521248897694792</v>
      </c>
      <c r="AH850" t="s">
        <v>3844</v>
      </c>
      <c r="AI850" t="s">
        <v>3845</v>
      </c>
      <c r="AJ850" t="s">
        <v>625</v>
      </c>
    </row>
    <row r="851" hidden="1" spans="1:36">
      <c r="A851">
        <v>123023</v>
      </c>
      <c r="B851" t="s">
        <v>3846</v>
      </c>
      <c r="C851">
        <v>300335</v>
      </c>
      <c r="D851" t="s">
        <v>3847</v>
      </c>
      <c r="E851" t="s">
        <v>1114</v>
      </c>
      <c r="F851" t="s">
        <v>41</v>
      </c>
      <c r="G851" t="s">
        <v>3848</v>
      </c>
      <c r="H851" t="s">
        <v>621</v>
      </c>
      <c r="I851" t="s">
        <v>255</v>
      </c>
      <c r="J851" t="s">
        <v>255</v>
      </c>
      <c r="K851" t="s">
        <v>255</v>
      </c>
      <c r="L851" t="s">
        <v>41</v>
      </c>
      <c r="M851" t="s">
        <v>41</v>
      </c>
      <c r="N851" t="s">
        <v>255</v>
      </c>
      <c r="O851" t="s">
        <v>41</v>
      </c>
      <c r="P851" t="s">
        <v>41</v>
      </c>
      <c r="Q851" s="2"/>
      <c r="R851" s="2"/>
      <c r="S851" t="s">
        <v>255</v>
      </c>
      <c r="T851" t="s">
        <v>41</v>
      </c>
      <c r="U851" t="s">
        <v>41</v>
      </c>
      <c r="V851" s="2"/>
      <c r="W851" s="2"/>
      <c r="X851" t="s">
        <v>3848</v>
      </c>
      <c r="Y851">
        <v>6.82</v>
      </c>
      <c r="Z851">
        <v>3090.64</v>
      </c>
      <c r="AA851" s="2"/>
      <c r="AB851" s="2"/>
      <c r="AC851" t="s">
        <v>3773</v>
      </c>
      <c r="AD851">
        <v>7.47</v>
      </c>
      <c r="AE851">
        <v>3253.598</v>
      </c>
      <c r="AF851" s="2">
        <f t="shared" si="55"/>
        <v>0.095307917888563</v>
      </c>
      <c r="AG851" s="2">
        <f t="shared" si="56"/>
        <v>0.0527262961716667</v>
      </c>
      <c r="AH851" t="s">
        <v>1366</v>
      </c>
      <c r="AI851" t="s">
        <v>1387</v>
      </c>
      <c r="AJ851" t="s">
        <v>625</v>
      </c>
    </row>
    <row r="852" hidden="1" spans="1:36">
      <c r="A852">
        <v>110056</v>
      </c>
      <c r="B852" t="s">
        <v>3849</v>
      </c>
      <c r="C852">
        <v>600487</v>
      </c>
      <c r="D852" t="s">
        <v>3850</v>
      </c>
      <c r="E852" t="s">
        <v>3851</v>
      </c>
      <c r="F852" t="s">
        <v>41</v>
      </c>
      <c r="G852" t="s">
        <v>3852</v>
      </c>
      <c r="H852" t="s">
        <v>621</v>
      </c>
      <c r="I852" t="s">
        <v>255</v>
      </c>
      <c r="J852" t="s">
        <v>255</v>
      </c>
      <c r="K852" t="s">
        <v>255</v>
      </c>
      <c r="L852" t="s">
        <v>41</v>
      </c>
      <c r="M852" t="s">
        <v>41</v>
      </c>
      <c r="N852" t="s">
        <v>255</v>
      </c>
      <c r="O852" t="s">
        <v>41</v>
      </c>
      <c r="P852" t="s">
        <v>41</v>
      </c>
      <c r="Q852" s="2"/>
      <c r="R852" s="2"/>
      <c r="S852" t="s">
        <v>255</v>
      </c>
      <c r="T852" t="s">
        <v>41</v>
      </c>
      <c r="U852" t="s">
        <v>41</v>
      </c>
      <c r="V852" s="2"/>
      <c r="W852" s="2"/>
      <c r="X852" t="s">
        <v>3852</v>
      </c>
      <c r="Y852">
        <v>21.37</v>
      </c>
      <c r="Z852">
        <v>3090.975</v>
      </c>
      <c r="AA852" s="2"/>
      <c r="AB852" s="2"/>
      <c r="AC852" t="s">
        <v>3773</v>
      </c>
      <c r="AD852">
        <v>21.49</v>
      </c>
      <c r="AE852">
        <v>3253.598</v>
      </c>
      <c r="AF852" s="2">
        <f t="shared" si="55"/>
        <v>0.00561534861956001</v>
      </c>
      <c r="AG852" s="2">
        <f t="shared" si="56"/>
        <v>0.0526122016515824</v>
      </c>
      <c r="AH852" t="s">
        <v>447</v>
      </c>
      <c r="AI852" t="s">
        <v>3853</v>
      </c>
      <c r="AJ852" t="s">
        <v>625</v>
      </c>
    </row>
    <row r="853" hidden="1" spans="1:36">
      <c r="A853">
        <v>110054</v>
      </c>
      <c r="B853" t="s">
        <v>3854</v>
      </c>
      <c r="C853">
        <v>600438</v>
      </c>
      <c r="D853" t="s">
        <v>2124</v>
      </c>
      <c r="E853" t="s">
        <v>237</v>
      </c>
      <c r="F853" t="s">
        <v>41</v>
      </c>
      <c r="G853" t="s">
        <v>3855</v>
      </c>
      <c r="H853" t="s">
        <v>621</v>
      </c>
      <c r="I853" t="s">
        <v>255</v>
      </c>
      <c r="J853" t="s">
        <v>255</v>
      </c>
      <c r="K853" t="s">
        <v>255</v>
      </c>
      <c r="L853" t="s">
        <v>41</v>
      </c>
      <c r="M853" t="s">
        <v>41</v>
      </c>
      <c r="N853" t="s">
        <v>255</v>
      </c>
      <c r="O853" t="s">
        <v>41</v>
      </c>
      <c r="P853" t="s">
        <v>41</v>
      </c>
      <c r="Q853" s="2"/>
      <c r="R853" s="2"/>
      <c r="S853" t="s">
        <v>255</v>
      </c>
      <c r="T853" t="s">
        <v>41</v>
      </c>
      <c r="U853" t="s">
        <v>41</v>
      </c>
      <c r="V853" s="2"/>
      <c r="W853" s="2"/>
      <c r="X853" t="s">
        <v>3855</v>
      </c>
      <c r="Y853">
        <v>7.29</v>
      </c>
      <c r="Z853">
        <v>3096.418</v>
      </c>
      <c r="AA853" s="2"/>
      <c r="AB853" s="2"/>
      <c r="AC853" t="s">
        <v>3789</v>
      </c>
      <c r="AD853">
        <v>7.97</v>
      </c>
      <c r="AE853">
        <v>3241.93</v>
      </c>
      <c r="AF853" s="2">
        <f t="shared" si="55"/>
        <v>0.093278463648834</v>
      </c>
      <c r="AG853" s="2">
        <f t="shared" si="56"/>
        <v>0.0469936552493881</v>
      </c>
      <c r="AH853" t="s">
        <v>478</v>
      </c>
      <c r="AI853" t="s">
        <v>3353</v>
      </c>
      <c r="AJ853" t="s">
        <v>625</v>
      </c>
    </row>
    <row r="854" hidden="1" spans="1:36">
      <c r="A854">
        <v>123022</v>
      </c>
      <c r="B854" t="s">
        <v>3856</v>
      </c>
      <c r="C854">
        <v>300088</v>
      </c>
      <c r="D854" t="s">
        <v>3857</v>
      </c>
      <c r="E854" t="s">
        <v>3858</v>
      </c>
      <c r="F854" t="s">
        <v>41</v>
      </c>
      <c r="G854" t="s">
        <v>3855</v>
      </c>
      <c r="H854" t="s">
        <v>621</v>
      </c>
      <c r="I854" t="s">
        <v>255</v>
      </c>
      <c r="J854" t="s">
        <v>255</v>
      </c>
      <c r="K854" t="s">
        <v>255</v>
      </c>
      <c r="L854" t="s">
        <v>41</v>
      </c>
      <c r="M854" t="s">
        <v>41</v>
      </c>
      <c r="N854" t="s">
        <v>255</v>
      </c>
      <c r="O854" t="s">
        <v>41</v>
      </c>
      <c r="P854" t="s">
        <v>41</v>
      </c>
      <c r="Q854" s="2"/>
      <c r="R854" s="2"/>
      <c r="S854" t="s">
        <v>255</v>
      </c>
      <c r="T854" t="s">
        <v>41</v>
      </c>
      <c r="U854" t="s">
        <v>41</v>
      </c>
      <c r="V854" s="2"/>
      <c r="W854" s="2"/>
      <c r="X854" t="s">
        <v>3855</v>
      </c>
      <c r="Y854">
        <v>5.55</v>
      </c>
      <c r="Z854">
        <v>3096.418</v>
      </c>
      <c r="AA854" s="2"/>
      <c r="AB854" s="2"/>
      <c r="AC854" t="s">
        <v>3789</v>
      </c>
      <c r="AD854">
        <v>5.57</v>
      </c>
      <c r="AE854">
        <v>3241.93</v>
      </c>
      <c r="AF854" s="2">
        <f t="shared" si="55"/>
        <v>0.00360360360360369</v>
      </c>
      <c r="AG854" s="2">
        <f t="shared" si="56"/>
        <v>0.0469936552493881</v>
      </c>
      <c r="AH854" t="s">
        <v>478</v>
      </c>
      <c r="AI854" t="s">
        <v>572</v>
      </c>
      <c r="AJ854" t="s">
        <v>3077</v>
      </c>
    </row>
    <row r="855" hidden="1" spans="1:36">
      <c r="A855">
        <v>110055</v>
      </c>
      <c r="B855" t="s">
        <v>3859</v>
      </c>
      <c r="C855">
        <v>600197</v>
      </c>
      <c r="D855" t="s">
        <v>3860</v>
      </c>
      <c r="E855" t="s">
        <v>3861</v>
      </c>
      <c r="F855" t="s">
        <v>41</v>
      </c>
      <c r="G855" t="s">
        <v>3862</v>
      </c>
      <c r="H855" t="s">
        <v>621</v>
      </c>
      <c r="I855" t="s">
        <v>255</v>
      </c>
      <c r="J855" t="s">
        <v>255</v>
      </c>
      <c r="K855" t="s">
        <v>255</v>
      </c>
      <c r="L855" t="s">
        <v>41</v>
      </c>
      <c r="M855" t="s">
        <v>41</v>
      </c>
      <c r="N855" t="s">
        <v>255</v>
      </c>
      <c r="O855" t="s">
        <v>41</v>
      </c>
      <c r="P855" t="s">
        <v>41</v>
      </c>
      <c r="Q855" s="2"/>
      <c r="R855" s="2"/>
      <c r="S855" t="s">
        <v>255</v>
      </c>
      <c r="T855" t="s">
        <v>41</v>
      </c>
      <c r="U855" t="s">
        <v>41</v>
      </c>
      <c r="V855" s="2"/>
      <c r="W855" s="2"/>
      <c r="X855" t="s">
        <v>3862</v>
      </c>
      <c r="Y855">
        <v>15.87</v>
      </c>
      <c r="Z855">
        <v>3021.751</v>
      </c>
      <c r="AA855" s="2"/>
      <c r="AB855" s="2"/>
      <c r="AC855" t="s">
        <v>3863</v>
      </c>
      <c r="AD855">
        <v>18.87</v>
      </c>
      <c r="AE855">
        <v>3246.571</v>
      </c>
      <c r="AF855" s="2">
        <f t="shared" si="55"/>
        <v>0.189035916824197</v>
      </c>
      <c r="AG855" s="2">
        <f t="shared" si="56"/>
        <v>0.0744005710596272</v>
      </c>
      <c r="AH855" t="s">
        <v>3864</v>
      </c>
      <c r="AI855" t="s">
        <v>3865</v>
      </c>
      <c r="AJ855" t="s">
        <v>3077</v>
      </c>
    </row>
    <row r="856" hidden="1" spans="1:36">
      <c r="A856">
        <v>110053</v>
      </c>
      <c r="B856" t="s">
        <v>3866</v>
      </c>
      <c r="C856">
        <v>600919</v>
      </c>
      <c r="D856" t="s">
        <v>3867</v>
      </c>
      <c r="E856" t="s">
        <v>2447</v>
      </c>
      <c r="F856" t="s">
        <v>41</v>
      </c>
      <c r="G856" t="s">
        <v>3868</v>
      </c>
      <c r="H856" t="s">
        <v>621</v>
      </c>
      <c r="I856" t="s">
        <v>255</v>
      </c>
      <c r="J856" t="s">
        <v>255</v>
      </c>
      <c r="K856" t="s">
        <v>255</v>
      </c>
      <c r="L856" t="s">
        <v>41</v>
      </c>
      <c r="M856" t="s">
        <v>41</v>
      </c>
      <c r="N856" t="s">
        <v>255</v>
      </c>
      <c r="O856" t="s">
        <v>41</v>
      </c>
      <c r="P856" t="s">
        <v>41</v>
      </c>
      <c r="Q856" s="2"/>
      <c r="R856" s="2"/>
      <c r="S856" t="s">
        <v>255</v>
      </c>
      <c r="T856" t="s">
        <v>41</v>
      </c>
      <c r="U856" t="s">
        <v>41</v>
      </c>
      <c r="V856" s="2"/>
      <c r="W856" s="2"/>
      <c r="X856" t="s">
        <v>3868</v>
      </c>
      <c r="Y856">
        <v>3.78</v>
      </c>
      <c r="Z856">
        <v>2990.685</v>
      </c>
      <c r="AA856" s="2"/>
      <c r="AB856" s="2"/>
      <c r="AC856" t="s">
        <v>3804</v>
      </c>
      <c r="AD856">
        <v>3.96</v>
      </c>
      <c r="AE856">
        <v>3216.295</v>
      </c>
      <c r="AF856" s="2">
        <f t="shared" si="55"/>
        <v>0.0476190476190477</v>
      </c>
      <c r="AG856" s="2">
        <f t="shared" si="56"/>
        <v>0.0754375669788026</v>
      </c>
      <c r="AH856" t="s">
        <v>3869</v>
      </c>
      <c r="AI856" t="s">
        <v>1031</v>
      </c>
      <c r="AJ856" t="s">
        <v>625</v>
      </c>
    </row>
    <row r="857" hidden="1" spans="1:36">
      <c r="A857">
        <v>113022</v>
      </c>
      <c r="B857" t="s">
        <v>3870</v>
      </c>
      <c r="C857">
        <v>601878</v>
      </c>
      <c r="D857" t="s">
        <v>1952</v>
      </c>
      <c r="E857" t="s">
        <v>312</v>
      </c>
      <c r="F857" t="s">
        <v>41</v>
      </c>
      <c r="G857" t="s">
        <v>3871</v>
      </c>
      <c r="H857" t="s">
        <v>621</v>
      </c>
      <c r="I857" t="s">
        <v>255</v>
      </c>
      <c r="J857" t="s">
        <v>255</v>
      </c>
      <c r="K857" t="s">
        <v>255</v>
      </c>
      <c r="L857" t="s">
        <v>41</v>
      </c>
      <c r="M857" t="s">
        <v>41</v>
      </c>
      <c r="N857" t="s">
        <v>255</v>
      </c>
      <c r="O857" t="s">
        <v>41</v>
      </c>
      <c r="P857" t="s">
        <v>41</v>
      </c>
      <c r="Q857" s="2"/>
      <c r="R857" s="2"/>
      <c r="S857" t="s">
        <v>255</v>
      </c>
      <c r="T857" t="s">
        <v>41</v>
      </c>
      <c r="U857" t="s">
        <v>41</v>
      </c>
      <c r="V857" s="2"/>
      <c r="W857" s="2"/>
      <c r="X857" t="s">
        <v>3871</v>
      </c>
      <c r="Y857">
        <v>11.22</v>
      </c>
      <c r="Z857">
        <v>3060.307</v>
      </c>
      <c r="AA857" s="2"/>
      <c r="AB857" s="2"/>
      <c r="AC857" t="s">
        <v>3872</v>
      </c>
      <c r="AD857">
        <v>9.84</v>
      </c>
      <c r="AE857">
        <v>2994.943</v>
      </c>
      <c r="AF857" s="2">
        <f t="shared" si="55"/>
        <v>-0.122994652406417</v>
      </c>
      <c r="AG857" s="2">
        <f t="shared" si="56"/>
        <v>-0.0213586414696302</v>
      </c>
      <c r="AH857" t="s">
        <v>35</v>
      </c>
      <c r="AI857" t="s">
        <v>2989</v>
      </c>
      <c r="AJ857" t="s">
        <v>625</v>
      </c>
    </row>
    <row r="858" hidden="1" spans="1:36">
      <c r="A858">
        <v>113529</v>
      </c>
      <c r="B858" t="s">
        <v>3873</v>
      </c>
      <c r="C858">
        <v>603517</v>
      </c>
      <c r="D858" t="s">
        <v>3874</v>
      </c>
      <c r="E858" t="s">
        <v>55</v>
      </c>
      <c r="F858" t="s">
        <v>41</v>
      </c>
      <c r="G858" t="s">
        <v>3875</v>
      </c>
      <c r="H858" t="s">
        <v>621</v>
      </c>
      <c r="I858" t="s">
        <v>255</v>
      </c>
      <c r="J858" t="s">
        <v>255</v>
      </c>
      <c r="K858" t="s">
        <v>255</v>
      </c>
      <c r="L858" t="s">
        <v>41</v>
      </c>
      <c r="M858" t="s">
        <v>41</v>
      </c>
      <c r="N858" t="s">
        <v>255</v>
      </c>
      <c r="O858" t="s">
        <v>41</v>
      </c>
      <c r="P858" t="s">
        <v>41</v>
      </c>
      <c r="Q858" s="2"/>
      <c r="R858" s="2"/>
      <c r="S858" t="s">
        <v>255</v>
      </c>
      <c r="T858" t="s">
        <v>41</v>
      </c>
      <c r="U858" t="s">
        <v>41</v>
      </c>
      <c r="V858" s="2"/>
      <c r="W858" s="2"/>
      <c r="X858" t="s">
        <v>3875</v>
      </c>
      <c r="Y858">
        <v>28.16</v>
      </c>
      <c r="Z858">
        <v>3026.993</v>
      </c>
      <c r="AA858" s="2"/>
      <c r="AB858" s="2"/>
      <c r="AC858" t="s">
        <v>3810</v>
      </c>
      <c r="AD858">
        <v>33.24</v>
      </c>
      <c r="AE858">
        <v>3176.823</v>
      </c>
      <c r="AF858" s="2">
        <f t="shared" si="55"/>
        <v>0.180397727272727</v>
      </c>
      <c r="AG858" s="2">
        <f t="shared" si="56"/>
        <v>0.0494979671244697</v>
      </c>
      <c r="AH858" t="s">
        <v>3865</v>
      </c>
      <c r="AI858" t="s">
        <v>3577</v>
      </c>
      <c r="AJ858" t="s">
        <v>625</v>
      </c>
    </row>
    <row r="859" hidden="1" spans="1:36">
      <c r="A859">
        <v>128059</v>
      </c>
      <c r="B859" t="s">
        <v>3876</v>
      </c>
      <c r="C859">
        <v>2841</v>
      </c>
      <c r="D859" t="s">
        <v>3877</v>
      </c>
      <c r="E859" t="s">
        <v>3878</v>
      </c>
      <c r="F859" t="s">
        <v>41</v>
      </c>
      <c r="G859" t="s">
        <v>3875</v>
      </c>
      <c r="H859" t="s">
        <v>621</v>
      </c>
      <c r="I859" t="s">
        <v>255</v>
      </c>
      <c r="J859" t="s">
        <v>255</v>
      </c>
      <c r="K859" t="s">
        <v>255</v>
      </c>
      <c r="L859" t="s">
        <v>41</v>
      </c>
      <c r="M859" t="s">
        <v>41</v>
      </c>
      <c r="N859" t="s">
        <v>255</v>
      </c>
      <c r="O859" t="s">
        <v>41</v>
      </c>
      <c r="P859" t="s">
        <v>41</v>
      </c>
      <c r="Q859" s="2"/>
      <c r="R859" s="2"/>
      <c r="S859" t="s">
        <v>255</v>
      </c>
      <c r="T859" t="s">
        <v>41</v>
      </c>
      <c r="U859" t="s">
        <v>41</v>
      </c>
      <c r="V859" s="2"/>
      <c r="W859" s="2"/>
      <c r="X859" t="s">
        <v>3875</v>
      </c>
      <c r="Y859">
        <v>71.24</v>
      </c>
      <c r="Z859">
        <v>3026.993</v>
      </c>
      <c r="AA859" s="2"/>
      <c r="AB859" s="2"/>
      <c r="AC859" t="s">
        <v>3810</v>
      </c>
      <c r="AD859">
        <v>74.04</v>
      </c>
      <c r="AE859">
        <v>3176.823</v>
      </c>
      <c r="AF859" s="2">
        <f t="shared" si="55"/>
        <v>0.0393037619314993</v>
      </c>
      <c r="AG859" s="2">
        <f t="shared" si="56"/>
        <v>0.0494979671244697</v>
      </c>
      <c r="AH859" t="s">
        <v>3865</v>
      </c>
      <c r="AI859" t="s">
        <v>3095</v>
      </c>
      <c r="AJ859" t="s">
        <v>625</v>
      </c>
    </row>
    <row r="860" hidden="1" spans="1:36">
      <c r="A860">
        <v>127011</v>
      </c>
      <c r="B860" t="s">
        <v>3879</v>
      </c>
      <c r="C860">
        <v>887</v>
      </c>
      <c r="D860" t="s">
        <v>353</v>
      </c>
      <c r="E860" t="s">
        <v>232</v>
      </c>
      <c r="F860" t="s">
        <v>41</v>
      </c>
      <c r="G860" t="s">
        <v>3880</v>
      </c>
      <c r="H860" t="s">
        <v>621</v>
      </c>
      <c r="I860" t="s">
        <v>255</v>
      </c>
      <c r="J860" t="s">
        <v>255</v>
      </c>
      <c r="K860" t="s">
        <v>255</v>
      </c>
      <c r="L860" t="s">
        <v>41</v>
      </c>
      <c r="M860" t="s">
        <v>41</v>
      </c>
      <c r="N860" t="s">
        <v>255</v>
      </c>
      <c r="O860" t="s">
        <v>41</v>
      </c>
      <c r="P860" t="s">
        <v>41</v>
      </c>
      <c r="Q860" s="2"/>
      <c r="R860" s="2"/>
      <c r="S860" t="s">
        <v>255</v>
      </c>
      <c r="T860" t="s">
        <v>41</v>
      </c>
      <c r="U860" t="s">
        <v>41</v>
      </c>
      <c r="V860" s="2"/>
      <c r="W860" s="2"/>
      <c r="X860" t="s">
        <v>3880</v>
      </c>
      <c r="Y860">
        <v>11.1</v>
      </c>
      <c r="Z860">
        <v>2969.861</v>
      </c>
      <c r="AA860" s="2"/>
      <c r="AB860" s="2"/>
      <c r="AC860" t="s">
        <v>3863</v>
      </c>
      <c r="AD860">
        <v>11.56</v>
      </c>
      <c r="AE860">
        <v>3246.571</v>
      </c>
      <c r="AF860" s="2">
        <f t="shared" si="55"/>
        <v>0.0414414414414415</v>
      </c>
      <c r="AG860" s="2">
        <f t="shared" si="56"/>
        <v>0.0931727107766997</v>
      </c>
      <c r="AH860" t="s">
        <v>3881</v>
      </c>
      <c r="AI860" t="s">
        <v>3882</v>
      </c>
      <c r="AJ860" t="s">
        <v>625</v>
      </c>
    </row>
    <row r="861" hidden="1" spans="1:36">
      <c r="A861">
        <v>128058</v>
      </c>
      <c r="B861" t="s">
        <v>3883</v>
      </c>
      <c r="C861">
        <v>2139</v>
      </c>
      <c r="D861" t="s">
        <v>3884</v>
      </c>
      <c r="E861" t="s">
        <v>3885</v>
      </c>
      <c r="F861" t="s">
        <v>41</v>
      </c>
      <c r="G861" t="s">
        <v>3886</v>
      </c>
      <c r="H861" t="s">
        <v>621</v>
      </c>
      <c r="I861" t="s">
        <v>255</v>
      </c>
      <c r="J861" t="s">
        <v>255</v>
      </c>
      <c r="K861" t="s">
        <v>255</v>
      </c>
      <c r="L861" t="s">
        <v>41</v>
      </c>
      <c r="M861" t="s">
        <v>41</v>
      </c>
      <c r="N861" t="s">
        <v>255</v>
      </c>
      <c r="O861" t="s">
        <v>41</v>
      </c>
      <c r="P861" t="s">
        <v>41</v>
      </c>
      <c r="Q861" s="2"/>
      <c r="R861" s="2"/>
      <c r="S861" t="s">
        <v>255</v>
      </c>
      <c r="T861" t="s">
        <v>41</v>
      </c>
      <c r="U861" t="s">
        <v>41</v>
      </c>
      <c r="V861" s="2"/>
      <c r="W861" s="2"/>
      <c r="X861" t="s">
        <v>3886</v>
      </c>
      <c r="Y861">
        <v>5.48</v>
      </c>
      <c r="Z861">
        <v>3106.418</v>
      </c>
      <c r="AA861" s="2"/>
      <c r="AB861" s="2"/>
      <c r="AC861" t="s">
        <v>3799</v>
      </c>
      <c r="AD861">
        <v>5.8</v>
      </c>
      <c r="AE861">
        <v>3244.81</v>
      </c>
      <c r="AF861" s="2">
        <f t="shared" si="55"/>
        <v>0.0583941605839415</v>
      </c>
      <c r="AG861" s="2">
        <f t="shared" si="56"/>
        <v>0.0445503470556763</v>
      </c>
      <c r="AH861" t="s">
        <v>499</v>
      </c>
      <c r="AI861" t="s">
        <v>2664</v>
      </c>
      <c r="AJ861" t="s">
        <v>625</v>
      </c>
    </row>
    <row r="862" hidden="1" spans="1:36">
      <c r="A862">
        <v>110052</v>
      </c>
      <c r="B862" t="s">
        <v>3887</v>
      </c>
      <c r="C862">
        <v>600996</v>
      </c>
      <c r="D862" t="s">
        <v>3888</v>
      </c>
      <c r="E862" t="s">
        <v>3164</v>
      </c>
      <c r="F862" t="s">
        <v>41</v>
      </c>
      <c r="G862" t="s">
        <v>3889</v>
      </c>
      <c r="H862" t="s">
        <v>621</v>
      </c>
      <c r="I862" t="s">
        <v>255</v>
      </c>
      <c r="J862" t="s">
        <v>255</v>
      </c>
      <c r="K862" t="s">
        <v>255</v>
      </c>
      <c r="L862" t="s">
        <v>41</v>
      </c>
      <c r="M862" t="s">
        <v>41</v>
      </c>
      <c r="N862" t="s">
        <v>255</v>
      </c>
      <c r="O862" t="s">
        <v>41</v>
      </c>
      <c r="P862" t="s">
        <v>41</v>
      </c>
      <c r="Q862" s="2"/>
      <c r="R862" s="2"/>
      <c r="S862" t="s">
        <v>255</v>
      </c>
      <c r="T862" t="s">
        <v>41</v>
      </c>
      <c r="U862" t="s">
        <v>41</v>
      </c>
      <c r="V862" s="2"/>
      <c r="W862" s="2"/>
      <c r="X862" t="s">
        <v>3889</v>
      </c>
      <c r="Y862">
        <v>8.57</v>
      </c>
      <c r="Z862">
        <v>3054.247</v>
      </c>
      <c r="AA862" s="2"/>
      <c r="AB862" s="2"/>
      <c r="AC862" t="s">
        <v>3819</v>
      </c>
      <c r="AD862">
        <v>10.06</v>
      </c>
      <c r="AE862">
        <v>3090.758</v>
      </c>
      <c r="AF862" s="2">
        <f t="shared" si="55"/>
        <v>0.173862310385064</v>
      </c>
      <c r="AG862" s="2">
        <f t="shared" si="56"/>
        <v>0.0119541739747964</v>
      </c>
      <c r="AH862" t="s">
        <v>3890</v>
      </c>
      <c r="AI862" t="s">
        <v>2710</v>
      </c>
      <c r="AJ862" t="s">
        <v>3077</v>
      </c>
    </row>
    <row r="863" hidden="1" spans="1:36">
      <c r="A863">
        <v>128057</v>
      </c>
      <c r="B863" t="s">
        <v>3891</v>
      </c>
      <c r="C863">
        <v>2649</v>
      </c>
      <c r="D863" t="s">
        <v>3892</v>
      </c>
      <c r="E863" t="s">
        <v>251</v>
      </c>
      <c r="F863" t="s">
        <v>41</v>
      </c>
      <c r="G863" t="s">
        <v>3889</v>
      </c>
      <c r="H863" t="s">
        <v>621</v>
      </c>
      <c r="I863" t="s">
        <v>255</v>
      </c>
      <c r="J863" t="s">
        <v>255</v>
      </c>
      <c r="K863" t="s">
        <v>255</v>
      </c>
      <c r="L863" t="s">
        <v>41</v>
      </c>
      <c r="M863" t="s">
        <v>41</v>
      </c>
      <c r="N863" t="s">
        <v>255</v>
      </c>
      <c r="O863" t="s">
        <v>41</v>
      </c>
      <c r="P863" t="s">
        <v>41</v>
      </c>
      <c r="Q863" s="2"/>
      <c r="R863" s="2"/>
      <c r="S863" t="s">
        <v>255</v>
      </c>
      <c r="T863" t="s">
        <v>41</v>
      </c>
      <c r="U863" t="s">
        <v>41</v>
      </c>
      <c r="V863" s="2"/>
      <c r="W863" s="2"/>
      <c r="X863" t="s">
        <v>3889</v>
      </c>
      <c r="Y863">
        <v>8.3</v>
      </c>
      <c r="Z863">
        <v>3054.247</v>
      </c>
      <c r="AA863" s="2"/>
      <c r="AB863" s="2"/>
      <c r="AC863" t="s">
        <v>3810</v>
      </c>
      <c r="AD863">
        <v>8.9</v>
      </c>
      <c r="AE863">
        <v>3176.823</v>
      </c>
      <c r="AF863" s="2">
        <f t="shared" si="55"/>
        <v>0.072289156626506</v>
      </c>
      <c r="AG863" s="2">
        <f t="shared" si="56"/>
        <v>0.0401329689445549</v>
      </c>
      <c r="AH863" t="s">
        <v>3890</v>
      </c>
      <c r="AI863" t="s">
        <v>2244</v>
      </c>
      <c r="AJ863" t="s">
        <v>625</v>
      </c>
    </row>
    <row r="864" hidden="1" spans="1:36">
      <c r="A864">
        <v>113021</v>
      </c>
      <c r="B864" t="s">
        <v>3893</v>
      </c>
      <c r="C864">
        <v>601998</v>
      </c>
      <c r="D864" t="s">
        <v>3894</v>
      </c>
      <c r="E864" t="s">
        <v>3895</v>
      </c>
      <c r="F864" t="s">
        <v>41</v>
      </c>
      <c r="G864" t="s">
        <v>3896</v>
      </c>
      <c r="H864" t="s">
        <v>621</v>
      </c>
      <c r="I864" t="s">
        <v>255</v>
      </c>
      <c r="J864" t="s">
        <v>255</v>
      </c>
      <c r="K864" t="s">
        <v>255</v>
      </c>
      <c r="L864" t="s">
        <v>41</v>
      </c>
      <c r="M864" t="s">
        <v>41</v>
      </c>
      <c r="N864" t="s">
        <v>255</v>
      </c>
      <c r="O864" t="s">
        <v>41</v>
      </c>
      <c r="P864" t="s">
        <v>41</v>
      </c>
      <c r="Q864" s="2"/>
      <c r="R864" s="2"/>
      <c r="S864" t="s">
        <v>255</v>
      </c>
      <c r="T864" t="s">
        <v>41</v>
      </c>
      <c r="U864" t="s">
        <v>41</v>
      </c>
      <c r="V864" s="2"/>
      <c r="W864" s="2"/>
      <c r="X864" t="s">
        <v>3896</v>
      </c>
      <c r="Y864">
        <v>4.69</v>
      </c>
      <c r="Z864">
        <v>3027.576</v>
      </c>
      <c r="AA864" s="2"/>
      <c r="AB864" s="2"/>
      <c r="AC864" t="s">
        <v>3852</v>
      </c>
      <c r="AD864">
        <v>4.18</v>
      </c>
      <c r="AE864">
        <v>3090.975</v>
      </c>
      <c r="AF864" s="2">
        <f t="shared" si="55"/>
        <v>-0.108742004264392</v>
      </c>
      <c r="AG864" s="2">
        <f t="shared" si="56"/>
        <v>0.020940514788068</v>
      </c>
      <c r="AH864" t="s">
        <v>375</v>
      </c>
      <c r="AI864" t="s">
        <v>2299</v>
      </c>
      <c r="AJ864" t="s">
        <v>3077</v>
      </c>
    </row>
    <row r="865" hidden="1" spans="1:36">
      <c r="A865">
        <v>123021</v>
      </c>
      <c r="B865" t="s">
        <v>3897</v>
      </c>
      <c r="C865">
        <v>300168</v>
      </c>
      <c r="D865" t="s">
        <v>3898</v>
      </c>
      <c r="E865" t="s">
        <v>232</v>
      </c>
      <c r="F865" t="s">
        <v>41</v>
      </c>
      <c r="G865" t="s">
        <v>3896</v>
      </c>
      <c r="H865" t="s">
        <v>621</v>
      </c>
      <c r="I865" t="s">
        <v>255</v>
      </c>
      <c r="J865" t="s">
        <v>255</v>
      </c>
      <c r="K865" t="s">
        <v>255</v>
      </c>
      <c r="L865" t="s">
        <v>41</v>
      </c>
      <c r="M865" t="s">
        <v>41</v>
      </c>
      <c r="N865" t="s">
        <v>255</v>
      </c>
      <c r="O865" t="s">
        <v>41</v>
      </c>
      <c r="P865" t="s">
        <v>41</v>
      </c>
      <c r="Q865" s="2"/>
      <c r="R865" s="2"/>
      <c r="S865" t="s">
        <v>255</v>
      </c>
      <c r="T865" t="s">
        <v>41</v>
      </c>
      <c r="U865" t="s">
        <v>41</v>
      </c>
      <c r="V865" s="2"/>
      <c r="W865" s="2"/>
      <c r="X865" t="s">
        <v>3896</v>
      </c>
      <c r="Y865">
        <v>14.14</v>
      </c>
      <c r="Z865">
        <v>3027.576</v>
      </c>
      <c r="AA865" s="2"/>
      <c r="AB865" s="2"/>
      <c r="AC865" t="s">
        <v>3899</v>
      </c>
      <c r="AD865">
        <v>15.26</v>
      </c>
      <c r="AE865">
        <v>3043.031</v>
      </c>
      <c r="AF865" s="2">
        <f t="shared" si="55"/>
        <v>0.0792079207920792</v>
      </c>
      <c r="AG865" s="2">
        <f t="shared" si="56"/>
        <v>0.00510474386109545</v>
      </c>
      <c r="AH865" t="s">
        <v>2534</v>
      </c>
      <c r="AI865" t="s">
        <v>3276</v>
      </c>
      <c r="AJ865" t="s">
        <v>625</v>
      </c>
    </row>
    <row r="866" hidden="1" spans="1:36">
      <c r="A866">
        <v>113528</v>
      </c>
      <c r="B866" t="s">
        <v>3900</v>
      </c>
      <c r="C866">
        <v>603897</v>
      </c>
      <c r="D866" t="s">
        <v>3901</v>
      </c>
      <c r="E866" t="s">
        <v>3902</v>
      </c>
      <c r="F866" t="s">
        <v>41</v>
      </c>
      <c r="G866" t="s">
        <v>3903</v>
      </c>
      <c r="H866" t="s">
        <v>621</v>
      </c>
      <c r="I866" t="s">
        <v>255</v>
      </c>
      <c r="J866" t="s">
        <v>255</v>
      </c>
      <c r="K866" t="s">
        <v>255</v>
      </c>
      <c r="L866" t="s">
        <v>41</v>
      </c>
      <c r="M866" t="s">
        <v>41</v>
      </c>
      <c r="N866" t="s">
        <v>255</v>
      </c>
      <c r="O866" t="s">
        <v>41</v>
      </c>
      <c r="P866" t="s">
        <v>41</v>
      </c>
      <c r="Q866" s="2"/>
      <c r="R866" s="2"/>
      <c r="S866" t="s">
        <v>255</v>
      </c>
      <c r="T866" t="s">
        <v>41</v>
      </c>
      <c r="U866" t="s">
        <v>41</v>
      </c>
      <c r="V866" s="2"/>
      <c r="W866" s="2"/>
      <c r="X866" t="s">
        <v>3903</v>
      </c>
      <c r="Y866">
        <v>16.77</v>
      </c>
      <c r="Z866">
        <v>2994.005</v>
      </c>
      <c r="AA866" s="2"/>
      <c r="AB866" s="2"/>
      <c r="AC866" t="s">
        <v>3848</v>
      </c>
      <c r="AD866">
        <v>18.56</v>
      </c>
      <c r="AE866">
        <v>3090.64</v>
      </c>
      <c r="AF866" s="2">
        <f t="shared" si="55"/>
        <v>0.106738223017293</v>
      </c>
      <c r="AG866" s="2">
        <f t="shared" si="56"/>
        <v>0.0322761652034648</v>
      </c>
      <c r="AH866" t="s">
        <v>94</v>
      </c>
      <c r="AI866" t="s">
        <v>3904</v>
      </c>
      <c r="AJ866" t="s">
        <v>625</v>
      </c>
    </row>
    <row r="867" hidden="1" spans="1:36">
      <c r="A867">
        <v>123020</v>
      </c>
      <c r="B867" t="s">
        <v>3905</v>
      </c>
      <c r="C867">
        <v>300497</v>
      </c>
      <c r="D867" t="s">
        <v>3906</v>
      </c>
      <c r="E867" t="s">
        <v>1485</v>
      </c>
      <c r="F867" t="s">
        <v>41</v>
      </c>
      <c r="G867" t="s">
        <v>3903</v>
      </c>
      <c r="H867" t="s">
        <v>621</v>
      </c>
      <c r="I867" t="s">
        <v>255</v>
      </c>
      <c r="J867" t="s">
        <v>255</v>
      </c>
      <c r="K867" t="s">
        <v>255</v>
      </c>
      <c r="L867" t="s">
        <v>41</v>
      </c>
      <c r="M867" t="s">
        <v>41</v>
      </c>
      <c r="N867" t="s">
        <v>255</v>
      </c>
      <c r="O867" t="s">
        <v>41</v>
      </c>
      <c r="P867" t="s">
        <v>41</v>
      </c>
      <c r="Q867" s="2"/>
      <c r="R867" s="2"/>
      <c r="S867" t="s">
        <v>255</v>
      </c>
      <c r="T867" t="s">
        <v>41</v>
      </c>
      <c r="U867" t="s">
        <v>41</v>
      </c>
      <c r="V867" s="2"/>
      <c r="W867" s="2"/>
      <c r="X867" t="s">
        <v>3903</v>
      </c>
      <c r="Y867">
        <v>9.13</v>
      </c>
      <c r="Z867">
        <v>2994.005</v>
      </c>
      <c r="AA867" s="2"/>
      <c r="AB867" s="2"/>
      <c r="AC867" t="s">
        <v>3819</v>
      </c>
      <c r="AD867">
        <v>11.24</v>
      </c>
      <c r="AE867">
        <v>3090.758</v>
      </c>
      <c r="AF867" s="2">
        <f t="shared" si="55"/>
        <v>0.231106243154436</v>
      </c>
      <c r="AG867" s="2">
        <f t="shared" si="56"/>
        <v>0.032315577295295</v>
      </c>
      <c r="AH867" t="s">
        <v>94</v>
      </c>
      <c r="AI867" t="s">
        <v>3907</v>
      </c>
      <c r="AJ867" t="s">
        <v>625</v>
      </c>
    </row>
    <row r="868" hidden="1" spans="1:36">
      <c r="A868">
        <v>128056</v>
      </c>
      <c r="B868" t="s">
        <v>3908</v>
      </c>
      <c r="C868">
        <v>2863</v>
      </c>
      <c r="D868" t="s">
        <v>3909</v>
      </c>
      <c r="E868" t="s">
        <v>2934</v>
      </c>
      <c r="F868" t="s">
        <v>41</v>
      </c>
      <c r="G868" t="s">
        <v>3910</v>
      </c>
      <c r="H868" t="s">
        <v>621</v>
      </c>
      <c r="I868" t="s">
        <v>255</v>
      </c>
      <c r="J868" t="s">
        <v>255</v>
      </c>
      <c r="K868" t="s">
        <v>255</v>
      </c>
      <c r="L868" t="s">
        <v>41</v>
      </c>
      <c r="M868" t="s">
        <v>41</v>
      </c>
      <c r="N868" t="s">
        <v>255</v>
      </c>
      <c r="O868" t="s">
        <v>41</v>
      </c>
      <c r="P868" t="s">
        <v>41</v>
      </c>
      <c r="Q868" s="2"/>
      <c r="R868" s="2"/>
      <c r="S868" t="s">
        <v>255</v>
      </c>
      <c r="T868" t="s">
        <v>41</v>
      </c>
      <c r="U868" t="s">
        <v>41</v>
      </c>
      <c r="V868" s="2"/>
      <c r="W868" s="2"/>
      <c r="X868" t="s">
        <v>3910</v>
      </c>
      <c r="Y868">
        <v>6.8</v>
      </c>
      <c r="Z868">
        <v>2940.954</v>
      </c>
      <c r="AA868" s="2"/>
      <c r="AB868" s="2"/>
      <c r="AC868" t="s">
        <v>3838</v>
      </c>
      <c r="AD868">
        <v>7.12</v>
      </c>
      <c r="AE868">
        <v>3104.149</v>
      </c>
      <c r="AF868" s="2">
        <f t="shared" si="55"/>
        <v>0.0470588235294118</v>
      </c>
      <c r="AG868" s="2">
        <f t="shared" si="56"/>
        <v>0.0554904973012158</v>
      </c>
      <c r="AH868" t="s">
        <v>3911</v>
      </c>
      <c r="AI868" t="s">
        <v>34</v>
      </c>
      <c r="AJ868" t="s">
        <v>3077</v>
      </c>
    </row>
    <row r="869" hidden="1" spans="1:36">
      <c r="A869">
        <v>110051</v>
      </c>
      <c r="B869" t="s">
        <v>3912</v>
      </c>
      <c r="C869">
        <v>600522</v>
      </c>
      <c r="D869" t="s">
        <v>3913</v>
      </c>
      <c r="E869" t="s">
        <v>3914</v>
      </c>
      <c r="F869" t="s">
        <v>41</v>
      </c>
      <c r="G869" t="s">
        <v>3910</v>
      </c>
      <c r="H869" t="s">
        <v>621</v>
      </c>
      <c r="I869" t="s">
        <v>255</v>
      </c>
      <c r="J869" t="s">
        <v>255</v>
      </c>
      <c r="K869" t="s">
        <v>255</v>
      </c>
      <c r="L869" t="s">
        <v>41</v>
      </c>
      <c r="M869" t="s">
        <v>41</v>
      </c>
      <c r="N869" t="s">
        <v>255</v>
      </c>
      <c r="O869" t="s">
        <v>41</v>
      </c>
      <c r="P869" t="s">
        <v>41</v>
      </c>
      <c r="Q869" s="2"/>
      <c r="R869" s="2"/>
      <c r="S869" t="s">
        <v>255</v>
      </c>
      <c r="T869" t="s">
        <v>41</v>
      </c>
      <c r="U869" t="s">
        <v>41</v>
      </c>
      <c r="V869" s="2"/>
      <c r="W869" s="2"/>
      <c r="X869" t="s">
        <v>3910</v>
      </c>
      <c r="Y869">
        <v>8.87</v>
      </c>
      <c r="Z869">
        <v>2940.954</v>
      </c>
      <c r="AA869" s="2"/>
      <c r="AB869" s="2"/>
      <c r="AC869" t="s">
        <v>3838</v>
      </c>
      <c r="AD869">
        <v>9.1</v>
      </c>
      <c r="AE869">
        <v>3104.149</v>
      </c>
      <c r="AF869" s="2">
        <f t="shared" si="55"/>
        <v>0.0259301014656145</v>
      </c>
      <c r="AG869" s="2">
        <f t="shared" si="56"/>
        <v>0.0554904973012158</v>
      </c>
      <c r="AH869" t="s">
        <v>3911</v>
      </c>
      <c r="AI869" t="s">
        <v>3915</v>
      </c>
      <c r="AJ869" t="s">
        <v>625</v>
      </c>
    </row>
    <row r="870" hidden="1" spans="1:36">
      <c r="A870">
        <v>128055</v>
      </c>
      <c r="B870" t="s">
        <v>3916</v>
      </c>
      <c r="C870">
        <v>2391</v>
      </c>
      <c r="D870" t="s">
        <v>3917</v>
      </c>
      <c r="E870" t="s">
        <v>3918</v>
      </c>
      <c r="F870" t="s">
        <v>41</v>
      </c>
      <c r="G870" t="s">
        <v>3919</v>
      </c>
      <c r="H870" t="s">
        <v>621</v>
      </c>
      <c r="I870" t="s">
        <v>255</v>
      </c>
      <c r="J870" t="s">
        <v>255</v>
      </c>
      <c r="K870" t="s">
        <v>255</v>
      </c>
      <c r="L870" t="s">
        <v>41</v>
      </c>
      <c r="M870" t="s">
        <v>41</v>
      </c>
      <c r="N870" t="s">
        <v>255</v>
      </c>
      <c r="O870" t="s">
        <v>41</v>
      </c>
      <c r="P870" t="s">
        <v>41</v>
      </c>
      <c r="Q870" s="2"/>
      <c r="R870" s="2"/>
      <c r="S870" t="s">
        <v>255</v>
      </c>
      <c r="T870" t="s">
        <v>41</v>
      </c>
      <c r="U870" t="s">
        <v>41</v>
      </c>
      <c r="V870" s="2"/>
      <c r="W870" s="2"/>
      <c r="X870" t="s">
        <v>3919</v>
      </c>
      <c r="Y870">
        <v>6.74</v>
      </c>
      <c r="Z870">
        <v>2953.824</v>
      </c>
      <c r="AA870" s="2"/>
      <c r="AB870" s="2"/>
      <c r="AC870" t="s">
        <v>3804</v>
      </c>
      <c r="AD870">
        <v>8.46</v>
      </c>
      <c r="AE870">
        <v>3216.295</v>
      </c>
      <c r="AF870" s="2">
        <f t="shared" si="55"/>
        <v>0.255192878338279</v>
      </c>
      <c r="AG870" s="2">
        <f t="shared" si="56"/>
        <v>0.0888580362269384</v>
      </c>
      <c r="AH870" t="s">
        <v>2710</v>
      </c>
      <c r="AI870" t="s">
        <v>3387</v>
      </c>
      <c r="AJ870" t="s">
        <v>625</v>
      </c>
    </row>
    <row r="871" hidden="1" spans="1:36">
      <c r="A871">
        <v>123019</v>
      </c>
      <c r="B871" t="s">
        <v>3920</v>
      </c>
      <c r="C871">
        <v>300393</v>
      </c>
      <c r="D871" t="s">
        <v>3921</v>
      </c>
      <c r="E871" t="s">
        <v>55</v>
      </c>
      <c r="F871" t="s">
        <v>41</v>
      </c>
      <c r="G871" t="s">
        <v>3922</v>
      </c>
      <c r="H871" t="s">
        <v>621</v>
      </c>
      <c r="I871" t="s">
        <v>255</v>
      </c>
      <c r="J871" t="s">
        <v>255</v>
      </c>
      <c r="K871" t="s">
        <v>255</v>
      </c>
      <c r="L871" t="s">
        <v>41</v>
      </c>
      <c r="M871" t="s">
        <v>41</v>
      </c>
      <c r="N871" t="s">
        <v>255</v>
      </c>
      <c r="O871" t="s">
        <v>41</v>
      </c>
      <c r="P871" t="s">
        <v>41</v>
      </c>
      <c r="Q871" s="2"/>
      <c r="R871" s="2"/>
      <c r="S871" t="s">
        <v>255</v>
      </c>
      <c r="T871" t="s">
        <v>41</v>
      </c>
      <c r="U871" t="s">
        <v>41</v>
      </c>
      <c r="V871" s="2"/>
      <c r="W871" s="2"/>
      <c r="X871" t="s">
        <v>3922</v>
      </c>
      <c r="Y871">
        <v>5.77</v>
      </c>
      <c r="Z871">
        <v>2961.283</v>
      </c>
      <c r="AA871" s="2"/>
      <c r="AB871" s="2"/>
      <c r="AC871" t="s">
        <v>3838</v>
      </c>
      <c r="AD871">
        <v>5.8</v>
      </c>
      <c r="AE871">
        <v>3104.149</v>
      </c>
      <c r="AF871" s="2">
        <f t="shared" si="55"/>
        <v>0.00519930675909883</v>
      </c>
      <c r="AG871" s="2">
        <f t="shared" si="56"/>
        <v>0.0482446291016428</v>
      </c>
      <c r="AH871" t="s">
        <v>34</v>
      </c>
      <c r="AI871" t="s">
        <v>3923</v>
      </c>
      <c r="AJ871" t="s">
        <v>625</v>
      </c>
    </row>
    <row r="872" hidden="1" spans="1:36">
      <c r="A872">
        <v>128054</v>
      </c>
      <c r="B872" t="s">
        <v>3924</v>
      </c>
      <c r="C872">
        <v>2891</v>
      </c>
      <c r="D872" t="s">
        <v>1652</v>
      </c>
      <c r="E872" t="s">
        <v>3925</v>
      </c>
      <c r="F872" t="s">
        <v>41</v>
      </c>
      <c r="G872" t="s">
        <v>3926</v>
      </c>
      <c r="H872" t="s">
        <v>621</v>
      </c>
      <c r="I872" t="s">
        <v>255</v>
      </c>
      <c r="J872" t="s">
        <v>255</v>
      </c>
      <c r="K872" t="s">
        <v>255</v>
      </c>
      <c r="L872" t="s">
        <v>41</v>
      </c>
      <c r="M872" t="s">
        <v>41</v>
      </c>
      <c r="N872" t="s">
        <v>255</v>
      </c>
      <c r="O872" t="s">
        <v>41</v>
      </c>
      <c r="P872" t="s">
        <v>41</v>
      </c>
      <c r="Q872" s="2"/>
      <c r="R872" s="2"/>
      <c r="S872" t="s">
        <v>255</v>
      </c>
      <c r="T872" t="s">
        <v>41</v>
      </c>
      <c r="U872" t="s">
        <v>41</v>
      </c>
      <c r="V872" s="2"/>
      <c r="W872" s="2"/>
      <c r="X872" t="s">
        <v>3926</v>
      </c>
      <c r="Y872">
        <v>13.52</v>
      </c>
      <c r="Z872">
        <v>2682.385</v>
      </c>
      <c r="AA872" s="2"/>
      <c r="AB872" s="2"/>
      <c r="AC872" t="s">
        <v>3868</v>
      </c>
      <c r="AD872">
        <v>14.01</v>
      </c>
      <c r="AE872">
        <v>2990.685</v>
      </c>
      <c r="AF872" s="2">
        <f t="shared" si="55"/>
        <v>0.0362426035502959</v>
      </c>
      <c r="AG872" s="2">
        <f t="shared" si="56"/>
        <v>0.114935029833525</v>
      </c>
      <c r="AH872" t="s">
        <v>3927</v>
      </c>
      <c r="AI872" t="s">
        <v>2807</v>
      </c>
      <c r="AJ872" t="s">
        <v>625</v>
      </c>
    </row>
    <row r="873" hidden="1" spans="1:36">
      <c r="A873">
        <v>128053</v>
      </c>
      <c r="B873" t="s">
        <v>3928</v>
      </c>
      <c r="C873">
        <v>2551</v>
      </c>
      <c r="D873" t="s">
        <v>3929</v>
      </c>
      <c r="E873" t="s">
        <v>145</v>
      </c>
      <c r="F873" t="s">
        <v>41</v>
      </c>
      <c r="G873" t="s">
        <v>3930</v>
      </c>
      <c r="H873" t="s">
        <v>621</v>
      </c>
      <c r="I873" t="s">
        <v>255</v>
      </c>
      <c r="J873" t="s">
        <v>255</v>
      </c>
      <c r="K873" t="s">
        <v>255</v>
      </c>
      <c r="L873" t="s">
        <v>41</v>
      </c>
      <c r="M873" t="s">
        <v>41</v>
      </c>
      <c r="N873" t="s">
        <v>255</v>
      </c>
      <c r="O873" t="s">
        <v>41</v>
      </c>
      <c r="P873" t="s">
        <v>41</v>
      </c>
      <c r="Q873" s="2"/>
      <c r="R873" s="2"/>
      <c r="S873" t="s">
        <v>255</v>
      </c>
      <c r="T873" t="s">
        <v>41</v>
      </c>
      <c r="U873" t="s">
        <v>41</v>
      </c>
      <c r="V873" s="2"/>
      <c r="W873" s="2"/>
      <c r="X873" t="s">
        <v>3930</v>
      </c>
      <c r="Y873">
        <v>4.96</v>
      </c>
      <c r="Z873">
        <v>2719.7</v>
      </c>
      <c r="AA873" s="2"/>
      <c r="AB873" s="2"/>
      <c r="AC873" t="s">
        <v>3886</v>
      </c>
      <c r="AD873">
        <v>6.11</v>
      </c>
      <c r="AE873">
        <v>3106.418</v>
      </c>
      <c r="AF873" s="2">
        <f t="shared" si="55"/>
        <v>0.231854838709677</v>
      </c>
      <c r="AG873" s="2">
        <f t="shared" si="56"/>
        <v>0.142191418171122</v>
      </c>
      <c r="AH873" t="s">
        <v>47</v>
      </c>
      <c r="AI873" t="s">
        <v>110</v>
      </c>
      <c r="AJ873" t="s">
        <v>3077</v>
      </c>
    </row>
    <row r="874" hidden="1" spans="1:36">
      <c r="A874">
        <v>113527</v>
      </c>
      <c r="B874" t="s">
        <v>3931</v>
      </c>
      <c r="C874">
        <v>603518</v>
      </c>
      <c r="D874" t="s">
        <v>3932</v>
      </c>
      <c r="E874" t="s">
        <v>3933</v>
      </c>
      <c r="F874" t="s">
        <v>41</v>
      </c>
      <c r="G874" t="s">
        <v>3934</v>
      </c>
      <c r="H874" t="s">
        <v>621</v>
      </c>
      <c r="I874" t="s">
        <v>255</v>
      </c>
      <c r="J874" t="s">
        <v>255</v>
      </c>
      <c r="K874" t="s">
        <v>255</v>
      </c>
      <c r="L874" t="s">
        <v>41</v>
      </c>
      <c r="M874" t="s">
        <v>41</v>
      </c>
      <c r="N874" t="s">
        <v>255</v>
      </c>
      <c r="O874" t="s">
        <v>41</v>
      </c>
      <c r="P874" t="s">
        <v>41</v>
      </c>
      <c r="Q874" s="2"/>
      <c r="R874" s="2"/>
      <c r="S874" t="s">
        <v>255</v>
      </c>
      <c r="T874" t="s">
        <v>41</v>
      </c>
      <c r="U874" t="s">
        <v>41</v>
      </c>
      <c r="V874" s="2"/>
      <c r="W874" s="2"/>
      <c r="X874" t="s">
        <v>3934</v>
      </c>
      <c r="Y874">
        <v>9.66</v>
      </c>
      <c r="Z874">
        <v>2591.694</v>
      </c>
      <c r="AA874" s="2"/>
      <c r="AB874" s="2"/>
      <c r="AC874" t="s">
        <v>3935</v>
      </c>
      <c r="AD874">
        <v>9.92</v>
      </c>
      <c r="AE874">
        <v>2755.646</v>
      </c>
      <c r="AF874" s="2">
        <f t="shared" si="55"/>
        <v>0.0269151138716356</v>
      </c>
      <c r="AG874" s="2">
        <f t="shared" si="56"/>
        <v>0.0632605546796806</v>
      </c>
      <c r="AH874" t="s">
        <v>525</v>
      </c>
      <c r="AI874" t="s">
        <v>602</v>
      </c>
      <c r="AJ874" t="s">
        <v>3077</v>
      </c>
    </row>
    <row r="875" hidden="1" spans="1:36">
      <c r="A875">
        <v>113526</v>
      </c>
      <c r="B875" t="s">
        <v>3936</v>
      </c>
      <c r="C875">
        <v>603797</v>
      </c>
      <c r="D875" t="s">
        <v>3937</v>
      </c>
      <c r="E875" t="s">
        <v>3938</v>
      </c>
      <c r="F875" t="s">
        <v>41</v>
      </c>
      <c r="G875" t="s">
        <v>3939</v>
      </c>
      <c r="H875" t="s">
        <v>621</v>
      </c>
      <c r="I875" t="s">
        <v>255</v>
      </c>
      <c r="J875" t="s">
        <v>255</v>
      </c>
      <c r="K875" t="s">
        <v>255</v>
      </c>
      <c r="L875" t="s">
        <v>41</v>
      </c>
      <c r="M875" t="s">
        <v>41</v>
      </c>
      <c r="N875" t="s">
        <v>255</v>
      </c>
      <c r="O875" t="s">
        <v>41</v>
      </c>
      <c r="P875" t="s">
        <v>41</v>
      </c>
      <c r="Q875" s="2"/>
      <c r="R875" s="2"/>
      <c r="S875" t="s">
        <v>255</v>
      </c>
      <c r="T875" t="s">
        <v>41</v>
      </c>
      <c r="U875" t="s">
        <v>41</v>
      </c>
      <c r="V875" s="2"/>
      <c r="W875" s="2"/>
      <c r="X875" t="s">
        <v>3939</v>
      </c>
      <c r="Y875">
        <v>5.51</v>
      </c>
      <c r="Z875">
        <v>2581.004</v>
      </c>
      <c r="AA875" s="2"/>
      <c r="AB875" s="2"/>
      <c r="AC875" t="s">
        <v>3940</v>
      </c>
      <c r="AD875">
        <v>5.66</v>
      </c>
      <c r="AE875">
        <v>2754.357</v>
      </c>
      <c r="AF875" s="2">
        <f t="shared" si="55"/>
        <v>0.0272232304900182</v>
      </c>
      <c r="AG875" s="2">
        <f t="shared" si="56"/>
        <v>0.0671649482139509</v>
      </c>
      <c r="AH875" t="s">
        <v>518</v>
      </c>
      <c r="AI875" t="s">
        <v>3941</v>
      </c>
      <c r="AJ875" t="s">
        <v>3077</v>
      </c>
    </row>
    <row r="876" hidden="1" spans="1:36">
      <c r="A876">
        <v>127010</v>
      </c>
      <c r="B876" t="s">
        <v>3942</v>
      </c>
      <c r="C876">
        <v>1</v>
      </c>
      <c r="D876" t="s">
        <v>3943</v>
      </c>
      <c r="E876" t="s">
        <v>3944</v>
      </c>
      <c r="F876" t="s">
        <v>41</v>
      </c>
      <c r="G876" t="s">
        <v>3945</v>
      </c>
      <c r="H876" t="s">
        <v>621</v>
      </c>
      <c r="I876" t="s">
        <v>255</v>
      </c>
      <c r="J876" t="s">
        <v>255</v>
      </c>
      <c r="K876" t="s">
        <v>255</v>
      </c>
      <c r="L876" t="s">
        <v>41</v>
      </c>
      <c r="M876" t="s">
        <v>41</v>
      </c>
      <c r="N876" t="s">
        <v>255</v>
      </c>
      <c r="O876" t="s">
        <v>41</v>
      </c>
      <c r="P876" t="s">
        <v>41</v>
      </c>
      <c r="Q876" s="2"/>
      <c r="R876" s="2"/>
      <c r="S876" t="s">
        <v>255</v>
      </c>
      <c r="T876" t="s">
        <v>41</v>
      </c>
      <c r="U876" t="s">
        <v>41</v>
      </c>
      <c r="V876" s="2"/>
      <c r="W876" s="2"/>
      <c r="X876" t="s">
        <v>3945</v>
      </c>
      <c r="Y876">
        <v>7.72</v>
      </c>
      <c r="Z876">
        <v>2610.509</v>
      </c>
      <c r="AA876" s="2"/>
      <c r="AB876" s="2"/>
      <c r="AC876" t="s">
        <v>3940</v>
      </c>
      <c r="AD876">
        <v>8.74</v>
      </c>
      <c r="AE876">
        <v>2754.357</v>
      </c>
      <c r="AF876" s="2">
        <f t="shared" si="55"/>
        <v>0.132124352331606</v>
      </c>
      <c r="AG876" s="2">
        <f t="shared" si="56"/>
        <v>0.0551034300207354</v>
      </c>
      <c r="AH876" t="s">
        <v>3946</v>
      </c>
      <c r="AI876" t="s">
        <v>3947</v>
      </c>
      <c r="AJ876" t="s">
        <v>625</v>
      </c>
    </row>
    <row r="877" hidden="1" spans="1:36">
      <c r="A877">
        <v>127009</v>
      </c>
      <c r="B877" t="s">
        <v>3948</v>
      </c>
      <c r="C877">
        <v>811</v>
      </c>
      <c r="D877" t="s">
        <v>3949</v>
      </c>
      <c r="E877" t="s">
        <v>3950</v>
      </c>
      <c r="F877" t="s">
        <v>41</v>
      </c>
      <c r="G877" t="s">
        <v>3951</v>
      </c>
      <c r="H877" t="s">
        <v>621</v>
      </c>
      <c r="I877" t="s">
        <v>255</v>
      </c>
      <c r="J877" t="s">
        <v>255</v>
      </c>
      <c r="K877" t="s">
        <v>255</v>
      </c>
      <c r="L877" t="s">
        <v>41</v>
      </c>
      <c r="M877" t="s">
        <v>41</v>
      </c>
      <c r="N877" t="s">
        <v>255</v>
      </c>
      <c r="O877" t="s">
        <v>41</v>
      </c>
      <c r="P877" t="s">
        <v>41</v>
      </c>
      <c r="Q877" s="2"/>
      <c r="R877" s="2"/>
      <c r="S877" t="s">
        <v>255</v>
      </c>
      <c r="T877" t="s">
        <v>41</v>
      </c>
      <c r="U877" t="s">
        <v>41</v>
      </c>
      <c r="V877" s="2"/>
      <c r="W877" s="2"/>
      <c r="X877" t="s">
        <v>3951</v>
      </c>
      <c r="Y877">
        <v>3.58</v>
      </c>
      <c r="Z877">
        <v>2535.765</v>
      </c>
      <c r="AA877" s="2"/>
      <c r="AB877" s="2"/>
      <c r="AC877" t="s">
        <v>3952</v>
      </c>
      <c r="AD877">
        <v>3.76</v>
      </c>
      <c r="AE877">
        <v>2751.801</v>
      </c>
      <c r="AF877" s="2">
        <f t="shared" si="55"/>
        <v>0.0502793296089385</v>
      </c>
      <c r="AG877" s="2">
        <f t="shared" si="56"/>
        <v>0.0851955918628107</v>
      </c>
      <c r="AH877" t="s">
        <v>3953</v>
      </c>
      <c r="AI877" t="s">
        <v>3644</v>
      </c>
      <c r="AJ877" t="s">
        <v>625</v>
      </c>
    </row>
    <row r="878" hidden="1" spans="1:36">
      <c r="A878">
        <v>128052</v>
      </c>
      <c r="B878" t="s">
        <v>3954</v>
      </c>
      <c r="C878">
        <v>2783</v>
      </c>
      <c r="D878" t="s">
        <v>3955</v>
      </c>
      <c r="E878" t="s">
        <v>1374</v>
      </c>
      <c r="F878" t="s">
        <v>41</v>
      </c>
      <c r="G878" t="s">
        <v>3956</v>
      </c>
      <c r="H878" t="s">
        <v>621</v>
      </c>
      <c r="I878" t="s">
        <v>255</v>
      </c>
      <c r="J878" t="s">
        <v>255</v>
      </c>
      <c r="K878" t="s">
        <v>255</v>
      </c>
      <c r="L878" t="s">
        <v>41</v>
      </c>
      <c r="M878" t="s">
        <v>41</v>
      </c>
      <c r="N878" t="s">
        <v>255</v>
      </c>
      <c r="O878" t="s">
        <v>41</v>
      </c>
      <c r="P878" t="s">
        <v>41</v>
      </c>
      <c r="Q878" s="2"/>
      <c r="R878" s="2"/>
      <c r="S878" t="s">
        <v>255</v>
      </c>
      <c r="T878" t="s">
        <v>41</v>
      </c>
      <c r="U878" t="s">
        <v>41</v>
      </c>
      <c r="V878" s="2"/>
      <c r="W878" s="2"/>
      <c r="X878" t="s">
        <v>3956</v>
      </c>
      <c r="Y878">
        <v>5.88</v>
      </c>
      <c r="Z878">
        <v>2516.251</v>
      </c>
      <c r="AA878" s="2"/>
      <c r="AB878" s="2"/>
      <c r="AC878" t="s">
        <v>3945</v>
      </c>
      <c r="AD878">
        <v>7.19</v>
      </c>
      <c r="AE878">
        <v>2610.509</v>
      </c>
      <c r="AF878" s="2">
        <f t="shared" si="55"/>
        <v>0.222789115646259</v>
      </c>
      <c r="AG878" s="2">
        <f t="shared" si="56"/>
        <v>0.037459696985714</v>
      </c>
      <c r="AH878" t="s">
        <v>3957</v>
      </c>
      <c r="AI878" t="s">
        <v>3958</v>
      </c>
      <c r="AJ878" t="s">
        <v>625</v>
      </c>
    </row>
    <row r="879" hidden="1" spans="1:36">
      <c r="A879">
        <v>123018</v>
      </c>
      <c r="B879" t="s">
        <v>3959</v>
      </c>
      <c r="C879">
        <v>300381</v>
      </c>
      <c r="D879" t="s">
        <v>3960</v>
      </c>
      <c r="E879" t="s">
        <v>3201</v>
      </c>
      <c r="F879" t="s">
        <v>41</v>
      </c>
      <c r="G879" t="s">
        <v>3961</v>
      </c>
      <c r="H879" t="s">
        <v>621</v>
      </c>
      <c r="I879" t="s">
        <v>255</v>
      </c>
      <c r="J879" t="s">
        <v>255</v>
      </c>
      <c r="K879" t="s">
        <v>255</v>
      </c>
      <c r="L879" t="s">
        <v>41</v>
      </c>
      <c r="M879" t="s">
        <v>41</v>
      </c>
      <c r="N879" t="s">
        <v>255</v>
      </c>
      <c r="O879" t="s">
        <v>41</v>
      </c>
      <c r="P879" t="s">
        <v>41</v>
      </c>
      <c r="Q879" s="2"/>
      <c r="R879" s="2"/>
      <c r="S879" t="s">
        <v>255</v>
      </c>
      <c r="T879" t="s">
        <v>41</v>
      </c>
      <c r="U879" t="s">
        <v>41</v>
      </c>
      <c r="V879" s="2"/>
      <c r="W879" s="2"/>
      <c r="X879" t="s">
        <v>3961</v>
      </c>
      <c r="Y879">
        <v>7.87</v>
      </c>
      <c r="Z879">
        <v>2536.268</v>
      </c>
      <c r="AA879" s="2"/>
      <c r="AB879" s="2"/>
      <c r="AC879" t="s">
        <v>3939</v>
      </c>
      <c r="AD879">
        <v>7.44</v>
      </c>
      <c r="AE879">
        <v>2581.004</v>
      </c>
      <c r="AF879" s="2">
        <f t="shared" si="55"/>
        <v>-0.0546378653113087</v>
      </c>
      <c r="AG879" s="2">
        <f t="shared" si="56"/>
        <v>0.0176385145418386</v>
      </c>
      <c r="AH879" t="s">
        <v>1271</v>
      </c>
      <c r="AI879" t="s">
        <v>3962</v>
      </c>
      <c r="AJ879" t="s">
        <v>3077</v>
      </c>
    </row>
    <row r="880" hidden="1" spans="1:36">
      <c r="A880">
        <v>110050</v>
      </c>
      <c r="B880" t="s">
        <v>3963</v>
      </c>
      <c r="C880">
        <v>600728</v>
      </c>
      <c r="D880" t="s">
        <v>3964</v>
      </c>
      <c r="E880" t="s">
        <v>3965</v>
      </c>
      <c r="F880" t="s">
        <v>41</v>
      </c>
      <c r="G880" t="s">
        <v>3966</v>
      </c>
      <c r="H880" t="s">
        <v>621</v>
      </c>
      <c r="I880" t="s">
        <v>255</v>
      </c>
      <c r="J880" t="s">
        <v>255</v>
      </c>
      <c r="K880" t="s">
        <v>255</v>
      </c>
      <c r="L880" t="s">
        <v>41</v>
      </c>
      <c r="M880" t="s">
        <v>41</v>
      </c>
      <c r="N880" t="s">
        <v>255</v>
      </c>
      <c r="O880" t="s">
        <v>41</v>
      </c>
      <c r="P880" t="s">
        <v>41</v>
      </c>
      <c r="Q880" s="2"/>
      <c r="R880" s="2"/>
      <c r="S880" t="s">
        <v>255</v>
      </c>
      <c r="T880" t="s">
        <v>41</v>
      </c>
      <c r="U880" t="s">
        <v>41</v>
      </c>
      <c r="V880" s="2"/>
      <c r="W880" s="2"/>
      <c r="X880" t="s">
        <v>3966</v>
      </c>
      <c r="Y880">
        <v>6.83</v>
      </c>
      <c r="Z880">
        <v>2549.563</v>
      </c>
      <c r="AA880" s="2"/>
      <c r="AB880" s="2"/>
      <c r="AC880" t="s">
        <v>3945</v>
      </c>
      <c r="AD880">
        <v>7.98</v>
      </c>
      <c r="AE880">
        <v>2610.509</v>
      </c>
      <c r="AF880" s="2">
        <f t="shared" si="55"/>
        <v>0.168374816983895</v>
      </c>
      <c r="AG880" s="2">
        <f t="shared" si="56"/>
        <v>0.0239044887300294</v>
      </c>
      <c r="AH880" t="s">
        <v>3967</v>
      </c>
      <c r="AI880" t="s">
        <v>3378</v>
      </c>
      <c r="AJ880" t="s">
        <v>625</v>
      </c>
    </row>
    <row r="881" hidden="1" spans="1:36">
      <c r="A881">
        <v>110049</v>
      </c>
      <c r="B881" t="s">
        <v>3968</v>
      </c>
      <c r="C881">
        <v>600690</v>
      </c>
      <c r="D881" t="s">
        <v>3969</v>
      </c>
      <c r="E881" t="s">
        <v>3970</v>
      </c>
      <c r="F881" t="s">
        <v>41</v>
      </c>
      <c r="G881" t="s">
        <v>3971</v>
      </c>
      <c r="H881" t="s">
        <v>621</v>
      </c>
      <c r="I881" t="s">
        <v>255</v>
      </c>
      <c r="J881" t="s">
        <v>255</v>
      </c>
      <c r="K881" t="s">
        <v>255</v>
      </c>
      <c r="L881" t="s">
        <v>41</v>
      </c>
      <c r="M881" t="s">
        <v>41</v>
      </c>
      <c r="N881" t="s">
        <v>255</v>
      </c>
      <c r="O881" t="s">
        <v>41</v>
      </c>
      <c r="P881" t="s">
        <v>41</v>
      </c>
      <c r="Q881" s="2"/>
      <c r="R881" s="2"/>
      <c r="S881" t="s">
        <v>255</v>
      </c>
      <c r="T881" t="s">
        <v>41</v>
      </c>
      <c r="U881" t="s">
        <v>41</v>
      </c>
      <c r="V881" s="2"/>
      <c r="W881" s="2"/>
      <c r="X881" t="s">
        <v>3971</v>
      </c>
      <c r="Y881">
        <v>9.94</v>
      </c>
      <c r="Z881">
        <v>2576.65</v>
      </c>
      <c r="AA881" s="2"/>
      <c r="AB881" s="2"/>
      <c r="AC881" t="s">
        <v>3972</v>
      </c>
      <c r="AD881">
        <v>11.01</v>
      </c>
      <c r="AE881">
        <v>2596.006</v>
      </c>
      <c r="AF881" s="2">
        <f t="shared" si="55"/>
        <v>0.107645875251509</v>
      </c>
      <c r="AG881" s="2">
        <f t="shared" si="56"/>
        <v>0.00751207963828994</v>
      </c>
      <c r="AH881" t="s">
        <v>3962</v>
      </c>
      <c r="AI881" t="s">
        <v>3535</v>
      </c>
      <c r="AJ881" t="s">
        <v>625</v>
      </c>
    </row>
    <row r="882" hidden="1" spans="1:36">
      <c r="A882">
        <v>113525</v>
      </c>
      <c r="B882" t="s">
        <v>3973</v>
      </c>
      <c r="C882">
        <v>603055</v>
      </c>
      <c r="D882" t="s">
        <v>2180</v>
      </c>
      <c r="E882" t="s">
        <v>3974</v>
      </c>
      <c r="F882" t="s">
        <v>41</v>
      </c>
      <c r="G882" t="s">
        <v>3975</v>
      </c>
      <c r="H882" t="s">
        <v>621</v>
      </c>
      <c r="I882" t="s">
        <v>255</v>
      </c>
      <c r="J882" t="s">
        <v>255</v>
      </c>
      <c r="K882" t="s">
        <v>255</v>
      </c>
      <c r="L882" t="s">
        <v>41</v>
      </c>
      <c r="M882" t="s">
        <v>41</v>
      </c>
      <c r="N882" t="s">
        <v>255</v>
      </c>
      <c r="O882" t="s">
        <v>41</v>
      </c>
      <c r="P882" t="s">
        <v>41</v>
      </c>
      <c r="Q882" s="2"/>
      <c r="R882" s="2"/>
      <c r="S882" t="s">
        <v>255</v>
      </c>
      <c r="T882" t="s">
        <v>41</v>
      </c>
      <c r="U882" t="s">
        <v>41</v>
      </c>
      <c r="V882" s="2"/>
      <c r="W882" s="2"/>
      <c r="X882" t="s">
        <v>3975</v>
      </c>
      <c r="Y882">
        <v>7.04</v>
      </c>
      <c r="Z882">
        <v>2597.974</v>
      </c>
      <c r="AA882" s="2"/>
      <c r="AB882" s="2"/>
      <c r="AC882" t="s">
        <v>3976</v>
      </c>
      <c r="AD882">
        <v>6.71</v>
      </c>
      <c r="AE882">
        <v>2553.831</v>
      </c>
      <c r="AF882" s="2">
        <f t="shared" si="55"/>
        <v>-0.046875</v>
      </c>
      <c r="AG882" s="2">
        <f t="shared" si="56"/>
        <v>-0.0169913170801555</v>
      </c>
      <c r="AH882" t="s">
        <v>3775</v>
      </c>
      <c r="AI882" t="s">
        <v>1399</v>
      </c>
      <c r="AJ882" t="s">
        <v>625</v>
      </c>
    </row>
    <row r="883" hidden="1" spans="1:36">
      <c r="A883">
        <v>113524</v>
      </c>
      <c r="B883" t="s">
        <v>3977</v>
      </c>
      <c r="C883">
        <v>603677</v>
      </c>
      <c r="D883" t="s">
        <v>3978</v>
      </c>
      <c r="E883" t="s">
        <v>80</v>
      </c>
      <c r="F883" t="s">
        <v>41</v>
      </c>
      <c r="G883" t="s">
        <v>3979</v>
      </c>
      <c r="H883" t="s">
        <v>621</v>
      </c>
      <c r="I883" t="s">
        <v>255</v>
      </c>
      <c r="J883" t="s">
        <v>255</v>
      </c>
      <c r="K883" t="s">
        <v>255</v>
      </c>
      <c r="L883" t="s">
        <v>41</v>
      </c>
      <c r="M883" t="s">
        <v>41</v>
      </c>
      <c r="N883" t="s">
        <v>255</v>
      </c>
      <c r="O883" t="s">
        <v>41</v>
      </c>
      <c r="P883" t="s">
        <v>41</v>
      </c>
      <c r="Q883" s="2"/>
      <c r="R883" s="2"/>
      <c r="S883" t="s">
        <v>255</v>
      </c>
      <c r="T883" t="s">
        <v>41</v>
      </c>
      <c r="U883" t="s">
        <v>41</v>
      </c>
      <c r="V883" s="2"/>
      <c r="W883" s="2"/>
      <c r="X883" t="s">
        <v>3979</v>
      </c>
      <c r="Y883">
        <v>12.73</v>
      </c>
      <c r="Z883">
        <v>2593.741</v>
      </c>
      <c r="AA883" s="2"/>
      <c r="AB883" s="2"/>
      <c r="AC883" t="s">
        <v>3980</v>
      </c>
      <c r="AD883">
        <v>12.25</v>
      </c>
      <c r="AE883">
        <v>2533.089</v>
      </c>
      <c r="AF883" s="2">
        <f t="shared" si="55"/>
        <v>-0.0377062058130401</v>
      </c>
      <c r="AG883" s="2">
        <f t="shared" si="56"/>
        <v>-0.0233839847540676</v>
      </c>
      <c r="AH883" t="s">
        <v>3981</v>
      </c>
      <c r="AI883" t="s">
        <v>3982</v>
      </c>
      <c r="AJ883" t="s">
        <v>3077</v>
      </c>
    </row>
    <row r="884" hidden="1" spans="1:36">
      <c r="A884">
        <v>128051</v>
      </c>
      <c r="B884" t="s">
        <v>3983</v>
      </c>
      <c r="C884">
        <v>2741</v>
      </c>
      <c r="D884" t="s">
        <v>3984</v>
      </c>
      <c r="E884" t="s">
        <v>3985</v>
      </c>
      <c r="F884" t="s">
        <v>41</v>
      </c>
      <c r="G884" t="s">
        <v>3979</v>
      </c>
      <c r="H884" t="s">
        <v>621</v>
      </c>
      <c r="I884" t="s">
        <v>255</v>
      </c>
      <c r="J884" t="s">
        <v>255</v>
      </c>
      <c r="K884" t="s">
        <v>255</v>
      </c>
      <c r="L884" t="s">
        <v>41</v>
      </c>
      <c r="M884" t="s">
        <v>41</v>
      </c>
      <c r="N884" t="s">
        <v>255</v>
      </c>
      <c r="O884" t="s">
        <v>41</v>
      </c>
      <c r="P884" t="s">
        <v>41</v>
      </c>
      <c r="Q884" s="2"/>
      <c r="R884" s="2"/>
      <c r="S884" t="s">
        <v>255</v>
      </c>
      <c r="T884" t="s">
        <v>41</v>
      </c>
      <c r="U884" t="s">
        <v>41</v>
      </c>
      <c r="V884" s="2"/>
      <c r="W884" s="2"/>
      <c r="X884" t="s">
        <v>3979</v>
      </c>
      <c r="Y884">
        <v>16.7</v>
      </c>
      <c r="Z884">
        <v>2593.741</v>
      </c>
      <c r="AA884" s="2"/>
      <c r="AB884" s="2"/>
      <c r="AC884" t="s">
        <v>3986</v>
      </c>
      <c r="AD884">
        <v>15.23</v>
      </c>
      <c r="AE884">
        <v>2544.345</v>
      </c>
      <c r="AF884" s="2">
        <f t="shared" si="55"/>
        <v>-0.0880239520958083</v>
      </c>
      <c r="AG884" s="2">
        <f t="shared" si="56"/>
        <v>-0.0190443070453064</v>
      </c>
      <c r="AH884" t="s">
        <v>3981</v>
      </c>
      <c r="AI884" t="s">
        <v>2056</v>
      </c>
      <c r="AJ884" t="s">
        <v>625</v>
      </c>
    </row>
    <row r="885" hidden="1" spans="1:36">
      <c r="A885">
        <v>128050</v>
      </c>
      <c r="B885" t="s">
        <v>3987</v>
      </c>
      <c r="C885">
        <v>2865</v>
      </c>
      <c r="D885" t="s">
        <v>3988</v>
      </c>
      <c r="E885" t="s">
        <v>1308</v>
      </c>
      <c r="F885" t="s">
        <v>41</v>
      </c>
      <c r="G885" t="s">
        <v>3989</v>
      </c>
      <c r="H885" t="s">
        <v>621</v>
      </c>
      <c r="I885" t="s">
        <v>255</v>
      </c>
      <c r="J885" t="s">
        <v>255</v>
      </c>
      <c r="K885" t="s">
        <v>255</v>
      </c>
      <c r="L885" t="s">
        <v>41</v>
      </c>
      <c r="M885" t="s">
        <v>41</v>
      </c>
      <c r="N885" t="s">
        <v>255</v>
      </c>
      <c r="O885" t="s">
        <v>41</v>
      </c>
      <c r="P885" t="s">
        <v>41</v>
      </c>
      <c r="Q885" s="2"/>
      <c r="R885" s="2"/>
      <c r="S885" t="s">
        <v>255</v>
      </c>
      <c r="T885" t="s">
        <v>41</v>
      </c>
      <c r="U885" t="s">
        <v>41</v>
      </c>
      <c r="V885" s="2"/>
      <c r="W885" s="2"/>
      <c r="X885" t="s">
        <v>3989</v>
      </c>
      <c r="Y885">
        <v>13.3</v>
      </c>
      <c r="Z885">
        <v>2584.582</v>
      </c>
      <c r="AA885" s="2"/>
      <c r="AB885" s="2"/>
      <c r="AC885" t="s">
        <v>3990</v>
      </c>
      <c r="AD885">
        <v>11.73</v>
      </c>
      <c r="AE885">
        <v>2483.086</v>
      </c>
      <c r="AF885" s="2">
        <f t="shared" si="55"/>
        <v>-0.118045112781955</v>
      </c>
      <c r="AG885" s="2">
        <f t="shared" si="56"/>
        <v>-0.0392697929491113</v>
      </c>
      <c r="AH885" t="s">
        <v>3982</v>
      </c>
      <c r="AI885" t="s">
        <v>1831</v>
      </c>
      <c r="AJ885" t="s">
        <v>3835</v>
      </c>
    </row>
    <row r="886" hidden="1" spans="1:36">
      <c r="A886">
        <v>113523</v>
      </c>
      <c r="B886" t="s">
        <v>3991</v>
      </c>
      <c r="C886">
        <v>603568</v>
      </c>
      <c r="D886" t="s">
        <v>823</v>
      </c>
      <c r="E886" t="s">
        <v>566</v>
      </c>
      <c r="F886" t="s">
        <v>41</v>
      </c>
      <c r="G886" t="s">
        <v>3989</v>
      </c>
      <c r="H886" t="s">
        <v>621</v>
      </c>
      <c r="I886" t="s">
        <v>255</v>
      </c>
      <c r="J886" t="s">
        <v>255</v>
      </c>
      <c r="K886" t="s">
        <v>255</v>
      </c>
      <c r="L886" t="s">
        <v>41</v>
      </c>
      <c r="M886" t="s">
        <v>41</v>
      </c>
      <c r="N886" t="s">
        <v>255</v>
      </c>
      <c r="O886" t="s">
        <v>41</v>
      </c>
      <c r="P886" t="s">
        <v>41</v>
      </c>
      <c r="Q886" s="2"/>
      <c r="R886" s="2"/>
      <c r="S886" t="s">
        <v>255</v>
      </c>
      <c r="T886" t="s">
        <v>41</v>
      </c>
      <c r="U886" t="s">
        <v>41</v>
      </c>
      <c r="V886" s="2"/>
      <c r="W886" s="2"/>
      <c r="X886" t="s">
        <v>3989</v>
      </c>
      <c r="Y886">
        <v>8.47</v>
      </c>
      <c r="Z886">
        <v>2584.582</v>
      </c>
      <c r="AA886" s="2"/>
      <c r="AB886" s="2"/>
      <c r="AC886" t="s">
        <v>3992</v>
      </c>
      <c r="AD886">
        <v>8.69</v>
      </c>
      <c r="AE886">
        <v>2498.294</v>
      </c>
      <c r="AF886" s="2">
        <f t="shared" si="55"/>
        <v>0.0259740259740258</v>
      </c>
      <c r="AG886" s="2">
        <f t="shared" si="56"/>
        <v>-0.0333856693268002</v>
      </c>
      <c r="AH886" t="s">
        <v>3982</v>
      </c>
      <c r="AI886" t="s">
        <v>3749</v>
      </c>
      <c r="AJ886" t="s">
        <v>625</v>
      </c>
    </row>
    <row r="887" hidden="1" spans="1:36">
      <c r="A887">
        <v>110048</v>
      </c>
      <c r="B887" t="s">
        <v>400</v>
      </c>
      <c r="C887">
        <v>600483</v>
      </c>
      <c r="D887" t="s">
        <v>401</v>
      </c>
      <c r="E887" t="s">
        <v>3348</v>
      </c>
      <c r="F887" t="s">
        <v>41</v>
      </c>
      <c r="G887" t="s">
        <v>3993</v>
      </c>
      <c r="H887" t="s">
        <v>621</v>
      </c>
      <c r="I887" t="s">
        <v>255</v>
      </c>
      <c r="J887" t="s">
        <v>255</v>
      </c>
      <c r="K887" t="s">
        <v>255</v>
      </c>
      <c r="L887" t="s">
        <v>41</v>
      </c>
      <c r="M887" t="s">
        <v>41</v>
      </c>
      <c r="N887" t="s">
        <v>255</v>
      </c>
      <c r="O887" t="s">
        <v>41</v>
      </c>
      <c r="P887" t="s">
        <v>41</v>
      </c>
      <c r="Q887" s="2"/>
      <c r="R887" s="2"/>
      <c r="S887" t="s">
        <v>255</v>
      </c>
      <c r="T887" t="s">
        <v>41</v>
      </c>
      <c r="U887" t="s">
        <v>41</v>
      </c>
      <c r="V887" s="2"/>
      <c r="W887" s="2"/>
      <c r="X887" t="s">
        <v>3993</v>
      </c>
      <c r="Y887">
        <v>4.79</v>
      </c>
      <c r="Z887">
        <v>2605.888</v>
      </c>
      <c r="AA887" s="2"/>
      <c r="AB887" s="2"/>
      <c r="AC887" t="s">
        <v>3994</v>
      </c>
      <c r="AD887">
        <v>4.81</v>
      </c>
      <c r="AE887">
        <v>2493.896</v>
      </c>
      <c r="AF887" s="2">
        <f t="shared" si="55"/>
        <v>0.00417536534446755</v>
      </c>
      <c r="AG887" s="2">
        <f t="shared" si="56"/>
        <v>-0.0429765208635213</v>
      </c>
      <c r="AH887" t="s">
        <v>3995</v>
      </c>
      <c r="AI887" t="s">
        <v>3996</v>
      </c>
      <c r="AJ887" t="s">
        <v>3077</v>
      </c>
    </row>
    <row r="888" hidden="1" spans="1:36">
      <c r="A888">
        <v>128049</v>
      </c>
      <c r="B888" t="s">
        <v>3997</v>
      </c>
      <c r="C888">
        <v>2787</v>
      </c>
      <c r="D888" t="s">
        <v>3998</v>
      </c>
      <c r="E888" t="s">
        <v>140</v>
      </c>
      <c r="F888" t="s">
        <v>41</v>
      </c>
      <c r="G888" t="s">
        <v>3999</v>
      </c>
      <c r="H888" t="s">
        <v>621</v>
      </c>
      <c r="I888" t="s">
        <v>255</v>
      </c>
      <c r="J888" t="s">
        <v>255</v>
      </c>
      <c r="K888" t="s">
        <v>255</v>
      </c>
      <c r="L888" t="s">
        <v>41</v>
      </c>
      <c r="M888" t="s">
        <v>41</v>
      </c>
      <c r="N888" t="s">
        <v>255</v>
      </c>
      <c r="O888" t="s">
        <v>41</v>
      </c>
      <c r="P888" t="s">
        <v>41</v>
      </c>
      <c r="Q888" s="2"/>
      <c r="R888" s="2"/>
      <c r="S888" t="s">
        <v>255</v>
      </c>
      <c r="T888" t="s">
        <v>41</v>
      </c>
      <c r="U888" t="s">
        <v>41</v>
      </c>
      <c r="V888" s="2"/>
      <c r="W888" s="2"/>
      <c r="X888" t="s">
        <v>3999</v>
      </c>
      <c r="Y888">
        <v>7.15</v>
      </c>
      <c r="Z888">
        <v>2574.679</v>
      </c>
      <c r="AA888" s="2"/>
      <c r="AB888" s="2"/>
      <c r="AC888" t="s">
        <v>3961</v>
      </c>
      <c r="AD888">
        <v>6.77</v>
      </c>
      <c r="AE888">
        <v>2536.268</v>
      </c>
      <c r="AF888" s="2">
        <f t="shared" si="55"/>
        <v>-0.0531468531468533</v>
      </c>
      <c r="AG888" s="2">
        <f t="shared" si="56"/>
        <v>-0.0149187529785267</v>
      </c>
      <c r="AH888" t="s">
        <v>642</v>
      </c>
      <c r="AI888" t="s">
        <v>334</v>
      </c>
      <c r="AJ888" t="s">
        <v>3077</v>
      </c>
    </row>
    <row r="889" hidden="1" spans="1:36">
      <c r="A889">
        <v>113522</v>
      </c>
      <c r="B889" t="s">
        <v>4000</v>
      </c>
      <c r="C889">
        <v>603305</v>
      </c>
      <c r="D889" t="s">
        <v>803</v>
      </c>
      <c r="E889" t="s">
        <v>1485</v>
      </c>
      <c r="F889" t="s">
        <v>41</v>
      </c>
      <c r="G889" t="s">
        <v>4001</v>
      </c>
      <c r="H889" t="s">
        <v>621</v>
      </c>
      <c r="I889" t="s">
        <v>255</v>
      </c>
      <c r="J889" t="s">
        <v>255</v>
      </c>
      <c r="K889" t="s">
        <v>255</v>
      </c>
      <c r="L889" t="s">
        <v>41</v>
      </c>
      <c r="M889" t="s">
        <v>41</v>
      </c>
      <c r="N889" t="s">
        <v>255</v>
      </c>
      <c r="O889" t="s">
        <v>41</v>
      </c>
      <c r="P889" t="s">
        <v>41</v>
      </c>
      <c r="Q889" s="2"/>
      <c r="R889" s="2"/>
      <c r="S889" t="s">
        <v>255</v>
      </c>
      <c r="T889" t="s">
        <v>41</v>
      </c>
      <c r="U889" t="s">
        <v>41</v>
      </c>
      <c r="V889" s="2"/>
      <c r="W889" s="2"/>
      <c r="X889" t="s">
        <v>4001</v>
      </c>
      <c r="Y889">
        <v>13.94</v>
      </c>
      <c r="Z889">
        <v>2645.434</v>
      </c>
      <c r="AA889" s="2"/>
      <c r="AB889" s="2"/>
      <c r="AC889" t="s">
        <v>4002</v>
      </c>
      <c r="AD889">
        <v>15.52</v>
      </c>
      <c r="AE889">
        <v>2594.088</v>
      </c>
      <c r="AF889" s="2">
        <f t="shared" si="55"/>
        <v>0.113342898134864</v>
      </c>
      <c r="AG889" s="2">
        <f t="shared" si="56"/>
        <v>-0.0194092916322993</v>
      </c>
      <c r="AH889" t="s">
        <v>334</v>
      </c>
      <c r="AI889" t="s">
        <v>4003</v>
      </c>
      <c r="AJ889" t="s">
        <v>625</v>
      </c>
    </row>
    <row r="890" hidden="1" spans="1:36">
      <c r="A890">
        <v>110047</v>
      </c>
      <c r="B890" t="s">
        <v>4004</v>
      </c>
      <c r="C890">
        <v>600567</v>
      </c>
      <c r="D890" t="s">
        <v>3552</v>
      </c>
      <c r="E890" t="s">
        <v>3408</v>
      </c>
      <c r="F890" t="s">
        <v>41</v>
      </c>
      <c r="G890" t="s">
        <v>4005</v>
      </c>
      <c r="H890" t="s">
        <v>621</v>
      </c>
      <c r="I890" t="s">
        <v>255</v>
      </c>
      <c r="J890" t="s">
        <v>255</v>
      </c>
      <c r="K890" t="s">
        <v>255</v>
      </c>
      <c r="L890" t="s">
        <v>41</v>
      </c>
      <c r="M890" t="s">
        <v>41</v>
      </c>
      <c r="N890" t="s">
        <v>255</v>
      </c>
      <c r="O890" t="s">
        <v>41</v>
      </c>
      <c r="P890" t="s">
        <v>41</v>
      </c>
      <c r="Q890" s="2"/>
      <c r="R890" s="2"/>
      <c r="S890" t="s">
        <v>255</v>
      </c>
      <c r="T890" t="s">
        <v>41</v>
      </c>
      <c r="U890" t="s">
        <v>41</v>
      </c>
      <c r="V890" s="2"/>
      <c r="W890" s="2"/>
      <c r="X890" t="s">
        <v>4005</v>
      </c>
      <c r="Y890">
        <v>3.09</v>
      </c>
      <c r="Z890">
        <v>2651.505</v>
      </c>
      <c r="AA890" s="2"/>
      <c r="AB890" s="2"/>
      <c r="AC890" t="s">
        <v>3989</v>
      </c>
      <c r="AD890">
        <v>3.01</v>
      </c>
      <c r="AE890">
        <v>2584.582</v>
      </c>
      <c r="AF890" s="2">
        <f t="shared" si="55"/>
        <v>-0.0258899676375405</v>
      </c>
      <c r="AG890" s="2">
        <f t="shared" si="56"/>
        <v>-0.0252396280602904</v>
      </c>
      <c r="AH890" t="s">
        <v>524</v>
      </c>
      <c r="AI890" t="s">
        <v>437</v>
      </c>
      <c r="AJ890" t="s">
        <v>3077</v>
      </c>
    </row>
    <row r="891" hidden="1" spans="1:36">
      <c r="A891">
        <v>123017</v>
      </c>
      <c r="B891" t="s">
        <v>4006</v>
      </c>
      <c r="C891">
        <v>300618</v>
      </c>
      <c r="D891" t="s">
        <v>4007</v>
      </c>
      <c r="E891" t="s">
        <v>161</v>
      </c>
      <c r="F891" t="s">
        <v>41</v>
      </c>
      <c r="G891" t="s">
        <v>4008</v>
      </c>
      <c r="H891" t="s">
        <v>621</v>
      </c>
      <c r="I891" t="s">
        <v>255</v>
      </c>
      <c r="J891" t="s">
        <v>255</v>
      </c>
      <c r="K891" t="s">
        <v>255</v>
      </c>
      <c r="L891" t="s">
        <v>41</v>
      </c>
      <c r="M891" t="s">
        <v>41</v>
      </c>
      <c r="N891" t="s">
        <v>255</v>
      </c>
      <c r="O891" t="s">
        <v>41</v>
      </c>
      <c r="P891" t="s">
        <v>41</v>
      </c>
      <c r="Q891" s="2"/>
      <c r="R891" s="2"/>
      <c r="S891" t="s">
        <v>255</v>
      </c>
      <c r="T891" t="s">
        <v>41</v>
      </c>
      <c r="U891" t="s">
        <v>41</v>
      </c>
      <c r="V891" s="2"/>
      <c r="W891" s="2"/>
      <c r="X891" t="s">
        <v>4008</v>
      </c>
      <c r="Y891">
        <v>57.51</v>
      </c>
      <c r="Z891">
        <v>2645.855</v>
      </c>
      <c r="AA891" s="2"/>
      <c r="AB891" s="2"/>
      <c r="AC891" t="s">
        <v>4009</v>
      </c>
      <c r="AD891">
        <v>53.21</v>
      </c>
      <c r="AE891">
        <v>2527.007</v>
      </c>
      <c r="AF891" s="2">
        <f t="shared" si="55"/>
        <v>-0.0747696052860372</v>
      </c>
      <c r="AG891" s="2">
        <f t="shared" si="56"/>
        <v>-0.0449185612968209</v>
      </c>
      <c r="AH891" t="s">
        <v>338</v>
      </c>
      <c r="AI891" t="s">
        <v>2472</v>
      </c>
      <c r="AJ891" t="s">
        <v>625</v>
      </c>
    </row>
    <row r="892" hidden="1" spans="1:36">
      <c r="A892">
        <v>110046</v>
      </c>
      <c r="B892" t="s">
        <v>4010</v>
      </c>
      <c r="C892">
        <v>600233</v>
      </c>
      <c r="D892" t="s">
        <v>4011</v>
      </c>
      <c r="E892" t="s">
        <v>4012</v>
      </c>
      <c r="F892" t="s">
        <v>41</v>
      </c>
      <c r="G892" t="s">
        <v>4008</v>
      </c>
      <c r="H892" t="s">
        <v>621</v>
      </c>
      <c r="I892" t="s">
        <v>255</v>
      </c>
      <c r="J892" t="s">
        <v>255</v>
      </c>
      <c r="K892" t="s">
        <v>255</v>
      </c>
      <c r="L892" t="s">
        <v>41</v>
      </c>
      <c r="M892" t="s">
        <v>41</v>
      </c>
      <c r="N892" t="s">
        <v>255</v>
      </c>
      <c r="O892" t="s">
        <v>41</v>
      </c>
      <c r="P892" t="s">
        <v>41</v>
      </c>
      <c r="Q892" s="2"/>
      <c r="R892" s="2"/>
      <c r="S892" t="s">
        <v>255</v>
      </c>
      <c r="T892" t="s">
        <v>41</v>
      </c>
      <c r="U892" t="s">
        <v>41</v>
      </c>
      <c r="V892" s="2"/>
      <c r="W892" s="2"/>
      <c r="X892" t="s">
        <v>4008</v>
      </c>
      <c r="Y892">
        <v>9.35</v>
      </c>
      <c r="Z892">
        <v>2645.855</v>
      </c>
      <c r="AA892" s="2"/>
      <c r="AB892" s="2"/>
      <c r="AC892" t="s">
        <v>3971</v>
      </c>
      <c r="AD892">
        <v>8.69</v>
      </c>
      <c r="AE892">
        <v>2576.65</v>
      </c>
      <c r="AF892" s="2">
        <f t="shared" si="55"/>
        <v>-0.0705882352941177</v>
      </c>
      <c r="AG892" s="2">
        <f t="shared" si="56"/>
        <v>-0.0261560062815233</v>
      </c>
      <c r="AH892" t="s">
        <v>424</v>
      </c>
      <c r="AI892" t="s">
        <v>3339</v>
      </c>
      <c r="AJ892" t="s">
        <v>625</v>
      </c>
    </row>
    <row r="893" hidden="1" spans="1:36">
      <c r="A893">
        <v>113020</v>
      </c>
      <c r="B893" t="s">
        <v>4013</v>
      </c>
      <c r="C893">
        <v>601233</v>
      </c>
      <c r="D893" t="s">
        <v>3407</v>
      </c>
      <c r="E893" t="s">
        <v>2783</v>
      </c>
      <c r="F893" t="s">
        <v>41</v>
      </c>
      <c r="G893" t="s">
        <v>4014</v>
      </c>
      <c r="H893" t="s">
        <v>621</v>
      </c>
      <c r="I893" t="s">
        <v>255</v>
      </c>
      <c r="J893" t="s">
        <v>255</v>
      </c>
      <c r="K893" t="s">
        <v>255</v>
      </c>
      <c r="L893" t="s">
        <v>41</v>
      </c>
      <c r="M893" t="s">
        <v>41</v>
      </c>
      <c r="N893" t="s">
        <v>255</v>
      </c>
      <c r="O893" t="s">
        <v>41</v>
      </c>
      <c r="P893" t="s">
        <v>41</v>
      </c>
      <c r="Q893" s="2"/>
      <c r="R893" s="2"/>
      <c r="S893" t="s">
        <v>255</v>
      </c>
      <c r="T893" t="s">
        <v>41</v>
      </c>
      <c r="U893" t="s">
        <v>41</v>
      </c>
      <c r="V893" s="2"/>
      <c r="W893" s="2"/>
      <c r="X893" t="s">
        <v>4014</v>
      </c>
      <c r="Y893">
        <v>11.63</v>
      </c>
      <c r="Z893">
        <v>2703.512</v>
      </c>
      <c r="AA893" s="2"/>
      <c r="AB893" s="2"/>
      <c r="AC893" t="s">
        <v>4015</v>
      </c>
      <c r="AD893">
        <v>10.27</v>
      </c>
      <c r="AE893">
        <v>2602.153</v>
      </c>
      <c r="AF893" s="2">
        <f t="shared" si="55"/>
        <v>-0.116938950988822</v>
      </c>
      <c r="AG893" s="2">
        <f t="shared" si="56"/>
        <v>-0.0374916035142438</v>
      </c>
      <c r="AH893" t="s">
        <v>424</v>
      </c>
      <c r="AI893" t="s">
        <v>4016</v>
      </c>
      <c r="AJ893" t="s">
        <v>625</v>
      </c>
    </row>
    <row r="894" hidden="1" spans="1:36">
      <c r="A894">
        <v>127008</v>
      </c>
      <c r="B894" t="s">
        <v>4017</v>
      </c>
      <c r="C894">
        <v>70</v>
      </c>
      <c r="D894" t="s">
        <v>3028</v>
      </c>
      <c r="E894" t="s">
        <v>4018</v>
      </c>
      <c r="F894" t="s">
        <v>41</v>
      </c>
      <c r="G894" t="s">
        <v>4019</v>
      </c>
      <c r="H894" t="s">
        <v>621</v>
      </c>
      <c r="I894" t="s">
        <v>255</v>
      </c>
      <c r="J894" t="s">
        <v>255</v>
      </c>
      <c r="K894" t="s">
        <v>255</v>
      </c>
      <c r="L894" t="s">
        <v>41</v>
      </c>
      <c r="M894" t="s">
        <v>41</v>
      </c>
      <c r="N894" t="s">
        <v>255</v>
      </c>
      <c r="O894" t="s">
        <v>41</v>
      </c>
      <c r="P894" t="s">
        <v>41</v>
      </c>
      <c r="Q894" s="2"/>
      <c r="R894" s="2"/>
      <c r="S894" t="s">
        <v>255</v>
      </c>
      <c r="T894" t="s">
        <v>41</v>
      </c>
      <c r="U894" t="s">
        <v>41</v>
      </c>
      <c r="V894" s="2"/>
      <c r="W894" s="2"/>
      <c r="X894" t="s">
        <v>4019</v>
      </c>
      <c r="Y894">
        <v>5.78</v>
      </c>
      <c r="Z894">
        <v>2679.11</v>
      </c>
      <c r="AA894" s="2"/>
      <c r="AB894" s="2"/>
      <c r="AC894" t="s">
        <v>4020</v>
      </c>
      <c r="AD894">
        <v>6.03</v>
      </c>
      <c r="AE894">
        <v>2504.819</v>
      </c>
      <c r="AF894" s="2">
        <f t="shared" si="55"/>
        <v>0.0432525951557093</v>
      </c>
      <c r="AG894" s="2">
        <f t="shared" si="56"/>
        <v>-0.0650555594955042</v>
      </c>
      <c r="AH894" t="s">
        <v>927</v>
      </c>
      <c r="AI894" t="s">
        <v>2392</v>
      </c>
      <c r="AJ894" t="s">
        <v>625</v>
      </c>
    </row>
    <row r="895" hidden="1" spans="1:36">
      <c r="A895">
        <v>113521</v>
      </c>
      <c r="B895" t="s">
        <v>4021</v>
      </c>
      <c r="C895">
        <v>603626</v>
      </c>
      <c r="D895" t="s">
        <v>4022</v>
      </c>
      <c r="E895" t="s">
        <v>269</v>
      </c>
      <c r="F895" t="s">
        <v>41</v>
      </c>
      <c r="G895" t="s">
        <v>4019</v>
      </c>
      <c r="H895" t="s">
        <v>621</v>
      </c>
      <c r="I895" t="s">
        <v>255</v>
      </c>
      <c r="J895" t="s">
        <v>255</v>
      </c>
      <c r="K895" t="s">
        <v>255</v>
      </c>
      <c r="L895" t="s">
        <v>41</v>
      </c>
      <c r="M895" t="s">
        <v>41</v>
      </c>
      <c r="N895" t="s">
        <v>255</v>
      </c>
      <c r="O895" t="s">
        <v>41</v>
      </c>
      <c r="P895" t="s">
        <v>41</v>
      </c>
      <c r="Q895" s="2"/>
      <c r="R895" s="2"/>
      <c r="S895" t="s">
        <v>255</v>
      </c>
      <c r="T895" t="s">
        <v>41</v>
      </c>
      <c r="U895" t="s">
        <v>41</v>
      </c>
      <c r="V895" s="2"/>
      <c r="W895" s="2"/>
      <c r="X895" t="s">
        <v>4019</v>
      </c>
      <c r="Y895">
        <v>9.09</v>
      </c>
      <c r="Z895">
        <v>2679.11</v>
      </c>
      <c r="AA895" s="2"/>
      <c r="AB895" s="2"/>
      <c r="AC895" t="s">
        <v>3993</v>
      </c>
      <c r="AD895">
        <v>8.3</v>
      </c>
      <c r="AE895">
        <v>2605.888</v>
      </c>
      <c r="AF895" s="2">
        <f t="shared" si="55"/>
        <v>-0.0869086908690868</v>
      </c>
      <c r="AG895" s="2">
        <f t="shared" si="56"/>
        <v>-0.0273307180369601</v>
      </c>
      <c r="AH895" t="s">
        <v>4023</v>
      </c>
      <c r="AI895" t="s">
        <v>4016</v>
      </c>
      <c r="AJ895" t="s">
        <v>625</v>
      </c>
    </row>
    <row r="896" hidden="1" spans="1:36">
      <c r="A896">
        <v>128048</v>
      </c>
      <c r="B896" t="s">
        <v>4024</v>
      </c>
      <c r="C896">
        <v>2839</v>
      </c>
      <c r="D896" t="s">
        <v>4025</v>
      </c>
      <c r="E896" t="s">
        <v>148</v>
      </c>
      <c r="F896" t="s">
        <v>41</v>
      </c>
      <c r="G896" t="s">
        <v>4026</v>
      </c>
      <c r="H896" t="s">
        <v>621</v>
      </c>
      <c r="I896" t="s">
        <v>255</v>
      </c>
      <c r="J896" t="s">
        <v>255</v>
      </c>
      <c r="K896" t="s">
        <v>255</v>
      </c>
      <c r="L896" t="s">
        <v>41</v>
      </c>
      <c r="M896" t="s">
        <v>41</v>
      </c>
      <c r="N896" t="s">
        <v>255</v>
      </c>
      <c r="O896" t="s">
        <v>41</v>
      </c>
      <c r="P896" t="s">
        <v>41</v>
      </c>
      <c r="Q896" s="2"/>
      <c r="R896" s="2"/>
      <c r="S896" t="s">
        <v>255</v>
      </c>
      <c r="T896" t="s">
        <v>41</v>
      </c>
      <c r="U896" t="s">
        <v>41</v>
      </c>
      <c r="V896" s="2"/>
      <c r="W896" s="2"/>
      <c r="X896" t="s">
        <v>4026</v>
      </c>
      <c r="Y896">
        <v>3.76</v>
      </c>
      <c r="Z896">
        <v>2630.52</v>
      </c>
      <c r="AA896" s="2"/>
      <c r="AB896" s="2"/>
      <c r="AC896" t="s">
        <v>4027</v>
      </c>
      <c r="AD896">
        <v>3.71</v>
      </c>
      <c r="AE896">
        <v>2567.443</v>
      </c>
      <c r="AF896" s="2">
        <f t="shared" si="55"/>
        <v>-0.0132978723404255</v>
      </c>
      <c r="AG896" s="2">
        <f t="shared" si="56"/>
        <v>-0.023978909113027</v>
      </c>
      <c r="AH896" t="s">
        <v>580</v>
      </c>
      <c r="AI896" t="s">
        <v>629</v>
      </c>
      <c r="AJ896" t="s">
        <v>3077</v>
      </c>
    </row>
    <row r="897" hidden="1" spans="1:36">
      <c r="A897">
        <v>113520</v>
      </c>
      <c r="B897" t="s">
        <v>4028</v>
      </c>
      <c r="C897">
        <v>603313</v>
      </c>
      <c r="D897" t="s">
        <v>4029</v>
      </c>
      <c r="E897" t="s">
        <v>1717</v>
      </c>
      <c r="F897" t="s">
        <v>41</v>
      </c>
      <c r="G897" t="s">
        <v>4030</v>
      </c>
      <c r="H897" t="s">
        <v>621</v>
      </c>
      <c r="I897" t="s">
        <v>255</v>
      </c>
      <c r="J897" t="s">
        <v>255</v>
      </c>
      <c r="K897" t="s">
        <v>255</v>
      </c>
      <c r="L897" t="s">
        <v>41</v>
      </c>
      <c r="M897" t="s">
        <v>41</v>
      </c>
      <c r="N897" t="s">
        <v>255</v>
      </c>
      <c r="O897" t="s">
        <v>41</v>
      </c>
      <c r="P897" t="s">
        <v>41</v>
      </c>
      <c r="Q897" s="2"/>
      <c r="R897" s="2"/>
      <c r="S897" t="s">
        <v>255</v>
      </c>
      <c r="T897" t="s">
        <v>41</v>
      </c>
      <c r="U897" t="s">
        <v>41</v>
      </c>
      <c r="V897" s="2"/>
      <c r="W897" s="2"/>
      <c r="X897" t="s">
        <v>4030</v>
      </c>
      <c r="Y897">
        <v>11.28</v>
      </c>
      <c r="Z897">
        <v>2635.632</v>
      </c>
      <c r="AA897" s="2"/>
      <c r="AB897" s="2"/>
      <c r="AC897" t="s">
        <v>4031</v>
      </c>
      <c r="AD897">
        <v>10.76</v>
      </c>
      <c r="AE897">
        <v>2575.81</v>
      </c>
      <c r="AF897" s="2">
        <f t="shared" si="55"/>
        <v>-0.0460992907801418</v>
      </c>
      <c r="AG897" s="2">
        <f t="shared" si="56"/>
        <v>-0.0226974023687678</v>
      </c>
      <c r="AH897" t="s">
        <v>553</v>
      </c>
      <c r="AI897" t="s">
        <v>2761</v>
      </c>
      <c r="AJ897" t="s">
        <v>625</v>
      </c>
    </row>
    <row r="898" hidden="1" spans="1:36">
      <c r="A898">
        <v>113519</v>
      </c>
      <c r="B898" t="s">
        <v>4032</v>
      </c>
      <c r="C898">
        <v>603569</v>
      </c>
      <c r="D898" t="s">
        <v>4033</v>
      </c>
      <c r="E898" t="s">
        <v>1015</v>
      </c>
      <c r="F898" t="s">
        <v>41</v>
      </c>
      <c r="G898" t="s">
        <v>4034</v>
      </c>
      <c r="H898" t="s">
        <v>621</v>
      </c>
      <c r="I898" t="s">
        <v>255</v>
      </c>
      <c r="J898" t="s">
        <v>255</v>
      </c>
      <c r="K898" t="s">
        <v>255</v>
      </c>
      <c r="L898" t="s">
        <v>41</v>
      </c>
      <c r="M898" t="s">
        <v>41</v>
      </c>
      <c r="N898" t="s">
        <v>255</v>
      </c>
      <c r="O898" t="s">
        <v>41</v>
      </c>
      <c r="P898" t="s">
        <v>41</v>
      </c>
      <c r="Q898" s="2"/>
      <c r="R898" s="2"/>
      <c r="S898" t="s">
        <v>255</v>
      </c>
      <c r="T898" t="s">
        <v>41</v>
      </c>
      <c r="U898" t="s">
        <v>41</v>
      </c>
      <c r="V898" s="2"/>
      <c r="W898" s="2"/>
      <c r="X898" t="s">
        <v>4034</v>
      </c>
      <c r="Y898">
        <v>10.27</v>
      </c>
      <c r="Z898">
        <v>2641.342</v>
      </c>
      <c r="AA898" s="2"/>
      <c r="AB898" s="2"/>
      <c r="AC898" t="s">
        <v>4035</v>
      </c>
      <c r="AD898">
        <v>10.52</v>
      </c>
      <c r="AE898">
        <v>2588.188</v>
      </c>
      <c r="AF898" s="2">
        <f t="shared" si="55"/>
        <v>0.0243427458617332</v>
      </c>
      <c r="AG898" s="2">
        <f t="shared" si="56"/>
        <v>-0.0201238612796071</v>
      </c>
      <c r="AH898" t="s">
        <v>629</v>
      </c>
      <c r="AI898" t="s">
        <v>4036</v>
      </c>
      <c r="AJ898" t="s">
        <v>3077</v>
      </c>
    </row>
    <row r="899" hidden="1" spans="1:36">
      <c r="A899">
        <v>123016</v>
      </c>
      <c r="B899" t="s">
        <v>4037</v>
      </c>
      <c r="C899">
        <v>300232</v>
      </c>
      <c r="D899" t="s">
        <v>4038</v>
      </c>
      <c r="E899" t="s">
        <v>4039</v>
      </c>
      <c r="F899" t="s">
        <v>41</v>
      </c>
      <c r="G899" t="s">
        <v>4034</v>
      </c>
      <c r="H899" t="s">
        <v>621</v>
      </c>
      <c r="I899" t="s">
        <v>255</v>
      </c>
      <c r="J899" t="s">
        <v>255</v>
      </c>
      <c r="K899" t="s">
        <v>255</v>
      </c>
      <c r="L899" t="s">
        <v>41</v>
      </c>
      <c r="M899" t="s">
        <v>41</v>
      </c>
      <c r="N899" t="s">
        <v>255</v>
      </c>
      <c r="O899" t="s">
        <v>41</v>
      </c>
      <c r="P899" t="s">
        <v>41</v>
      </c>
      <c r="Q899" s="2"/>
      <c r="R899" s="2"/>
      <c r="S899" t="s">
        <v>255</v>
      </c>
      <c r="T899" t="s">
        <v>41</v>
      </c>
      <c r="U899" t="s">
        <v>41</v>
      </c>
      <c r="V899" s="2"/>
      <c r="W899" s="2"/>
      <c r="X899" t="s">
        <v>4034</v>
      </c>
      <c r="Y899">
        <v>7.34</v>
      </c>
      <c r="Z899">
        <v>2641.342</v>
      </c>
      <c r="AA899" s="2"/>
      <c r="AB899" s="2"/>
      <c r="AC899" t="s">
        <v>4040</v>
      </c>
      <c r="AD899">
        <v>7.74</v>
      </c>
      <c r="AE899">
        <v>2654.798</v>
      </c>
      <c r="AF899" s="2">
        <f t="shared" ref="AF899:AF962" si="57">(AD899-Y899)/Y899</f>
        <v>0.0544959128065396</v>
      </c>
      <c r="AG899" s="2">
        <f t="shared" ref="AG899:AG962" si="58">(AE899-Z899)/Z899</f>
        <v>0.00509438005377557</v>
      </c>
      <c r="AH899" t="s">
        <v>629</v>
      </c>
      <c r="AI899" t="s">
        <v>3374</v>
      </c>
      <c r="AJ899" t="s">
        <v>625</v>
      </c>
    </row>
    <row r="900" hidden="1" spans="1:36">
      <c r="A900">
        <v>128047</v>
      </c>
      <c r="B900" t="s">
        <v>4041</v>
      </c>
      <c r="C900">
        <v>2179</v>
      </c>
      <c r="D900" t="s">
        <v>4042</v>
      </c>
      <c r="E900" t="s">
        <v>2993</v>
      </c>
      <c r="F900" t="s">
        <v>41</v>
      </c>
      <c r="G900" t="s">
        <v>4043</v>
      </c>
      <c r="H900" t="s">
        <v>621</v>
      </c>
      <c r="I900" t="s">
        <v>255</v>
      </c>
      <c r="J900" t="s">
        <v>255</v>
      </c>
      <c r="K900" t="s">
        <v>255</v>
      </c>
      <c r="L900" t="s">
        <v>41</v>
      </c>
      <c r="M900" t="s">
        <v>41</v>
      </c>
      <c r="N900" t="s">
        <v>255</v>
      </c>
      <c r="O900" t="s">
        <v>41</v>
      </c>
      <c r="P900" t="s">
        <v>41</v>
      </c>
      <c r="Q900" s="2"/>
      <c r="R900" s="2"/>
      <c r="S900" t="s">
        <v>255</v>
      </c>
      <c r="T900" t="s">
        <v>41</v>
      </c>
      <c r="U900" t="s">
        <v>41</v>
      </c>
      <c r="V900" s="2"/>
      <c r="W900" s="2"/>
      <c r="X900" t="s">
        <v>4043</v>
      </c>
      <c r="Y900">
        <v>14.19</v>
      </c>
      <c r="Z900">
        <v>2665.431</v>
      </c>
      <c r="AA900" s="2"/>
      <c r="AB900" s="2"/>
      <c r="AC900" t="s">
        <v>3993</v>
      </c>
      <c r="AD900">
        <v>14.2</v>
      </c>
      <c r="AE900">
        <v>2605.888</v>
      </c>
      <c r="AF900" s="2">
        <f t="shared" si="57"/>
        <v>0.000704721634954178</v>
      </c>
      <c r="AG900" s="2">
        <f t="shared" si="58"/>
        <v>-0.0223389763231538</v>
      </c>
      <c r="AH900" t="s">
        <v>4044</v>
      </c>
      <c r="AI900" t="s">
        <v>3662</v>
      </c>
      <c r="AJ900" t="s">
        <v>625</v>
      </c>
    </row>
    <row r="901" hidden="1" spans="1:36">
      <c r="A901">
        <v>128046</v>
      </c>
      <c r="B901" t="s">
        <v>4045</v>
      </c>
      <c r="C901">
        <v>2258</v>
      </c>
      <c r="D901" t="s">
        <v>4046</v>
      </c>
      <c r="E901" t="s">
        <v>4047</v>
      </c>
      <c r="F901" t="s">
        <v>41</v>
      </c>
      <c r="G901" t="s">
        <v>4048</v>
      </c>
      <c r="H901" t="s">
        <v>621</v>
      </c>
      <c r="I901" t="s">
        <v>255</v>
      </c>
      <c r="J901" t="s">
        <v>255</v>
      </c>
      <c r="K901" t="s">
        <v>255</v>
      </c>
      <c r="L901" t="s">
        <v>41</v>
      </c>
      <c r="M901" t="s">
        <v>41</v>
      </c>
      <c r="N901" t="s">
        <v>255</v>
      </c>
      <c r="O901" t="s">
        <v>41</v>
      </c>
      <c r="P901" t="s">
        <v>41</v>
      </c>
      <c r="Q901" s="2"/>
      <c r="R901" s="2"/>
      <c r="S901" t="s">
        <v>255</v>
      </c>
      <c r="T901" t="s">
        <v>41</v>
      </c>
      <c r="U901" t="s">
        <v>41</v>
      </c>
      <c r="V901" s="2"/>
      <c r="W901" s="2"/>
      <c r="X901" t="s">
        <v>4048</v>
      </c>
      <c r="Y901">
        <v>11.69</v>
      </c>
      <c r="Z901">
        <v>2561.614</v>
      </c>
      <c r="AA901" s="2"/>
      <c r="AB901" s="2"/>
      <c r="AC901" t="s">
        <v>4049</v>
      </c>
      <c r="AD901">
        <v>10.92</v>
      </c>
      <c r="AE901">
        <v>2598.872</v>
      </c>
      <c r="AF901" s="2">
        <f t="shared" si="57"/>
        <v>-0.0658682634730539</v>
      </c>
      <c r="AG901" s="2">
        <f t="shared" si="58"/>
        <v>0.0145447362483184</v>
      </c>
      <c r="AH901" t="s">
        <v>674</v>
      </c>
      <c r="AI901" t="s">
        <v>1754</v>
      </c>
      <c r="AJ901" t="s">
        <v>625</v>
      </c>
    </row>
    <row r="902" hidden="1" spans="1:36">
      <c r="A902">
        <v>113518</v>
      </c>
      <c r="B902" t="s">
        <v>4050</v>
      </c>
      <c r="C902">
        <v>603816</v>
      </c>
      <c r="D902" t="s">
        <v>4051</v>
      </c>
      <c r="E902" t="s">
        <v>4052</v>
      </c>
      <c r="F902" t="s">
        <v>41</v>
      </c>
      <c r="G902" t="s">
        <v>4053</v>
      </c>
      <c r="H902" t="s">
        <v>621</v>
      </c>
      <c r="I902" t="s">
        <v>255</v>
      </c>
      <c r="J902" t="s">
        <v>255</v>
      </c>
      <c r="K902" t="s">
        <v>255</v>
      </c>
      <c r="L902" t="s">
        <v>41</v>
      </c>
      <c r="M902" t="s">
        <v>41</v>
      </c>
      <c r="N902" t="s">
        <v>255</v>
      </c>
      <c r="O902" t="s">
        <v>41</v>
      </c>
      <c r="P902" t="s">
        <v>41</v>
      </c>
      <c r="Q902" s="2"/>
      <c r="R902" s="2"/>
      <c r="S902" t="s">
        <v>255</v>
      </c>
      <c r="T902" t="s">
        <v>41</v>
      </c>
      <c r="U902" t="s">
        <v>41</v>
      </c>
      <c r="V902" s="2"/>
      <c r="W902" s="2"/>
      <c r="X902" t="s">
        <v>4053</v>
      </c>
      <c r="Y902">
        <v>19.14</v>
      </c>
      <c r="Z902">
        <v>2656.11</v>
      </c>
      <c r="AA902" s="2"/>
      <c r="AB902" s="2"/>
      <c r="AC902" t="s">
        <v>4054</v>
      </c>
      <c r="AD902">
        <v>18.18</v>
      </c>
      <c r="AE902">
        <v>2721.013</v>
      </c>
      <c r="AF902" s="2">
        <f t="shared" si="57"/>
        <v>-0.0501567398119123</v>
      </c>
      <c r="AG902" s="2">
        <f t="shared" si="58"/>
        <v>0.0244353584753643</v>
      </c>
      <c r="AH902" t="s">
        <v>4055</v>
      </c>
      <c r="AI902" t="s">
        <v>2890</v>
      </c>
      <c r="AJ902" t="s">
        <v>625</v>
      </c>
    </row>
    <row r="903" hidden="1" spans="1:36">
      <c r="A903">
        <v>128045</v>
      </c>
      <c r="B903" t="s">
        <v>4056</v>
      </c>
      <c r="C903">
        <v>2013</v>
      </c>
      <c r="D903" t="s">
        <v>4057</v>
      </c>
      <c r="E903" t="s">
        <v>4058</v>
      </c>
      <c r="F903" t="s">
        <v>41</v>
      </c>
      <c r="G903" t="s">
        <v>4059</v>
      </c>
      <c r="H903" t="s">
        <v>621</v>
      </c>
      <c r="I903" t="s">
        <v>255</v>
      </c>
      <c r="J903" t="s">
        <v>255</v>
      </c>
      <c r="K903" t="s">
        <v>255</v>
      </c>
      <c r="L903" t="s">
        <v>41</v>
      </c>
      <c r="M903" t="s">
        <v>41</v>
      </c>
      <c r="N903" t="s">
        <v>255</v>
      </c>
      <c r="O903" t="s">
        <v>41</v>
      </c>
      <c r="P903" t="s">
        <v>41</v>
      </c>
      <c r="Q903" s="2"/>
      <c r="R903" s="2"/>
      <c r="S903" t="s">
        <v>255</v>
      </c>
      <c r="T903" t="s">
        <v>41</v>
      </c>
      <c r="U903" t="s">
        <v>41</v>
      </c>
      <c r="V903" s="2"/>
      <c r="W903" s="2"/>
      <c r="X903" t="s">
        <v>4059</v>
      </c>
      <c r="Y903">
        <v>7.69</v>
      </c>
      <c r="Z903">
        <v>2780.899</v>
      </c>
      <c r="AA903" s="2"/>
      <c r="AB903" s="2"/>
      <c r="AC903" t="s">
        <v>4060</v>
      </c>
      <c r="AD903">
        <v>7.94</v>
      </c>
      <c r="AE903">
        <v>2681.643</v>
      </c>
      <c r="AF903" s="2">
        <f t="shared" si="57"/>
        <v>0.0325097529258778</v>
      </c>
      <c r="AG903" s="2">
        <f t="shared" si="58"/>
        <v>-0.035692054979343</v>
      </c>
      <c r="AH903" t="s">
        <v>4061</v>
      </c>
      <c r="AI903" t="s">
        <v>2890</v>
      </c>
      <c r="AJ903" t="s">
        <v>625</v>
      </c>
    </row>
    <row r="904" hidden="1" spans="1:36">
      <c r="A904">
        <v>128044</v>
      </c>
      <c r="B904" t="s">
        <v>4062</v>
      </c>
      <c r="C904">
        <v>2717</v>
      </c>
      <c r="D904" t="s">
        <v>4063</v>
      </c>
      <c r="E904" t="s">
        <v>885</v>
      </c>
      <c r="F904" t="s">
        <v>41</v>
      </c>
      <c r="G904" t="s">
        <v>4064</v>
      </c>
      <c r="H904" t="s">
        <v>621</v>
      </c>
      <c r="I904" t="s">
        <v>255</v>
      </c>
      <c r="J904" t="s">
        <v>255</v>
      </c>
      <c r="K904" t="s">
        <v>255</v>
      </c>
      <c r="L904" t="s">
        <v>41</v>
      </c>
      <c r="M904" t="s">
        <v>41</v>
      </c>
      <c r="N904" t="s">
        <v>255</v>
      </c>
      <c r="O904" t="s">
        <v>41</v>
      </c>
      <c r="P904" t="s">
        <v>41</v>
      </c>
      <c r="Q904" s="2"/>
      <c r="R904" s="2"/>
      <c r="S904" t="s">
        <v>255</v>
      </c>
      <c r="T904" t="s">
        <v>41</v>
      </c>
      <c r="U904" t="s">
        <v>41</v>
      </c>
      <c r="V904" s="2"/>
      <c r="W904" s="2"/>
      <c r="X904" t="s">
        <v>4064</v>
      </c>
      <c r="Y904">
        <v>6.78</v>
      </c>
      <c r="Z904">
        <v>2780.965</v>
      </c>
      <c r="AA904" s="2"/>
      <c r="AB904" s="2"/>
      <c r="AC904" t="s">
        <v>4065</v>
      </c>
      <c r="AD904">
        <v>6.35</v>
      </c>
      <c r="AE904">
        <v>2750.58</v>
      </c>
      <c r="AF904" s="2">
        <f t="shared" si="57"/>
        <v>-0.0634218289085547</v>
      </c>
      <c r="AG904" s="2">
        <f t="shared" si="58"/>
        <v>-0.010926063434815</v>
      </c>
      <c r="AH904" t="s">
        <v>715</v>
      </c>
      <c r="AI904" t="s">
        <v>4066</v>
      </c>
      <c r="AJ904" t="s">
        <v>3077</v>
      </c>
    </row>
    <row r="905" hidden="1" spans="1:36">
      <c r="A905">
        <v>123015</v>
      </c>
      <c r="B905" t="s">
        <v>4067</v>
      </c>
      <c r="C905">
        <v>300297</v>
      </c>
      <c r="D905" t="s">
        <v>4068</v>
      </c>
      <c r="E905" t="s">
        <v>4069</v>
      </c>
      <c r="F905" t="s">
        <v>41</v>
      </c>
      <c r="G905" t="s">
        <v>4070</v>
      </c>
      <c r="H905" t="s">
        <v>621</v>
      </c>
      <c r="I905" t="s">
        <v>255</v>
      </c>
      <c r="J905" t="s">
        <v>255</v>
      </c>
      <c r="K905" t="s">
        <v>255</v>
      </c>
      <c r="L905" t="s">
        <v>41</v>
      </c>
      <c r="M905" t="s">
        <v>41</v>
      </c>
      <c r="N905" t="s">
        <v>255</v>
      </c>
      <c r="O905" t="s">
        <v>41</v>
      </c>
      <c r="P905" t="s">
        <v>41</v>
      </c>
      <c r="Q905" s="2"/>
      <c r="R905" s="2"/>
      <c r="S905" t="s">
        <v>255</v>
      </c>
      <c r="T905" t="s">
        <v>41</v>
      </c>
      <c r="U905" t="s">
        <v>41</v>
      </c>
      <c r="V905" s="2"/>
      <c r="W905" s="2"/>
      <c r="X905" t="s">
        <v>4070</v>
      </c>
      <c r="Y905">
        <v>7.68</v>
      </c>
      <c r="Z905">
        <v>2785.872</v>
      </c>
      <c r="AA905" s="2"/>
      <c r="AB905" s="2"/>
      <c r="AC905" t="s">
        <v>4071</v>
      </c>
      <c r="AD905">
        <v>7.13</v>
      </c>
      <c r="AE905">
        <v>2686.578</v>
      </c>
      <c r="AF905" s="2">
        <f t="shared" si="57"/>
        <v>-0.0716145833333333</v>
      </c>
      <c r="AG905" s="2">
        <f t="shared" si="58"/>
        <v>-0.035641982115474</v>
      </c>
      <c r="AH905" t="s">
        <v>614</v>
      </c>
      <c r="AI905" t="s">
        <v>961</v>
      </c>
      <c r="AJ905" t="s">
        <v>3022</v>
      </c>
    </row>
    <row r="906" hidden="1" spans="1:36">
      <c r="A906">
        <v>113517</v>
      </c>
      <c r="B906" t="s">
        <v>4072</v>
      </c>
      <c r="C906">
        <v>603019</v>
      </c>
      <c r="D906" t="s">
        <v>4073</v>
      </c>
      <c r="E906" t="s">
        <v>3115</v>
      </c>
      <c r="F906" t="s">
        <v>41</v>
      </c>
      <c r="G906" t="s">
        <v>4074</v>
      </c>
      <c r="H906" t="s">
        <v>621</v>
      </c>
      <c r="I906" t="s">
        <v>255</v>
      </c>
      <c r="J906" t="s">
        <v>255</v>
      </c>
      <c r="K906" t="s">
        <v>255</v>
      </c>
      <c r="L906" t="s">
        <v>41</v>
      </c>
      <c r="M906" t="s">
        <v>41</v>
      </c>
      <c r="N906" t="s">
        <v>255</v>
      </c>
      <c r="O906" t="s">
        <v>41</v>
      </c>
      <c r="P906" t="s">
        <v>41</v>
      </c>
      <c r="Q906" s="2"/>
      <c r="R906" s="2"/>
      <c r="S906" t="s">
        <v>255</v>
      </c>
      <c r="T906" t="s">
        <v>41</v>
      </c>
      <c r="U906" t="s">
        <v>41</v>
      </c>
      <c r="V906" s="2"/>
      <c r="W906" s="2"/>
      <c r="X906" t="s">
        <v>4074</v>
      </c>
      <c r="Y906">
        <v>22.73</v>
      </c>
      <c r="Z906">
        <v>2705.157</v>
      </c>
      <c r="AA906" s="2"/>
      <c r="AB906" s="2"/>
      <c r="AC906" t="s">
        <v>4075</v>
      </c>
      <c r="AD906">
        <v>25.17</v>
      </c>
      <c r="AE906">
        <v>2724.624</v>
      </c>
      <c r="AF906" s="2">
        <f t="shared" si="57"/>
        <v>0.107347118345799</v>
      </c>
      <c r="AG906" s="2">
        <f t="shared" si="58"/>
        <v>0.00719625515265829</v>
      </c>
      <c r="AH906" t="s">
        <v>516</v>
      </c>
      <c r="AI906" t="s">
        <v>4076</v>
      </c>
      <c r="AJ906" t="s">
        <v>625</v>
      </c>
    </row>
    <row r="907" hidden="1" spans="1:36">
      <c r="A907">
        <v>113516</v>
      </c>
      <c r="B907" t="s">
        <v>4077</v>
      </c>
      <c r="C907">
        <v>603323</v>
      </c>
      <c r="D907" t="s">
        <v>4078</v>
      </c>
      <c r="E907" t="s">
        <v>148</v>
      </c>
      <c r="F907" t="s">
        <v>41</v>
      </c>
      <c r="G907" t="s">
        <v>4079</v>
      </c>
      <c r="H907" t="s">
        <v>621</v>
      </c>
      <c r="I907" t="s">
        <v>255</v>
      </c>
      <c r="J907" t="s">
        <v>255</v>
      </c>
      <c r="K907" t="s">
        <v>255</v>
      </c>
      <c r="L907" t="s">
        <v>41</v>
      </c>
      <c r="M907" t="s">
        <v>41</v>
      </c>
      <c r="N907" t="s">
        <v>255</v>
      </c>
      <c r="O907" t="s">
        <v>41</v>
      </c>
      <c r="P907" t="s">
        <v>41</v>
      </c>
      <c r="Q907" s="2"/>
      <c r="R907" s="2"/>
      <c r="S907" t="s">
        <v>255</v>
      </c>
      <c r="T907" t="s">
        <v>41</v>
      </c>
      <c r="U907" t="s">
        <v>41</v>
      </c>
      <c r="V907" s="2"/>
      <c r="W907" s="2"/>
      <c r="X907" t="s">
        <v>4079</v>
      </c>
      <c r="Y907">
        <v>4.13</v>
      </c>
      <c r="Z907">
        <v>2768.024</v>
      </c>
      <c r="AA907" s="2"/>
      <c r="AB907" s="2"/>
      <c r="AC907" t="s">
        <v>4080</v>
      </c>
      <c r="AD907">
        <v>3.99</v>
      </c>
      <c r="AE907">
        <v>2698.466</v>
      </c>
      <c r="AF907" s="2">
        <f t="shared" si="57"/>
        <v>-0.0338983050847457</v>
      </c>
      <c r="AG907" s="2">
        <f t="shared" si="58"/>
        <v>-0.025129117377595</v>
      </c>
      <c r="AH907" t="s">
        <v>690</v>
      </c>
      <c r="AI907" t="s">
        <v>780</v>
      </c>
      <c r="AJ907" t="s">
        <v>3077</v>
      </c>
    </row>
    <row r="908" hidden="1" spans="1:36">
      <c r="A908">
        <v>128043</v>
      </c>
      <c r="B908" t="s">
        <v>4081</v>
      </c>
      <c r="C908">
        <v>2793</v>
      </c>
      <c r="D908" t="s">
        <v>4082</v>
      </c>
      <c r="E908" t="s">
        <v>4083</v>
      </c>
      <c r="F908" t="s">
        <v>41</v>
      </c>
      <c r="G908" t="s">
        <v>4079</v>
      </c>
      <c r="H908" t="s">
        <v>621</v>
      </c>
      <c r="I908" t="s">
        <v>255</v>
      </c>
      <c r="J908" t="s">
        <v>255</v>
      </c>
      <c r="K908" t="s">
        <v>255</v>
      </c>
      <c r="L908" t="s">
        <v>41</v>
      </c>
      <c r="M908" t="s">
        <v>41</v>
      </c>
      <c r="N908" t="s">
        <v>255</v>
      </c>
      <c r="O908" t="s">
        <v>41</v>
      </c>
      <c r="P908" t="s">
        <v>41</v>
      </c>
      <c r="Q908" s="2"/>
      <c r="R908" s="2"/>
      <c r="S908" t="s">
        <v>255</v>
      </c>
      <c r="T908" t="s">
        <v>41</v>
      </c>
      <c r="U908" t="s">
        <v>41</v>
      </c>
      <c r="V908" s="2"/>
      <c r="W908" s="2"/>
      <c r="X908" t="s">
        <v>4079</v>
      </c>
      <c r="Y908">
        <v>7.07</v>
      </c>
      <c r="Z908">
        <v>2768.024</v>
      </c>
      <c r="AA908" s="2"/>
      <c r="AB908" s="2"/>
      <c r="AC908" t="s">
        <v>4059</v>
      </c>
      <c r="AD908">
        <v>7</v>
      </c>
      <c r="AE908">
        <v>2780.899</v>
      </c>
      <c r="AF908" s="2">
        <f t="shared" si="57"/>
        <v>-0.00990099009900994</v>
      </c>
      <c r="AG908" s="2">
        <f t="shared" si="58"/>
        <v>0.00465133250289737</v>
      </c>
      <c r="AH908" t="s">
        <v>690</v>
      </c>
      <c r="AI908" t="s">
        <v>2592</v>
      </c>
      <c r="AJ908" t="s">
        <v>625</v>
      </c>
    </row>
    <row r="909" hidden="1" spans="1:36">
      <c r="A909">
        <v>128042</v>
      </c>
      <c r="B909" t="s">
        <v>4084</v>
      </c>
      <c r="C909">
        <v>2823</v>
      </c>
      <c r="D909" t="s">
        <v>4085</v>
      </c>
      <c r="E909" t="s">
        <v>4086</v>
      </c>
      <c r="F909" t="s">
        <v>41</v>
      </c>
      <c r="G909" t="s">
        <v>4087</v>
      </c>
      <c r="H909" t="s">
        <v>621</v>
      </c>
      <c r="I909" t="s">
        <v>255</v>
      </c>
      <c r="J909" t="s">
        <v>255</v>
      </c>
      <c r="K909" t="s">
        <v>255</v>
      </c>
      <c r="L909" t="s">
        <v>41</v>
      </c>
      <c r="M909" t="s">
        <v>41</v>
      </c>
      <c r="N909" t="s">
        <v>255</v>
      </c>
      <c r="O909" t="s">
        <v>41</v>
      </c>
      <c r="P909" t="s">
        <v>41</v>
      </c>
      <c r="Q909" s="2"/>
      <c r="R909" s="2"/>
      <c r="S909" t="s">
        <v>255</v>
      </c>
      <c r="T909" t="s">
        <v>41</v>
      </c>
      <c r="U909" t="s">
        <v>41</v>
      </c>
      <c r="V909" s="2"/>
      <c r="W909" s="2"/>
      <c r="X909" t="s">
        <v>4087</v>
      </c>
      <c r="Y909">
        <v>11.58</v>
      </c>
      <c r="Z909">
        <v>2869.05</v>
      </c>
      <c r="AA909" s="2"/>
      <c r="AB909" s="2"/>
      <c r="AC909" t="s">
        <v>4088</v>
      </c>
      <c r="AD909">
        <v>10.22</v>
      </c>
      <c r="AE909">
        <v>2720.734</v>
      </c>
      <c r="AF909" s="2">
        <f t="shared" si="57"/>
        <v>-0.117443868739205</v>
      </c>
      <c r="AG909" s="2">
        <f t="shared" si="58"/>
        <v>-0.0516951604189541</v>
      </c>
      <c r="AH909" t="s">
        <v>4089</v>
      </c>
      <c r="AI909" t="s">
        <v>4090</v>
      </c>
      <c r="AJ909" t="s">
        <v>3077</v>
      </c>
    </row>
    <row r="910" hidden="1" spans="1:36">
      <c r="A910">
        <v>123014</v>
      </c>
      <c r="B910" t="s">
        <v>4091</v>
      </c>
      <c r="C910">
        <v>300407</v>
      </c>
      <c r="D910" t="s">
        <v>4092</v>
      </c>
      <c r="E910" t="s">
        <v>974</v>
      </c>
      <c r="F910" t="s">
        <v>41</v>
      </c>
      <c r="G910" t="s">
        <v>4093</v>
      </c>
      <c r="H910" t="s">
        <v>621</v>
      </c>
      <c r="I910" t="s">
        <v>255</v>
      </c>
      <c r="J910" t="s">
        <v>255</v>
      </c>
      <c r="K910" t="s">
        <v>255</v>
      </c>
      <c r="L910" t="s">
        <v>41</v>
      </c>
      <c r="M910" t="s">
        <v>41</v>
      </c>
      <c r="N910" t="s">
        <v>255</v>
      </c>
      <c r="O910" t="s">
        <v>41</v>
      </c>
      <c r="P910" t="s">
        <v>41</v>
      </c>
      <c r="Q910" s="2"/>
      <c r="R910" s="2"/>
      <c r="S910" t="s">
        <v>255</v>
      </c>
      <c r="T910" t="s">
        <v>41</v>
      </c>
      <c r="U910" t="s">
        <v>41</v>
      </c>
      <c r="V910" s="2"/>
      <c r="W910" s="2"/>
      <c r="X910" t="s">
        <v>4093</v>
      </c>
      <c r="Y910">
        <v>7.21</v>
      </c>
      <c r="Z910">
        <v>2873.594</v>
      </c>
      <c r="AA910" s="2"/>
      <c r="AB910" s="2"/>
      <c r="AC910" t="s">
        <v>4094</v>
      </c>
      <c r="AD910">
        <v>6.65</v>
      </c>
      <c r="AE910">
        <v>2733.826</v>
      </c>
      <c r="AF910" s="2">
        <f t="shared" si="57"/>
        <v>-0.0776699029126213</v>
      </c>
      <c r="AG910" s="2">
        <f t="shared" si="58"/>
        <v>-0.0486387429817852</v>
      </c>
      <c r="AH910" t="s">
        <v>1172</v>
      </c>
      <c r="AI910" t="s">
        <v>1200</v>
      </c>
      <c r="AJ910" t="s">
        <v>3077</v>
      </c>
    </row>
    <row r="911" hidden="1" spans="1:36">
      <c r="A911">
        <v>123013</v>
      </c>
      <c r="B911" t="s">
        <v>4095</v>
      </c>
      <c r="C911">
        <v>300539</v>
      </c>
      <c r="D911" t="s">
        <v>4096</v>
      </c>
      <c r="E911" t="s">
        <v>4097</v>
      </c>
      <c r="F911" t="s">
        <v>41</v>
      </c>
      <c r="G911" t="s">
        <v>4098</v>
      </c>
      <c r="H911" t="s">
        <v>621</v>
      </c>
      <c r="I911" t="s">
        <v>255</v>
      </c>
      <c r="J911" t="s">
        <v>255</v>
      </c>
      <c r="K911" t="s">
        <v>255</v>
      </c>
      <c r="L911" t="s">
        <v>41</v>
      </c>
      <c r="M911" t="s">
        <v>41</v>
      </c>
      <c r="N911" t="s">
        <v>255</v>
      </c>
      <c r="O911" t="s">
        <v>41</v>
      </c>
      <c r="P911" t="s">
        <v>41</v>
      </c>
      <c r="Q911" s="2"/>
      <c r="R911" s="2"/>
      <c r="S911" t="s">
        <v>255</v>
      </c>
      <c r="T911" t="s">
        <v>41</v>
      </c>
      <c r="U911" t="s">
        <v>41</v>
      </c>
      <c r="V911" s="2"/>
      <c r="W911" s="2"/>
      <c r="X911" t="s">
        <v>4098</v>
      </c>
      <c r="Y911">
        <v>8.71</v>
      </c>
      <c r="Z911">
        <v>2882.225</v>
      </c>
      <c r="AA911" s="2"/>
      <c r="AB911" s="2"/>
      <c r="AC911" t="s">
        <v>4080</v>
      </c>
      <c r="AD911">
        <v>7.68</v>
      </c>
      <c r="AE911">
        <v>2698.466</v>
      </c>
      <c r="AF911" s="2">
        <f t="shared" si="57"/>
        <v>-0.118254879448909</v>
      </c>
      <c r="AG911" s="2">
        <f t="shared" si="58"/>
        <v>-0.0637559524325825</v>
      </c>
      <c r="AH911" t="s">
        <v>748</v>
      </c>
      <c r="AI911" t="s">
        <v>4099</v>
      </c>
      <c r="AJ911" t="s">
        <v>3077</v>
      </c>
    </row>
    <row r="912" hidden="1" spans="1:36">
      <c r="A912">
        <v>113515</v>
      </c>
      <c r="B912" t="s">
        <v>4100</v>
      </c>
      <c r="C912">
        <v>603588</v>
      </c>
      <c r="D912" t="s">
        <v>4101</v>
      </c>
      <c r="E912" t="s">
        <v>2382</v>
      </c>
      <c r="F912" t="s">
        <v>41</v>
      </c>
      <c r="G912" t="s">
        <v>4098</v>
      </c>
      <c r="H912" t="s">
        <v>621</v>
      </c>
      <c r="I912" t="s">
        <v>255</v>
      </c>
      <c r="J912" t="s">
        <v>255</v>
      </c>
      <c r="K912" t="s">
        <v>255</v>
      </c>
      <c r="L912" t="s">
        <v>41</v>
      </c>
      <c r="M912" t="s">
        <v>41</v>
      </c>
      <c r="N912" t="s">
        <v>255</v>
      </c>
      <c r="O912" t="s">
        <v>41</v>
      </c>
      <c r="P912" t="s">
        <v>41</v>
      </c>
      <c r="Q912" s="2"/>
      <c r="R912" s="2"/>
      <c r="S912" t="s">
        <v>255</v>
      </c>
      <c r="T912" t="s">
        <v>41</v>
      </c>
      <c r="U912" t="s">
        <v>41</v>
      </c>
      <c r="V912" s="2"/>
      <c r="W912" s="2"/>
      <c r="X912" t="s">
        <v>4098</v>
      </c>
      <c r="Y912">
        <v>5.37</v>
      </c>
      <c r="Z912">
        <v>2882.225</v>
      </c>
      <c r="AA912" s="2"/>
      <c r="AB912" s="2"/>
      <c r="AC912" t="s">
        <v>4059</v>
      </c>
      <c r="AD912">
        <v>5.12</v>
      </c>
      <c r="AE912">
        <v>2780.899</v>
      </c>
      <c r="AF912" s="2">
        <f t="shared" si="57"/>
        <v>-0.0465549348230912</v>
      </c>
      <c r="AG912" s="2">
        <f t="shared" si="58"/>
        <v>-0.0351554788401322</v>
      </c>
      <c r="AH912" t="s">
        <v>748</v>
      </c>
      <c r="AI912" t="s">
        <v>3165</v>
      </c>
      <c r="AJ912" t="s">
        <v>625</v>
      </c>
    </row>
    <row r="913" hidden="1" spans="1:36">
      <c r="A913">
        <v>113514</v>
      </c>
      <c r="B913" t="s">
        <v>4102</v>
      </c>
      <c r="C913">
        <v>603023</v>
      </c>
      <c r="D913" t="s">
        <v>4103</v>
      </c>
      <c r="E913" t="s">
        <v>3245</v>
      </c>
      <c r="F913" t="s">
        <v>41</v>
      </c>
      <c r="G913" t="s">
        <v>4104</v>
      </c>
      <c r="H913" t="s">
        <v>621</v>
      </c>
      <c r="I913" t="s">
        <v>255</v>
      </c>
      <c r="J913" t="s">
        <v>255</v>
      </c>
      <c r="K913" t="s">
        <v>255</v>
      </c>
      <c r="L913" t="s">
        <v>41</v>
      </c>
      <c r="M913" t="s">
        <v>41</v>
      </c>
      <c r="N913" t="s">
        <v>255</v>
      </c>
      <c r="O913" t="s">
        <v>41</v>
      </c>
      <c r="P913" t="s">
        <v>41</v>
      </c>
      <c r="Q913" s="2"/>
      <c r="R913" s="2"/>
      <c r="S913" t="s">
        <v>255</v>
      </c>
      <c r="T913" t="s">
        <v>41</v>
      </c>
      <c r="U913" t="s">
        <v>41</v>
      </c>
      <c r="V913" s="2"/>
      <c r="W913" s="2"/>
      <c r="X913" t="s">
        <v>4104</v>
      </c>
      <c r="Y913">
        <v>3.78</v>
      </c>
      <c r="Z913">
        <v>2829.271</v>
      </c>
      <c r="AA913" s="2"/>
      <c r="AB913" s="2"/>
      <c r="AC913" t="s">
        <v>4070</v>
      </c>
      <c r="AD913">
        <v>3.93</v>
      </c>
      <c r="AE913">
        <v>2785.872</v>
      </c>
      <c r="AF913" s="2">
        <f t="shared" si="57"/>
        <v>0.0396825396825398</v>
      </c>
      <c r="AG913" s="2">
        <f t="shared" si="58"/>
        <v>-0.0153392870460272</v>
      </c>
      <c r="AH913" t="s">
        <v>1122</v>
      </c>
      <c r="AI913" t="s">
        <v>3086</v>
      </c>
      <c r="AJ913" t="s">
        <v>625</v>
      </c>
    </row>
    <row r="914" hidden="1" spans="1:36">
      <c r="A914">
        <v>123012</v>
      </c>
      <c r="B914" t="s">
        <v>4105</v>
      </c>
      <c r="C914">
        <v>300057</v>
      </c>
      <c r="D914" t="s">
        <v>2773</v>
      </c>
      <c r="E914" t="s">
        <v>1462</v>
      </c>
      <c r="F914" t="s">
        <v>41</v>
      </c>
      <c r="G914" t="s">
        <v>4104</v>
      </c>
      <c r="H914" t="s">
        <v>621</v>
      </c>
      <c r="I914" t="s">
        <v>255</v>
      </c>
      <c r="J914" t="s">
        <v>255</v>
      </c>
      <c r="K914" t="s">
        <v>255</v>
      </c>
      <c r="L914" t="s">
        <v>41</v>
      </c>
      <c r="M914" t="s">
        <v>41</v>
      </c>
      <c r="N914" t="s">
        <v>255</v>
      </c>
      <c r="O914" t="s">
        <v>41</v>
      </c>
      <c r="P914" t="s">
        <v>41</v>
      </c>
      <c r="Q914" s="2"/>
      <c r="R914" s="2"/>
      <c r="S914" t="s">
        <v>255</v>
      </c>
      <c r="T914" t="s">
        <v>41</v>
      </c>
      <c r="U914" t="s">
        <v>41</v>
      </c>
      <c r="V914" s="2"/>
      <c r="W914" s="2"/>
      <c r="X914" t="s">
        <v>4104</v>
      </c>
      <c r="Y914">
        <v>5.09</v>
      </c>
      <c r="Z914">
        <v>2829.271</v>
      </c>
      <c r="AA914" s="2"/>
      <c r="AB914" s="2"/>
      <c r="AC914" t="s">
        <v>4106</v>
      </c>
      <c r="AD914">
        <v>4.63</v>
      </c>
      <c r="AE914">
        <v>2769.295</v>
      </c>
      <c r="AF914" s="2">
        <f t="shared" si="57"/>
        <v>-0.0903732809430255</v>
      </c>
      <c r="AG914" s="2">
        <f t="shared" si="58"/>
        <v>-0.0211983935084338</v>
      </c>
      <c r="AH914" t="s">
        <v>4107</v>
      </c>
      <c r="AI914" t="s">
        <v>4108</v>
      </c>
      <c r="AJ914" t="s">
        <v>3077</v>
      </c>
    </row>
    <row r="915" hidden="1" spans="1:36">
      <c r="A915">
        <v>123011</v>
      </c>
      <c r="B915" t="s">
        <v>4109</v>
      </c>
      <c r="C915">
        <v>300473</v>
      </c>
      <c r="D915" t="s">
        <v>4110</v>
      </c>
      <c r="E915" t="s">
        <v>362</v>
      </c>
      <c r="F915" t="s">
        <v>41</v>
      </c>
      <c r="G915" t="s">
        <v>4111</v>
      </c>
      <c r="H915" t="s">
        <v>621</v>
      </c>
      <c r="I915" t="s">
        <v>255</v>
      </c>
      <c r="J915" t="s">
        <v>255</v>
      </c>
      <c r="K915" t="s">
        <v>255</v>
      </c>
      <c r="L915" t="s">
        <v>41</v>
      </c>
      <c r="M915" t="s">
        <v>41</v>
      </c>
      <c r="N915" t="s">
        <v>255</v>
      </c>
      <c r="O915" t="s">
        <v>41</v>
      </c>
      <c r="P915" t="s">
        <v>41</v>
      </c>
      <c r="Q915" s="2"/>
      <c r="R915" s="2"/>
      <c r="S915" t="s">
        <v>255</v>
      </c>
      <c r="T915" t="s">
        <v>41</v>
      </c>
      <c r="U915" t="s">
        <v>41</v>
      </c>
      <c r="V915" s="2"/>
      <c r="W915" s="2"/>
      <c r="X915" t="s">
        <v>4111</v>
      </c>
      <c r="Y915">
        <v>34.08</v>
      </c>
      <c r="Z915">
        <v>2787.257</v>
      </c>
      <c r="AA915" s="2"/>
      <c r="AB915" s="2"/>
      <c r="AC915" t="s">
        <v>4064</v>
      </c>
      <c r="AD915">
        <v>33.11</v>
      </c>
      <c r="AE915">
        <v>2780.965</v>
      </c>
      <c r="AF915" s="2">
        <f t="shared" si="57"/>
        <v>-0.028462441314554</v>
      </c>
      <c r="AG915" s="2">
        <f t="shared" si="58"/>
        <v>-0.00225741652097382</v>
      </c>
      <c r="AH915" t="s">
        <v>4112</v>
      </c>
      <c r="AI915" t="s">
        <v>1863</v>
      </c>
      <c r="AJ915" t="s">
        <v>3077</v>
      </c>
    </row>
    <row r="916" hidden="1" spans="1:36">
      <c r="A916">
        <v>128041</v>
      </c>
      <c r="B916" t="s">
        <v>4113</v>
      </c>
      <c r="C916">
        <v>2446</v>
      </c>
      <c r="D916" t="s">
        <v>4114</v>
      </c>
      <c r="E916" t="s">
        <v>55</v>
      </c>
      <c r="F916" t="s">
        <v>41</v>
      </c>
      <c r="G916" t="s">
        <v>4115</v>
      </c>
      <c r="H916" t="s">
        <v>621</v>
      </c>
      <c r="I916" t="s">
        <v>255</v>
      </c>
      <c r="J916" t="s">
        <v>255</v>
      </c>
      <c r="K916" t="s">
        <v>255</v>
      </c>
      <c r="L916" t="s">
        <v>41</v>
      </c>
      <c r="M916" t="s">
        <v>41</v>
      </c>
      <c r="N916" t="s">
        <v>255</v>
      </c>
      <c r="O916" t="s">
        <v>41</v>
      </c>
      <c r="P916" t="s">
        <v>41</v>
      </c>
      <c r="Q916" s="2"/>
      <c r="R916" s="2"/>
      <c r="S916" t="s">
        <v>255</v>
      </c>
      <c r="T916" t="s">
        <v>41</v>
      </c>
      <c r="U916" t="s">
        <v>41</v>
      </c>
      <c r="V916" s="2"/>
      <c r="W916" s="2"/>
      <c r="X916" t="s">
        <v>4115</v>
      </c>
      <c r="Y916">
        <v>7.19</v>
      </c>
      <c r="Z916">
        <v>2798.126</v>
      </c>
      <c r="AA916" s="2"/>
      <c r="AB916" s="2"/>
      <c r="AC916" t="s">
        <v>4064</v>
      </c>
      <c r="AD916">
        <v>6.79</v>
      </c>
      <c r="AE916">
        <v>2780.965</v>
      </c>
      <c r="AF916" s="2">
        <f t="shared" si="57"/>
        <v>-0.0556328233657859</v>
      </c>
      <c r="AG916" s="2">
        <f t="shared" si="58"/>
        <v>-0.00613303332301693</v>
      </c>
      <c r="AH916" t="s">
        <v>3021</v>
      </c>
      <c r="AI916" t="s">
        <v>4116</v>
      </c>
      <c r="AJ916" t="s">
        <v>3077</v>
      </c>
    </row>
    <row r="917" hidden="1" spans="1:36">
      <c r="A917">
        <v>110045</v>
      </c>
      <c r="B917" t="s">
        <v>4117</v>
      </c>
      <c r="C917">
        <v>600398</v>
      </c>
      <c r="D917" t="s">
        <v>4118</v>
      </c>
      <c r="E917" t="s">
        <v>325</v>
      </c>
      <c r="F917" t="s">
        <v>41</v>
      </c>
      <c r="G917" t="s">
        <v>4119</v>
      </c>
      <c r="H917" t="s">
        <v>621</v>
      </c>
      <c r="I917" t="s">
        <v>255</v>
      </c>
      <c r="J917" t="s">
        <v>255</v>
      </c>
      <c r="K917" t="s">
        <v>255</v>
      </c>
      <c r="L917" t="s">
        <v>41</v>
      </c>
      <c r="M917" t="s">
        <v>41</v>
      </c>
      <c r="N917" t="s">
        <v>255</v>
      </c>
      <c r="O917" t="s">
        <v>41</v>
      </c>
      <c r="P917" t="s">
        <v>41</v>
      </c>
      <c r="Q917" s="2"/>
      <c r="R917" s="2"/>
      <c r="S917" t="s">
        <v>255</v>
      </c>
      <c r="T917" t="s">
        <v>41</v>
      </c>
      <c r="U917" t="s">
        <v>41</v>
      </c>
      <c r="V917" s="2"/>
      <c r="W917" s="2"/>
      <c r="X917" t="s">
        <v>4119</v>
      </c>
      <c r="Y917">
        <v>9.5</v>
      </c>
      <c r="Z917">
        <v>2831.184</v>
      </c>
      <c r="AA917" s="2"/>
      <c r="AB917" s="2"/>
      <c r="AC917" t="s">
        <v>4120</v>
      </c>
      <c r="AD917">
        <v>8.78</v>
      </c>
      <c r="AE917">
        <v>2876.401</v>
      </c>
      <c r="AF917" s="2">
        <f t="shared" si="57"/>
        <v>-0.0757894736842106</v>
      </c>
      <c r="AG917" s="2">
        <f t="shared" si="58"/>
        <v>0.0159710566321368</v>
      </c>
      <c r="AH917" t="s">
        <v>4121</v>
      </c>
      <c r="AI917" t="s">
        <v>825</v>
      </c>
      <c r="AJ917" t="s">
        <v>625</v>
      </c>
    </row>
    <row r="918" hidden="1" spans="1:36">
      <c r="A918">
        <v>113513</v>
      </c>
      <c r="B918" t="s">
        <v>4122</v>
      </c>
      <c r="C918">
        <v>603345</v>
      </c>
      <c r="D918" t="s">
        <v>3124</v>
      </c>
      <c r="E918" t="s">
        <v>522</v>
      </c>
      <c r="F918" t="s">
        <v>41</v>
      </c>
      <c r="G918" t="s">
        <v>4123</v>
      </c>
      <c r="H918" t="s">
        <v>621</v>
      </c>
      <c r="I918" t="s">
        <v>255</v>
      </c>
      <c r="J918" t="s">
        <v>255</v>
      </c>
      <c r="K918" t="s">
        <v>255</v>
      </c>
      <c r="L918" t="s">
        <v>41</v>
      </c>
      <c r="M918" t="s">
        <v>41</v>
      </c>
      <c r="N918" t="s">
        <v>255</v>
      </c>
      <c r="O918" t="s">
        <v>41</v>
      </c>
      <c r="P918" t="s">
        <v>41</v>
      </c>
      <c r="Q918" s="2"/>
      <c r="R918" s="2"/>
      <c r="S918" t="s">
        <v>255</v>
      </c>
      <c r="T918" t="s">
        <v>41</v>
      </c>
      <c r="U918" t="s">
        <v>41</v>
      </c>
      <c r="V918" s="2"/>
      <c r="W918" s="2"/>
      <c r="X918" t="s">
        <v>4123</v>
      </c>
      <c r="Y918">
        <v>27.01</v>
      </c>
      <c r="Z918">
        <v>2837.659</v>
      </c>
      <c r="AA918" s="2"/>
      <c r="AB918" s="2"/>
      <c r="AC918" t="s">
        <v>4120</v>
      </c>
      <c r="AD918">
        <v>28.69</v>
      </c>
      <c r="AE918">
        <v>2876.401</v>
      </c>
      <c r="AF918" s="2">
        <f t="shared" si="57"/>
        <v>0.0621991854868567</v>
      </c>
      <c r="AG918" s="2">
        <f t="shared" si="58"/>
        <v>0.0136528032438005</v>
      </c>
      <c r="AH918" t="s">
        <v>763</v>
      </c>
      <c r="AI918" t="s">
        <v>3735</v>
      </c>
      <c r="AJ918" t="s">
        <v>625</v>
      </c>
    </row>
    <row r="919" hidden="1" spans="1:36">
      <c r="A919">
        <v>113512</v>
      </c>
      <c r="B919" t="s">
        <v>4124</v>
      </c>
      <c r="C919">
        <v>603228</v>
      </c>
      <c r="D919" t="s">
        <v>1383</v>
      </c>
      <c r="E919" t="s">
        <v>1678</v>
      </c>
      <c r="F919" t="s">
        <v>41</v>
      </c>
      <c r="G919" t="s">
        <v>4125</v>
      </c>
      <c r="H919" t="s">
        <v>621</v>
      </c>
      <c r="I919" t="s">
        <v>255</v>
      </c>
      <c r="J919" t="s">
        <v>255</v>
      </c>
      <c r="K919" t="s">
        <v>255</v>
      </c>
      <c r="L919" t="s">
        <v>41</v>
      </c>
      <c r="M919" t="s">
        <v>41</v>
      </c>
      <c r="N919" t="s">
        <v>255</v>
      </c>
      <c r="O919" t="s">
        <v>41</v>
      </c>
      <c r="P919" t="s">
        <v>41</v>
      </c>
      <c r="Q919" s="2"/>
      <c r="R919" s="2"/>
      <c r="S919" t="s">
        <v>255</v>
      </c>
      <c r="T919" t="s">
        <v>41</v>
      </c>
      <c r="U919" t="s">
        <v>41</v>
      </c>
      <c r="V919" s="2"/>
      <c r="W919" s="2"/>
      <c r="X919" t="s">
        <v>4125</v>
      </c>
      <c r="Y919">
        <v>22.68</v>
      </c>
      <c r="Z919">
        <v>2747.229</v>
      </c>
      <c r="AA919" s="2"/>
      <c r="AB919" s="2"/>
      <c r="AC919" t="s">
        <v>4126</v>
      </c>
      <c r="AD919">
        <v>25.96</v>
      </c>
      <c r="AE919">
        <v>2905.562</v>
      </c>
      <c r="AF919" s="2">
        <f t="shared" si="57"/>
        <v>0.144620811287478</v>
      </c>
      <c r="AG919" s="2">
        <f t="shared" si="58"/>
        <v>0.0576337101857909</v>
      </c>
      <c r="AH919" t="s">
        <v>143</v>
      </c>
      <c r="AI919" t="s">
        <v>4127</v>
      </c>
      <c r="AJ919" t="s">
        <v>625</v>
      </c>
    </row>
    <row r="920" hidden="1" spans="1:36">
      <c r="A920">
        <v>123010</v>
      </c>
      <c r="B920" t="s">
        <v>4128</v>
      </c>
      <c r="C920">
        <v>300422</v>
      </c>
      <c r="D920" t="s">
        <v>4129</v>
      </c>
      <c r="E920" t="s">
        <v>1193</v>
      </c>
      <c r="F920" t="s">
        <v>41</v>
      </c>
      <c r="G920" t="s">
        <v>4130</v>
      </c>
      <c r="H920" t="s">
        <v>621</v>
      </c>
      <c r="I920" t="s">
        <v>255</v>
      </c>
      <c r="J920" t="s">
        <v>255</v>
      </c>
      <c r="K920" t="s">
        <v>255</v>
      </c>
      <c r="L920" t="s">
        <v>41</v>
      </c>
      <c r="M920" t="s">
        <v>41</v>
      </c>
      <c r="N920" t="s">
        <v>255</v>
      </c>
      <c r="O920" t="s">
        <v>41</v>
      </c>
      <c r="P920" t="s">
        <v>41</v>
      </c>
      <c r="Q920" s="2"/>
      <c r="R920" s="2"/>
      <c r="S920" t="s">
        <v>255</v>
      </c>
      <c r="T920" t="s">
        <v>41</v>
      </c>
      <c r="U920" t="s">
        <v>41</v>
      </c>
      <c r="V920" s="2"/>
      <c r="W920" s="2"/>
      <c r="X920" t="s">
        <v>4130</v>
      </c>
      <c r="Y920">
        <v>13.16</v>
      </c>
      <c r="Z920">
        <v>2733.882</v>
      </c>
      <c r="AA920" s="2"/>
      <c r="AB920" s="2"/>
      <c r="AC920" t="s">
        <v>4064</v>
      </c>
      <c r="AD920">
        <v>13.48</v>
      </c>
      <c r="AE920">
        <v>2780.965</v>
      </c>
      <c r="AF920" s="2">
        <f t="shared" si="57"/>
        <v>0.0243161094224924</v>
      </c>
      <c r="AG920" s="2">
        <f t="shared" si="58"/>
        <v>0.0172220307972327</v>
      </c>
      <c r="AH920" t="s">
        <v>785</v>
      </c>
      <c r="AI920" t="s">
        <v>790</v>
      </c>
      <c r="AJ920" t="s">
        <v>3077</v>
      </c>
    </row>
    <row r="921" hidden="1" spans="1:36">
      <c r="A921">
        <v>127007</v>
      </c>
      <c r="B921" t="s">
        <v>4131</v>
      </c>
      <c r="C921">
        <v>665</v>
      </c>
      <c r="D921" t="s">
        <v>4132</v>
      </c>
      <c r="E921" t="s">
        <v>107</v>
      </c>
      <c r="F921" t="s">
        <v>41</v>
      </c>
      <c r="G921" t="s">
        <v>4133</v>
      </c>
      <c r="H921" t="s">
        <v>621</v>
      </c>
      <c r="I921" t="s">
        <v>255</v>
      </c>
      <c r="J921" t="s">
        <v>255</v>
      </c>
      <c r="K921" t="s">
        <v>255</v>
      </c>
      <c r="L921" t="s">
        <v>41</v>
      </c>
      <c r="M921" t="s">
        <v>41</v>
      </c>
      <c r="N921" t="s">
        <v>255</v>
      </c>
      <c r="O921" t="s">
        <v>41</v>
      </c>
      <c r="P921" t="s">
        <v>41</v>
      </c>
      <c r="Q921" s="2"/>
      <c r="R921" s="2"/>
      <c r="S921" t="s">
        <v>255</v>
      </c>
      <c r="T921" t="s">
        <v>41</v>
      </c>
      <c r="U921" t="s">
        <v>41</v>
      </c>
      <c r="V921" s="2"/>
      <c r="W921" s="2"/>
      <c r="X921" t="s">
        <v>4133</v>
      </c>
      <c r="Y921">
        <v>6.03</v>
      </c>
      <c r="Z921">
        <v>2786.897</v>
      </c>
      <c r="AA921" s="2"/>
      <c r="AB921" s="2"/>
      <c r="AC921" t="s">
        <v>4134</v>
      </c>
      <c r="AD921">
        <v>5.97</v>
      </c>
      <c r="AE921">
        <v>2824.534</v>
      </c>
      <c r="AF921" s="2">
        <f t="shared" si="57"/>
        <v>-0.00995024875621899</v>
      </c>
      <c r="AG921" s="2">
        <f t="shared" si="58"/>
        <v>0.0135049842172137</v>
      </c>
      <c r="AH921" t="s">
        <v>1557</v>
      </c>
      <c r="AI921" t="s">
        <v>4135</v>
      </c>
      <c r="AJ921" t="s">
        <v>3077</v>
      </c>
    </row>
    <row r="922" hidden="1" spans="1:36">
      <c r="A922">
        <v>110044</v>
      </c>
      <c r="B922" t="s">
        <v>4136</v>
      </c>
      <c r="C922">
        <v>600831</v>
      </c>
      <c r="D922" t="s">
        <v>4137</v>
      </c>
      <c r="E922" t="s">
        <v>115</v>
      </c>
      <c r="F922" t="s">
        <v>41</v>
      </c>
      <c r="G922" t="s">
        <v>4138</v>
      </c>
      <c r="H922" t="s">
        <v>621</v>
      </c>
      <c r="I922" t="s">
        <v>255</v>
      </c>
      <c r="J922" t="s">
        <v>255</v>
      </c>
      <c r="K922" t="s">
        <v>255</v>
      </c>
      <c r="L922" t="s">
        <v>41</v>
      </c>
      <c r="M922" t="s">
        <v>41</v>
      </c>
      <c r="N922" t="s">
        <v>255</v>
      </c>
      <c r="O922" t="s">
        <v>41</v>
      </c>
      <c r="P922" t="s">
        <v>41</v>
      </c>
      <c r="Q922" s="2"/>
      <c r="R922" s="2"/>
      <c r="S922" t="s">
        <v>255</v>
      </c>
      <c r="T922" t="s">
        <v>41</v>
      </c>
      <c r="U922" t="s">
        <v>41</v>
      </c>
      <c r="V922" s="2"/>
      <c r="W922" s="2"/>
      <c r="X922" t="s">
        <v>4138</v>
      </c>
      <c r="Y922">
        <v>5.88</v>
      </c>
      <c r="Z922">
        <v>2813.178</v>
      </c>
      <c r="AA922" s="2"/>
      <c r="AB922" s="2"/>
      <c r="AC922" t="s">
        <v>4126</v>
      </c>
      <c r="AD922">
        <v>6.05</v>
      </c>
      <c r="AE922">
        <v>2905.562</v>
      </c>
      <c r="AF922" s="2">
        <f t="shared" si="57"/>
        <v>0.0289115646258503</v>
      </c>
      <c r="AG922" s="2">
        <f t="shared" si="58"/>
        <v>0.03283972788071</v>
      </c>
      <c r="AH922" t="s">
        <v>4139</v>
      </c>
      <c r="AI922" t="s">
        <v>587</v>
      </c>
      <c r="AJ922" t="s">
        <v>3077</v>
      </c>
    </row>
    <row r="923" hidden="1" spans="1:36">
      <c r="A923">
        <v>113511</v>
      </c>
      <c r="B923" t="s">
        <v>4140</v>
      </c>
      <c r="C923">
        <v>603027</v>
      </c>
      <c r="D923" t="s">
        <v>4141</v>
      </c>
      <c r="E923" t="s">
        <v>3518</v>
      </c>
      <c r="F923" t="s">
        <v>41</v>
      </c>
      <c r="G923" t="s">
        <v>4142</v>
      </c>
      <c r="H923" t="s">
        <v>621</v>
      </c>
      <c r="I923" t="s">
        <v>255</v>
      </c>
      <c r="J923" t="s">
        <v>255</v>
      </c>
      <c r="K923" t="s">
        <v>255</v>
      </c>
      <c r="L923" t="s">
        <v>41</v>
      </c>
      <c r="M923" t="s">
        <v>41</v>
      </c>
      <c r="N923" t="s">
        <v>255</v>
      </c>
      <c r="O923" t="s">
        <v>41</v>
      </c>
      <c r="P923" t="s">
        <v>41</v>
      </c>
      <c r="Q923" s="2"/>
      <c r="R923" s="2"/>
      <c r="S923" t="s">
        <v>255</v>
      </c>
      <c r="T923" t="s">
        <v>41</v>
      </c>
      <c r="U923" t="s">
        <v>41</v>
      </c>
      <c r="V923" s="2"/>
      <c r="W923" s="2"/>
      <c r="X923" t="s">
        <v>4142</v>
      </c>
      <c r="Y923">
        <v>5.67</v>
      </c>
      <c r="Z923">
        <v>2915.731</v>
      </c>
      <c r="AA923" s="2"/>
      <c r="AB923" s="2"/>
      <c r="AC923" t="s">
        <v>4143</v>
      </c>
      <c r="AD923">
        <v>4.73</v>
      </c>
      <c r="AE923">
        <v>2827.625</v>
      </c>
      <c r="AF923" s="2">
        <f t="shared" si="57"/>
        <v>-0.165784832451499</v>
      </c>
      <c r="AG923" s="2">
        <f t="shared" si="58"/>
        <v>-0.0302174651914049</v>
      </c>
      <c r="AH923" t="s">
        <v>142</v>
      </c>
      <c r="AI923" t="s">
        <v>3231</v>
      </c>
      <c r="AJ923" t="s">
        <v>625</v>
      </c>
    </row>
    <row r="924" hidden="1" spans="1:36">
      <c r="A924">
        <v>113510</v>
      </c>
      <c r="B924" t="s">
        <v>4144</v>
      </c>
      <c r="C924">
        <v>603601</v>
      </c>
      <c r="D924" t="s">
        <v>1716</v>
      </c>
      <c r="E924" t="s">
        <v>4145</v>
      </c>
      <c r="F924" t="s">
        <v>41</v>
      </c>
      <c r="G924" t="s">
        <v>4146</v>
      </c>
      <c r="H924" t="s">
        <v>621</v>
      </c>
      <c r="I924" t="s">
        <v>255</v>
      </c>
      <c r="J924" t="s">
        <v>255</v>
      </c>
      <c r="K924" t="s">
        <v>255</v>
      </c>
      <c r="L924" t="s">
        <v>41</v>
      </c>
      <c r="M924" t="s">
        <v>41</v>
      </c>
      <c r="N924" t="s">
        <v>255</v>
      </c>
      <c r="O924" t="s">
        <v>41</v>
      </c>
      <c r="P924" t="s">
        <v>41</v>
      </c>
      <c r="Q924" s="2"/>
      <c r="R924" s="2"/>
      <c r="S924" t="s">
        <v>255</v>
      </c>
      <c r="T924" t="s">
        <v>41</v>
      </c>
      <c r="U924" t="s">
        <v>41</v>
      </c>
      <c r="V924" s="2"/>
      <c r="W924" s="2"/>
      <c r="X924" t="s">
        <v>4146</v>
      </c>
      <c r="Y924">
        <v>4.36</v>
      </c>
      <c r="Z924">
        <v>2907.822</v>
      </c>
      <c r="AA924" s="2"/>
      <c r="AB924" s="2"/>
      <c r="AC924" t="s">
        <v>4119</v>
      </c>
      <c r="AD924">
        <v>4.46</v>
      </c>
      <c r="AE924">
        <v>2831.184</v>
      </c>
      <c r="AF924" s="2">
        <f t="shared" si="57"/>
        <v>0.0229357798165137</v>
      </c>
      <c r="AG924" s="2">
        <f t="shared" si="58"/>
        <v>-0.0263558085742525</v>
      </c>
      <c r="AH924" t="s">
        <v>4147</v>
      </c>
      <c r="AI924" t="s">
        <v>3334</v>
      </c>
      <c r="AJ924" t="s">
        <v>625</v>
      </c>
    </row>
    <row r="925" hidden="1" spans="1:36">
      <c r="A925">
        <v>128040</v>
      </c>
      <c r="B925" t="s">
        <v>4148</v>
      </c>
      <c r="C925">
        <v>2758</v>
      </c>
      <c r="D925" t="s">
        <v>4149</v>
      </c>
      <c r="E925" t="s">
        <v>4150</v>
      </c>
      <c r="F925" t="s">
        <v>41</v>
      </c>
      <c r="G925" t="s">
        <v>4151</v>
      </c>
      <c r="H925" t="s">
        <v>621</v>
      </c>
      <c r="I925" t="s">
        <v>255</v>
      </c>
      <c r="J925" t="s">
        <v>255</v>
      </c>
      <c r="K925" t="s">
        <v>255</v>
      </c>
      <c r="L925" t="s">
        <v>41</v>
      </c>
      <c r="M925" t="s">
        <v>41</v>
      </c>
      <c r="N925" t="s">
        <v>255</v>
      </c>
      <c r="O925" t="s">
        <v>41</v>
      </c>
      <c r="P925" t="s">
        <v>41</v>
      </c>
      <c r="Q925" s="2"/>
      <c r="R925" s="2"/>
      <c r="S925" t="s">
        <v>255</v>
      </c>
      <c r="T925" t="s">
        <v>41</v>
      </c>
      <c r="U925" t="s">
        <v>41</v>
      </c>
      <c r="V925" s="2"/>
      <c r="W925" s="2"/>
      <c r="X925" t="s">
        <v>4151</v>
      </c>
      <c r="Y925">
        <v>9.59</v>
      </c>
      <c r="Z925">
        <v>3044.16</v>
      </c>
      <c r="AA925" s="2"/>
      <c r="AB925" s="2"/>
      <c r="AC925" t="s">
        <v>4119</v>
      </c>
      <c r="AD925">
        <v>8.6</v>
      </c>
      <c r="AE925">
        <v>2831.184</v>
      </c>
      <c r="AF925" s="2">
        <f t="shared" si="57"/>
        <v>-0.103232533889468</v>
      </c>
      <c r="AG925" s="2">
        <f t="shared" si="58"/>
        <v>-0.0699621570482497</v>
      </c>
      <c r="AH925" t="s">
        <v>4152</v>
      </c>
      <c r="AI925" t="s">
        <v>1481</v>
      </c>
      <c r="AJ925" t="s">
        <v>625</v>
      </c>
    </row>
    <row r="926" hidden="1" spans="1:36">
      <c r="A926">
        <v>128039</v>
      </c>
      <c r="B926" t="s">
        <v>4153</v>
      </c>
      <c r="C926">
        <v>2224</v>
      </c>
      <c r="D926" t="s">
        <v>4154</v>
      </c>
      <c r="E926" t="s">
        <v>859</v>
      </c>
      <c r="F926" t="s">
        <v>41</v>
      </c>
      <c r="G926" t="s">
        <v>4155</v>
      </c>
      <c r="H926" t="s">
        <v>621</v>
      </c>
      <c r="I926" t="s">
        <v>255</v>
      </c>
      <c r="J926" t="s">
        <v>255</v>
      </c>
      <c r="K926" t="s">
        <v>255</v>
      </c>
      <c r="L926" t="s">
        <v>41</v>
      </c>
      <c r="M926" t="s">
        <v>41</v>
      </c>
      <c r="N926" t="s">
        <v>255</v>
      </c>
      <c r="O926" t="s">
        <v>41</v>
      </c>
      <c r="P926" t="s">
        <v>41</v>
      </c>
      <c r="Q926" s="2"/>
      <c r="R926" s="2"/>
      <c r="S926" t="s">
        <v>255</v>
      </c>
      <c r="T926" t="s">
        <v>41</v>
      </c>
      <c r="U926" t="s">
        <v>41</v>
      </c>
      <c r="V926" s="2"/>
      <c r="W926" s="2"/>
      <c r="X926" t="s">
        <v>4155</v>
      </c>
      <c r="Y926">
        <v>6.6</v>
      </c>
      <c r="Z926">
        <v>3067.148</v>
      </c>
      <c r="AA926" s="2"/>
      <c r="AB926" s="2"/>
      <c r="AC926" t="s">
        <v>4156</v>
      </c>
      <c r="AD926">
        <v>5.78</v>
      </c>
      <c r="AE926">
        <v>2847.418</v>
      </c>
      <c r="AF926" s="2">
        <f t="shared" si="57"/>
        <v>-0.124242424242424</v>
      </c>
      <c r="AG926" s="2">
        <f t="shared" si="58"/>
        <v>-0.0716398426160068</v>
      </c>
      <c r="AH926" t="s">
        <v>4157</v>
      </c>
      <c r="AI926" t="s">
        <v>730</v>
      </c>
      <c r="AJ926" t="s">
        <v>3077</v>
      </c>
    </row>
    <row r="927" hidden="1" spans="1:36">
      <c r="A927">
        <v>113509</v>
      </c>
      <c r="B927" t="s">
        <v>4158</v>
      </c>
      <c r="C927">
        <v>603179</v>
      </c>
      <c r="D927" t="s">
        <v>1119</v>
      </c>
      <c r="E927" t="s">
        <v>223</v>
      </c>
      <c r="F927" t="s">
        <v>41</v>
      </c>
      <c r="G927" t="s">
        <v>4159</v>
      </c>
      <c r="H927" t="s">
        <v>621</v>
      </c>
      <c r="I927" t="s">
        <v>255</v>
      </c>
      <c r="J927" t="s">
        <v>255</v>
      </c>
      <c r="K927" t="s">
        <v>255</v>
      </c>
      <c r="L927" t="s">
        <v>41</v>
      </c>
      <c r="M927" t="s">
        <v>41</v>
      </c>
      <c r="N927" t="s">
        <v>255</v>
      </c>
      <c r="O927" t="s">
        <v>41</v>
      </c>
      <c r="P927" t="s">
        <v>41</v>
      </c>
      <c r="Q927" s="2"/>
      <c r="R927" s="2"/>
      <c r="S927" t="s">
        <v>255</v>
      </c>
      <c r="T927" t="s">
        <v>41</v>
      </c>
      <c r="U927" t="s">
        <v>41</v>
      </c>
      <c r="V927" s="2"/>
      <c r="W927" s="2"/>
      <c r="X927" t="s">
        <v>4159</v>
      </c>
      <c r="Y927">
        <v>13.24</v>
      </c>
      <c r="Z927">
        <v>3091.191</v>
      </c>
      <c r="AA927" s="2"/>
      <c r="AB927" s="2"/>
      <c r="AC927" t="s">
        <v>4160</v>
      </c>
      <c r="AD927">
        <v>11.9</v>
      </c>
      <c r="AE927">
        <v>2889.76</v>
      </c>
      <c r="AF927" s="2">
        <f t="shared" si="57"/>
        <v>-0.101208459214502</v>
      </c>
      <c r="AG927" s="2">
        <f t="shared" si="58"/>
        <v>-0.0651629097005004</v>
      </c>
      <c r="AH927" t="s">
        <v>2593</v>
      </c>
      <c r="AI927" t="s">
        <v>4161</v>
      </c>
      <c r="AJ927" t="s">
        <v>625</v>
      </c>
    </row>
    <row r="928" hidden="1" spans="1:36">
      <c r="A928">
        <v>113508</v>
      </c>
      <c r="B928" t="s">
        <v>4162</v>
      </c>
      <c r="C928">
        <v>603225</v>
      </c>
      <c r="D928" t="s">
        <v>2547</v>
      </c>
      <c r="E928" t="s">
        <v>4163</v>
      </c>
      <c r="F928" t="s">
        <v>41</v>
      </c>
      <c r="G928" t="s">
        <v>4164</v>
      </c>
      <c r="H928" t="s">
        <v>621</v>
      </c>
      <c r="I928" t="s">
        <v>255</v>
      </c>
      <c r="J928" t="s">
        <v>255</v>
      </c>
      <c r="K928" t="s">
        <v>255</v>
      </c>
      <c r="L928" t="s">
        <v>41</v>
      </c>
      <c r="M928" t="s">
        <v>41</v>
      </c>
      <c r="N928" t="s">
        <v>255</v>
      </c>
      <c r="O928" t="s">
        <v>41</v>
      </c>
      <c r="P928" t="s">
        <v>41</v>
      </c>
      <c r="Q928" s="2"/>
      <c r="R928" s="2"/>
      <c r="S928" t="s">
        <v>255</v>
      </c>
      <c r="T928" t="s">
        <v>41</v>
      </c>
      <c r="U928" t="s">
        <v>41</v>
      </c>
      <c r="V928" s="2"/>
      <c r="W928" s="2"/>
      <c r="X928" t="s">
        <v>4164</v>
      </c>
      <c r="Y928">
        <v>15.41</v>
      </c>
      <c r="Z928">
        <v>3075.03</v>
      </c>
      <c r="AA928" s="2"/>
      <c r="AB928" s="2"/>
      <c r="AC928" t="s">
        <v>4165</v>
      </c>
      <c r="AD928">
        <v>14.29</v>
      </c>
      <c r="AE928">
        <v>3169.565</v>
      </c>
      <c r="AF928" s="2">
        <f t="shared" si="57"/>
        <v>-0.0726800778715121</v>
      </c>
      <c r="AG928" s="2">
        <f t="shared" si="58"/>
        <v>0.0307427895012406</v>
      </c>
      <c r="AH928" t="s">
        <v>4166</v>
      </c>
      <c r="AI928" t="s">
        <v>4167</v>
      </c>
      <c r="AJ928" t="s">
        <v>625</v>
      </c>
    </row>
    <row r="929" hidden="1" spans="1:36">
      <c r="A929">
        <v>113507</v>
      </c>
      <c r="B929" t="s">
        <v>4168</v>
      </c>
      <c r="C929">
        <v>603668</v>
      </c>
      <c r="D929" t="s">
        <v>4169</v>
      </c>
      <c r="E929" t="s">
        <v>4170</v>
      </c>
      <c r="F929" t="s">
        <v>41</v>
      </c>
      <c r="G929" t="s">
        <v>4171</v>
      </c>
      <c r="H929" t="s">
        <v>621</v>
      </c>
      <c r="I929" t="s">
        <v>255</v>
      </c>
      <c r="J929" t="s">
        <v>255</v>
      </c>
      <c r="K929" t="s">
        <v>255</v>
      </c>
      <c r="L929" t="s">
        <v>41</v>
      </c>
      <c r="M929" t="s">
        <v>41</v>
      </c>
      <c r="N929" t="s">
        <v>255</v>
      </c>
      <c r="O929" t="s">
        <v>41</v>
      </c>
      <c r="P929" t="s">
        <v>41</v>
      </c>
      <c r="Q929" s="2"/>
      <c r="R929" s="2"/>
      <c r="S929" t="s">
        <v>255</v>
      </c>
      <c r="T929" t="s">
        <v>41</v>
      </c>
      <c r="U929" t="s">
        <v>41</v>
      </c>
      <c r="V929" s="2"/>
      <c r="W929" s="2"/>
      <c r="X929" t="s">
        <v>4171</v>
      </c>
      <c r="Y929">
        <v>8.94</v>
      </c>
      <c r="Z929">
        <v>3066.797</v>
      </c>
      <c r="AA929" s="2"/>
      <c r="AB929" s="2"/>
      <c r="AC929" t="s">
        <v>4172</v>
      </c>
      <c r="AD929">
        <v>9.15</v>
      </c>
      <c r="AE929">
        <v>3136.645</v>
      </c>
      <c r="AF929" s="2">
        <f t="shared" si="57"/>
        <v>0.0234899328859061</v>
      </c>
      <c r="AG929" s="2">
        <f t="shared" si="58"/>
        <v>0.0227755537780949</v>
      </c>
      <c r="AH929" t="s">
        <v>811</v>
      </c>
      <c r="AI929" t="s">
        <v>3601</v>
      </c>
      <c r="AJ929" t="s">
        <v>3835</v>
      </c>
    </row>
    <row r="930" hidden="1" spans="1:36">
      <c r="A930">
        <v>113506</v>
      </c>
      <c r="B930" t="s">
        <v>4173</v>
      </c>
      <c r="C930">
        <v>603421</v>
      </c>
      <c r="D930" t="s">
        <v>4174</v>
      </c>
      <c r="E930" t="s">
        <v>1114</v>
      </c>
      <c r="F930" t="s">
        <v>41</v>
      </c>
      <c r="G930" t="s">
        <v>4175</v>
      </c>
      <c r="H930" t="s">
        <v>621</v>
      </c>
      <c r="I930" t="s">
        <v>255</v>
      </c>
      <c r="J930" t="s">
        <v>255</v>
      </c>
      <c r="K930" t="s">
        <v>255</v>
      </c>
      <c r="L930" t="s">
        <v>41</v>
      </c>
      <c r="M930" t="s">
        <v>41</v>
      </c>
      <c r="N930" t="s">
        <v>255</v>
      </c>
      <c r="O930" t="s">
        <v>41</v>
      </c>
      <c r="P930" t="s">
        <v>41</v>
      </c>
      <c r="Q930" s="2"/>
      <c r="R930" s="2"/>
      <c r="S930" t="s">
        <v>255</v>
      </c>
      <c r="T930" t="s">
        <v>41</v>
      </c>
      <c r="U930" t="s">
        <v>41</v>
      </c>
      <c r="V930" s="2"/>
      <c r="W930" s="2"/>
      <c r="X930" t="s">
        <v>4175</v>
      </c>
      <c r="Y930">
        <v>14.89</v>
      </c>
      <c r="Z930">
        <v>3110.649</v>
      </c>
      <c r="AA930" s="2"/>
      <c r="AB930" s="2"/>
      <c r="AC930" t="s">
        <v>4176</v>
      </c>
      <c r="AD930">
        <v>15.87</v>
      </c>
      <c r="AE930">
        <v>3174.032</v>
      </c>
      <c r="AF930" s="2">
        <f t="shared" si="57"/>
        <v>0.0658159838817998</v>
      </c>
      <c r="AG930" s="2">
        <f t="shared" si="58"/>
        <v>0.0203761337264347</v>
      </c>
      <c r="AH930" t="s">
        <v>4177</v>
      </c>
      <c r="AI930" t="s">
        <v>3800</v>
      </c>
      <c r="AJ930" t="s">
        <v>625</v>
      </c>
    </row>
    <row r="931" hidden="1" spans="1:36">
      <c r="A931">
        <v>128038</v>
      </c>
      <c r="B931" t="s">
        <v>4178</v>
      </c>
      <c r="C931">
        <v>2131</v>
      </c>
      <c r="D931" t="s">
        <v>4179</v>
      </c>
      <c r="E931" t="s">
        <v>1144</v>
      </c>
      <c r="F931" t="s">
        <v>41</v>
      </c>
      <c r="G931" t="s">
        <v>4180</v>
      </c>
      <c r="H931" t="s">
        <v>621</v>
      </c>
      <c r="I931" t="s">
        <v>255</v>
      </c>
      <c r="J931" t="s">
        <v>255</v>
      </c>
      <c r="K931" t="s">
        <v>255</v>
      </c>
      <c r="L931" t="s">
        <v>41</v>
      </c>
      <c r="M931" t="s">
        <v>41</v>
      </c>
      <c r="N931" t="s">
        <v>255</v>
      </c>
      <c r="O931" t="s">
        <v>41</v>
      </c>
      <c r="P931" t="s">
        <v>41</v>
      </c>
      <c r="Q931" s="2"/>
      <c r="R931" s="2"/>
      <c r="S931" t="s">
        <v>255</v>
      </c>
      <c r="T931" t="s">
        <v>41</v>
      </c>
      <c r="U931" t="s">
        <v>41</v>
      </c>
      <c r="V931" s="2"/>
      <c r="W931" s="2"/>
      <c r="X931" t="s">
        <v>4180</v>
      </c>
      <c r="Y931">
        <v>2.7</v>
      </c>
      <c r="Z931">
        <v>3263.48</v>
      </c>
      <c r="AA931" s="2"/>
      <c r="AB931" s="2"/>
      <c r="AC931" t="s">
        <v>4181</v>
      </c>
      <c r="AD931">
        <v>2.5</v>
      </c>
      <c r="AE931">
        <v>3117.376</v>
      </c>
      <c r="AF931" s="2">
        <f t="shared" si="57"/>
        <v>-0.0740740740740741</v>
      </c>
      <c r="AG931" s="2">
        <f t="shared" si="58"/>
        <v>-0.0447693872798362</v>
      </c>
      <c r="AH931" t="s">
        <v>4182</v>
      </c>
      <c r="AI931" t="s">
        <v>3353</v>
      </c>
      <c r="AJ931" t="s">
        <v>625</v>
      </c>
    </row>
    <row r="932" hidden="1" spans="1:36">
      <c r="A932">
        <v>128037</v>
      </c>
      <c r="B932" t="s">
        <v>4183</v>
      </c>
      <c r="C932">
        <v>2542</v>
      </c>
      <c r="D932" t="s">
        <v>4184</v>
      </c>
      <c r="E932" t="s">
        <v>4185</v>
      </c>
      <c r="F932" t="s">
        <v>41</v>
      </c>
      <c r="G932" t="s">
        <v>4186</v>
      </c>
      <c r="H932" t="s">
        <v>621</v>
      </c>
      <c r="I932" t="s">
        <v>255</v>
      </c>
      <c r="J932" t="s">
        <v>255</v>
      </c>
      <c r="K932" t="s">
        <v>255</v>
      </c>
      <c r="L932" t="s">
        <v>41</v>
      </c>
      <c r="M932" t="s">
        <v>41</v>
      </c>
      <c r="N932" t="s">
        <v>255</v>
      </c>
      <c r="O932" t="s">
        <v>41</v>
      </c>
      <c r="P932" t="s">
        <v>41</v>
      </c>
      <c r="Q932" s="2"/>
      <c r="R932" s="2"/>
      <c r="S932" t="s">
        <v>255</v>
      </c>
      <c r="T932" t="s">
        <v>41</v>
      </c>
      <c r="U932" t="s">
        <v>41</v>
      </c>
      <c r="V932" s="2"/>
      <c r="W932" s="2"/>
      <c r="X932" t="s">
        <v>4186</v>
      </c>
      <c r="Y932">
        <v>7.67</v>
      </c>
      <c r="Z932">
        <v>3291.112</v>
      </c>
      <c r="AA932" s="2"/>
      <c r="AB932" s="2"/>
      <c r="AC932" t="s">
        <v>4187</v>
      </c>
      <c r="AD932">
        <v>7.3</v>
      </c>
      <c r="AE932">
        <v>3117.974</v>
      </c>
      <c r="AF932" s="2">
        <f t="shared" si="57"/>
        <v>-0.0482398956975228</v>
      </c>
      <c r="AG932" s="2">
        <f t="shared" si="58"/>
        <v>-0.0526077508149221</v>
      </c>
      <c r="AH932" t="s">
        <v>4188</v>
      </c>
      <c r="AI932" t="s">
        <v>4189</v>
      </c>
      <c r="AJ932" t="s">
        <v>3077</v>
      </c>
    </row>
    <row r="933" hidden="1" spans="1:36">
      <c r="A933">
        <v>127006</v>
      </c>
      <c r="B933" t="s">
        <v>4190</v>
      </c>
      <c r="C933">
        <v>623</v>
      </c>
      <c r="D933" t="s">
        <v>4191</v>
      </c>
      <c r="E933" t="s">
        <v>4192</v>
      </c>
      <c r="F933" t="s">
        <v>41</v>
      </c>
      <c r="G933" t="s">
        <v>4193</v>
      </c>
      <c r="H933" t="s">
        <v>621</v>
      </c>
      <c r="I933" t="s">
        <v>255</v>
      </c>
      <c r="J933" t="s">
        <v>255</v>
      </c>
      <c r="K933" t="s">
        <v>255</v>
      </c>
      <c r="L933" t="s">
        <v>41</v>
      </c>
      <c r="M933" t="s">
        <v>41</v>
      </c>
      <c r="N933" t="s">
        <v>255</v>
      </c>
      <c r="O933" t="s">
        <v>41</v>
      </c>
      <c r="P933" t="s">
        <v>41</v>
      </c>
      <c r="Q933" s="2"/>
      <c r="R933" s="2"/>
      <c r="S933" t="s">
        <v>255</v>
      </c>
      <c r="T933" t="s">
        <v>41</v>
      </c>
      <c r="U933" t="s">
        <v>41</v>
      </c>
      <c r="V933" s="2"/>
      <c r="W933" s="2"/>
      <c r="X933" t="s">
        <v>4193</v>
      </c>
      <c r="Y933">
        <v>18.25</v>
      </c>
      <c r="Z933">
        <v>3310.239</v>
      </c>
      <c r="AA933" s="2"/>
      <c r="AB933" s="2"/>
      <c r="AC933" t="s">
        <v>4194</v>
      </c>
      <c r="AD933">
        <v>17.36</v>
      </c>
      <c r="AE933">
        <v>3163.263</v>
      </c>
      <c r="AF933" s="2">
        <f t="shared" si="57"/>
        <v>-0.0487671232876713</v>
      </c>
      <c r="AG933" s="2">
        <f t="shared" si="58"/>
        <v>-0.0444004194259086</v>
      </c>
      <c r="AH933" t="s">
        <v>4195</v>
      </c>
      <c r="AI933" t="s">
        <v>4196</v>
      </c>
      <c r="AJ933" t="s">
        <v>3077</v>
      </c>
    </row>
    <row r="934" hidden="1" spans="1:36">
      <c r="A934">
        <v>127005</v>
      </c>
      <c r="B934" t="s">
        <v>4197</v>
      </c>
      <c r="C934">
        <v>783</v>
      </c>
      <c r="D934" t="s">
        <v>4198</v>
      </c>
      <c r="E934" t="s">
        <v>237</v>
      </c>
      <c r="F934" t="s">
        <v>41</v>
      </c>
      <c r="G934" t="s">
        <v>4199</v>
      </c>
      <c r="H934" t="s">
        <v>621</v>
      </c>
      <c r="I934" t="s">
        <v>255</v>
      </c>
      <c r="J934" t="s">
        <v>255</v>
      </c>
      <c r="K934" t="s">
        <v>255</v>
      </c>
      <c r="L934" t="s">
        <v>41</v>
      </c>
      <c r="M934" t="s">
        <v>41</v>
      </c>
      <c r="N934" t="s">
        <v>255</v>
      </c>
      <c r="O934" t="s">
        <v>41</v>
      </c>
      <c r="P934" t="s">
        <v>41</v>
      </c>
      <c r="Q934" s="2"/>
      <c r="R934" s="2"/>
      <c r="S934" t="s">
        <v>255</v>
      </c>
      <c r="T934" t="s">
        <v>41</v>
      </c>
      <c r="U934" t="s">
        <v>41</v>
      </c>
      <c r="V934" s="2"/>
      <c r="W934" s="2"/>
      <c r="X934" t="s">
        <v>4199</v>
      </c>
      <c r="Y934">
        <v>6.5</v>
      </c>
      <c r="Z934">
        <v>3326.699</v>
      </c>
      <c r="AA934" s="2"/>
      <c r="AB934" s="2"/>
      <c r="AC934" t="s">
        <v>4200</v>
      </c>
      <c r="AD934">
        <v>6.03</v>
      </c>
      <c r="AE934">
        <v>3208.082</v>
      </c>
      <c r="AF934" s="2">
        <f t="shared" si="57"/>
        <v>-0.0723076923076923</v>
      </c>
      <c r="AG934" s="2">
        <f t="shared" si="58"/>
        <v>-0.0356560662686946</v>
      </c>
      <c r="AH934" t="s">
        <v>4189</v>
      </c>
      <c r="AI934" t="s">
        <v>840</v>
      </c>
      <c r="AJ934" t="s">
        <v>3077</v>
      </c>
    </row>
    <row r="935" hidden="1" spans="1:36">
      <c r="A935">
        <v>128036</v>
      </c>
      <c r="B935" t="s">
        <v>4201</v>
      </c>
      <c r="C935">
        <v>2548</v>
      </c>
      <c r="D935" t="s">
        <v>4202</v>
      </c>
      <c r="E935" t="s">
        <v>178</v>
      </c>
      <c r="F935" t="s">
        <v>41</v>
      </c>
      <c r="G935" t="s">
        <v>4203</v>
      </c>
      <c r="H935" t="s">
        <v>621</v>
      </c>
      <c r="I935" t="s">
        <v>255</v>
      </c>
      <c r="J935" t="s">
        <v>255</v>
      </c>
      <c r="K935" t="s">
        <v>255</v>
      </c>
      <c r="L935" t="s">
        <v>41</v>
      </c>
      <c r="M935" t="s">
        <v>41</v>
      </c>
      <c r="N935" t="s">
        <v>255</v>
      </c>
      <c r="O935" t="s">
        <v>41</v>
      </c>
      <c r="P935" t="s">
        <v>41</v>
      </c>
      <c r="Q935" s="2"/>
      <c r="R935" s="2"/>
      <c r="S935" t="s">
        <v>255</v>
      </c>
      <c r="T935" t="s">
        <v>41</v>
      </c>
      <c r="U935" t="s">
        <v>41</v>
      </c>
      <c r="V935" s="2"/>
      <c r="W935" s="2"/>
      <c r="X935" t="s">
        <v>4203</v>
      </c>
      <c r="Y935">
        <v>7.43</v>
      </c>
      <c r="Z935">
        <v>3307.166</v>
      </c>
      <c r="AA935" s="2"/>
      <c r="AB935" s="2"/>
      <c r="AC935" t="s">
        <v>4204</v>
      </c>
      <c r="AD935">
        <v>7</v>
      </c>
      <c r="AE935">
        <v>3163.179</v>
      </c>
      <c r="AF935" s="2">
        <f t="shared" si="57"/>
        <v>-0.0578734858681023</v>
      </c>
      <c r="AG935" s="2">
        <f t="shared" si="58"/>
        <v>-0.0435378810740072</v>
      </c>
      <c r="AH935" t="s">
        <v>4205</v>
      </c>
      <c r="AI935" t="s">
        <v>4206</v>
      </c>
      <c r="AJ935" t="s">
        <v>3077</v>
      </c>
    </row>
    <row r="936" hidden="1" spans="1:36">
      <c r="A936">
        <v>123009</v>
      </c>
      <c r="B936" t="s">
        <v>4207</v>
      </c>
      <c r="C936">
        <v>300568</v>
      </c>
      <c r="D936" t="s">
        <v>2694</v>
      </c>
      <c r="E936" t="s">
        <v>1298</v>
      </c>
      <c r="F936" t="s">
        <v>41</v>
      </c>
      <c r="G936" t="s">
        <v>4208</v>
      </c>
      <c r="H936" t="s">
        <v>621</v>
      </c>
      <c r="I936" t="s">
        <v>255</v>
      </c>
      <c r="J936" t="s">
        <v>255</v>
      </c>
      <c r="K936" t="s">
        <v>255</v>
      </c>
      <c r="L936" t="s">
        <v>41</v>
      </c>
      <c r="M936" t="s">
        <v>41</v>
      </c>
      <c r="N936" t="s">
        <v>255</v>
      </c>
      <c r="O936" t="s">
        <v>41</v>
      </c>
      <c r="P936" t="s">
        <v>41</v>
      </c>
      <c r="Q936" s="2"/>
      <c r="R936" s="2"/>
      <c r="S936" t="s">
        <v>255</v>
      </c>
      <c r="T936" t="s">
        <v>41</v>
      </c>
      <c r="U936" t="s">
        <v>41</v>
      </c>
      <c r="V936" s="2"/>
      <c r="W936" s="2"/>
      <c r="X936" t="s">
        <v>4208</v>
      </c>
      <c r="Y936">
        <v>5.79</v>
      </c>
      <c r="Z936">
        <v>3271.668</v>
      </c>
      <c r="AA936" s="2"/>
      <c r="AB936" s="2"/>
      <c r="AC936" t="s">
        <v>4209</v>
      </c>
      <c r="AD936">
        <v>7.17</v>
      </c>
      <c r="AE936">
        <v>3190.322</v>
      </c>
      <c r="AF936" s="2">
        <f t="shared" si="57"/>
        <v>0.238341968911917</v>
      </c>
      <c r="AG936" s="2">
        <f t="shared" si="58"/>
        <v>-0.0248637697957128</v>
      </c>
      <c r="AH936" t="s">
        <v>670</v>
      </c>
      <c r="AI936" t="s">
        <v>3344</v>
      </c>
      <c r="AJ936" t="s">
        <v>625</v>
      </c>
    </row>
    <row r="937" hidden="1" spans="1:36">
      <c r="A937">
        <v>113505</v>
      </c>
      <c r="B937" t="s">
        <v>4210</v>
      </c>
      <c r="C937">
        <v>603618</v>
      </c>
      <c r="D937" t="s">
        <v>4211</v>
      </c>
      <c r="E937" t="s">
        <v>2752</v>
      </c>
      <c r="F937" t="s">
        <v>41</v>
      </c>
      <c r="G937" t="s">
        <v>4212</v>
      </c>
      <c r="H937" t="s">
        <v>621</v>
      </c>
      <c r="I937" t="s">
        <v>255</v>
      </c>
      <c r="J937" t="s">
        <v>255</v>
      </c>
      <c r="K937" t="s">
        <v>255</v>
      </c>
      <c r="L937" t="s">
        <v>41</v>
      </c>
      <c r="M937" t="s">
        <v>41</v>
      </c>
      <c r="N937" t="s">
        <v>255</v>
      </c>
      <c r="O937" t="s">
        <v>41</v>
      </c>
      <c r="P937" t="s">
        <v>41</v>
      </c>
      <c r="Q937" s="2"/>
      <c r="R937" s="2"/>
      <c r="S937" t="s">
        <v>255</v>
      </c>
      <c r="T937" t="s">
        <v>41</v>
      </c>
      <c r="U937" t="s">
        <v>41</v>
      </c>
      <c r="V937" s="2"/>
      <c r="W937" s="2"/>
      <c r="X937" t="s">
        <v>4212</v>
      </c>
      <c r="Y937">
        <v>6.9</v>
      </c>
      <c r="Z937">
        <v>3289.642</v>
      </c>
      <c r="AA937" s="2"/>
      <c r="AB937" s="2"/>
      <c r="AC937" t="s">
        <v>4213</v>
      </c>
      <c r="AD937">
        <v>6.51</v>
      </c>
      <c r="AE937">
        <v>3166.649</v>
      </c>
      <c r="AF937" s="2">
        <f t="shared" si="57"/>
        <v>-0.0565217391304349</v>
      </c>
      <c r="AG937" s="2">
        <f t="shared" si="58"/>
        <v>-0.0373879589329173</v>
      </c>
      <c r="AH937" t="s">
        <v>840</v>
      </c>
      <c r="AI937" t="s">
        <v>845</v>
      </c>
      <c r="AJ937" t="s">
        <v>3077</v>
      </c>
    </row>
    <row r="938" hidden="1" spans="1:36">
      <c r="A938">
        <v>113504</v>
      </c>
      <c r="B938" t="s">
        <v>4214</v>
      </c>
      <c r="C938">
        <v>603989</v>
      </c>
      <c r="D938" t="s">
        <v>4215</v>
      </c>
      <c r="E938" t="s">
        <v>4216</v>
      </c>
      <c r="F938" t="s">
        <v>41</v>
      </c>
      <c r="G938" t="s">
        <v>4217</v>
      </c>
      <c r="H938" t="s">
        <v>621</v>
      </c>
      <c r="I938" t="s">
        <v>255</v>
      </c>
      <c r="J938" t="s">
        <v>255</v>
      </c>
      <c r="K938" t="s">
        <v>255</v>
      </c>
      <c r="L938" t="s">
        <v>41</v>
      </c>
      <c r="M938" t="s">
        <v>41</v>
      </c>
      <c r="N938" t="s">
        <v>255</v>
      </c>
      <c r="O938" t="s">
        <v>41</v>
      </c>
      <c r="P938" t="s">
        <v>41</v>
      </c>
      <c r="Q938" s="2"/>
      <c r="R938" s="2"/>
      <c r="S938" t="s">
        <v>255</v>
      </c>
      <c r="T938" t="s">
        <v>41</v>
      </c>
      <c r="U938" t="s">
        <v>41</v>
      </c>
      <c r="V938" s="2"/>
      <c r="W938" s="2"/>
      <c r="X938" t="s">
        <v>4217</v>
      </c>
      <c r="Y938">
        <v>25.36</v>
      </c>
      <c r="Z938">
        <v>3254.528</v>
      </c>
      <c r="AA938" s="2"/>
      <c r="AB938" s="2"/>
      <c r="AC938" t="s">
        <v>4218</v>
      </c>
      <c r="AD938">
        <v>25.54</v>
      </c>
      <c r="AE938">
        <v>3152.761</v>
      </c>
      <c r="AF938" s="2">
        <f t="shared" si="57"/>
        <v>0.00709779179810724</v>
      </c>
      <c r="AG938" s="2">
        <f t="shared" si="58"/>
        <v>-0.0312693576457169</v>
      </c>
      <c r="AH938" t="s">
        <v>4219</v>
      </c>
      <c r="AI938" t="s">
        <v>4220</v>
      </c>
      <c r="AJ938" t="s">
        <v>3077</v>
      </c>
    </row>
    <row r="939" hidden="1" spans="1:36">
      <c r="A939">
        <v>113019</v>
      </c>
      <c r="B939" t="s">
        <v>4221</v>
      </c>
      <c r="C939">
        <v>601966</v>
      </c>
      <c r="D939" t="s">
        <v>4222</v>
      </c>
      <c r="E939" t="s">
        <v>194</v>
      </c>
      <c r="F939" t="s">
        <v>41</v>
      </c>
      <c r="G939" t="s">
        <v>4223</v>
      </c>
      <c r="H939" t="s">
        <v>621</v>
      </c>
      <c r="I939" t="s">
        <v>255</v>
      </c>
      <c r="J939" t="s">
        <v>255</v>
      </c>
      <c r="K939" t="s">
        <v>255</v>
      </c>
      <c r="L939" t="s">
        <v>41</v>
      </c>
      <c r="M939" t="s">
        <v>41</v>
      </c>
      <c r="N939" t="s">
        <v>255</v>
      </c>
      <c r="O939" t="s">
        <v>41</v>
      </c>
      <c r="P939" t="s">
        <v>41</v>
      </c>
      <c r="Q939" s="2"/>
      <c r="R939" s="2"/>
      <c r="S939" t="s">
        <v>255</v>
      </c>
      <c r="T939" t="s">
        <v>41</v>
      </c>
      <c r="U939" t="s">
        <v>41</v>
      </c>
      <c r="V939" s="2"/>
      <c r="W939" s="2"/>
      <c r="X939" t="s">
        <v>4223</v>
      </c>
      <c r="Y939">
        <v>16.19</v>
      </c>
      <c r="Z939">
        <v>3273.755</v>
      </c>
      <c r="AA939" s="2"/>
      <c r="AB939" s="2"/>
      <c r="AC939" t="s">
        <v>4180</v>
      </c>
      <c r="AD939">
        <v>15.64</v>
      </c>
      <c r="AE939">
        <v>3263.48</v>
      </c>
      <c r="AF939" s="2">
        <f t="shared" si="57"/>
        <v>-0.0339715873996294</v>
      </c>
      <c r="AG939" s="2">
        <f t="shared" si="58"/>
        <v>-0.00313859772646398</v>
      </c>
      <c r="AH939" t="s">
        <v>880</v>
      </c>
      <c r="AI939" t="s">
        <v>3907</v>
      </c>
      <c r="AJ939" t="s">
        <v>625</v>
      </c>
    </row>
    <row r="940" hidden="1" spans="1:36">
      <c r="A940">
        <v>128035</v>
      </c>
      <c r="B940" t="s">
        <v>4224</v>
      </c>
      <c r="C940">
        <v>2008</v>
      </c>
      <c r="D940" t="s">
        <v>4225</v>
      </c>
      <c r="E940" t="s">
        <v>3408</v>
      </c>
      <c r="F940" t="s">
        <v>41</v>
      </c>
      <c r="G940" t="s">
        <v>4226</v>
      </c>
      <c r="H940" t="s">
        <v>621</v>
      </c>
      <c r="I940" t="s">
        <v>255</v>
      </c>
      <c r="J940" t="s">
        <v>255</v>
      </c>
      <c r="K940" t="s">
        <v>255</v>
      </c>
      <c r="L940" t="s">
        <v>41</v>
      </c>
      <c r="M940" t="s">
        <v>41</v>
      </c>
      <c r="N940" t="s">
        <v>255</v>
      </c>
      <c r="O940" t="s">
        <v>41</v>
      </c>
      <c r="P940" t="s">
        <v>41</v>
      </c>
      <c r="Q940" s="2"/>
      <c r="R940" s="2"/>
      <c r="S940" t="s">
        <v>255</v>
      </c>
      <c r="T940" t="s">
        <v>41</v>
      </c>
      <c r="U940" t="s">
        <v>41</v>
      </c>
      <c r="V940" s="2"/>
      <c r="W940" s="2"/>
      <c r="X940" t="s">
        <v>4226</v>
      </c>
      <c r="Y940">
        <v>45.12</v>
      </c>
      <c r="Z940">
        <v>3370.652</v>
      </c>
      <c r="AA940" s="2"/>
      <c r="AB940" s="2"/>
      <c r="AC940" t="s">
        <v>4227</v>
      </c>
      <c r="AD940">
        <v>54.16</v>
      </c>
      <c r="AE940">
        <v>3256.926</v>
      </c>
      <c r="AF940" s="2">
        <f t="shared" si="57"/>
        <v>0.200354609929078</v>
      </c>
      <c r="AG940" s="2">
        <f t="shared" si="58"/>
        <v>-0.0337400597866526</v>
      </c>
      <c r="AH940" t="s">
        <v>608</v>
      </c>
      <c r="AI940" t="s">
        <v>839</v>
      </c>
      <c r="AJ940" t="s">
        <v>3077</v>
      </c>
    </row>
    <row r="941" hidden="1" spans="1:36">
      <c r="A941">
        <v>123008</v>
      </c>
      <c r="B941" t="s">
        <v>4228</v>
      </c>
      <c r="C941">
        <v>300601</v>
      </c>
      <c r="D941" t="s">
        <v>2407</v>
      </c>
      <c r="E941" t="s">
        <v>3518</v>
      </c>
      <c r="F941" t="s">
        <v>41</v>
      </c>
      <c r="G941" t="s">
        <v>4229</v>
      </c>
      <c r="H941" t="s">
        <v>621</v>
      </c>
      <c r="I941" t="s">
        <v>255</v>
      </c>
      <c r="J941" t="s">
        <v>255</v>
      </c>
      <c r="K941" t="s">
        <v>255</v>
      </c>
      <c r="L941" t="s">
        <v>41</v>
      </c>
      <c r="M941" t="s">
        <v>41</v>
      </c>
      <c r="N941" t="s">
        <v>255</v>
      </c>
      <c r="O941" t="s">
        <v>41</v>
      </c>
      <c r="P941" t="s">
        <v>41</v>
      </c>
      <c r="Q941" s="2"/>
      <c r="R941" s="2"/>
      <c r="S941" t="s">
        <v>255</v>
      </c>
      <c r="T941" t="s">
        <v>41</v>
      </c>
      <c r="U941" t="s">
        <v>41</v>
      </c>
      <c r="V941" s="2"/>
      <c r="W941" s="2"/>
      <c r="X941" t="s">
        <v>4229</v>
      </c>
      <c r="Y941">
        <v>17.37</v>
      </c>
      <c r="Z941">
        <v>3446.98</v>
      </c>
      <c r="AA941" s="2"/>
      <c r="AB941" s="2"/>
      <c r="AC941" t="s">
        <v>4230</v>
      </c>
      <c r="AD941">
        <v>21.75</v>
      </c>
      <c r="AE941">
        <v>3279.252</v>
      </c>
      <c r="AF941" s="2">
        <f t="shared" si="57"/>
        <v>0.252158894645941</v>
      </c>
      <c r="AG941" s="2">
        <f t="shared" si="58"/>
        <v>-0.0486594062048518</v>
      </c>
      <c r="AH941" t="s">
        <v>839</v>
      </c>
      <c r="AI941" t="s">
        <v>3800</v>
      </c>
      <c r="AJ941" t="s">
        <v>625</v>
      </c>
    </row>
    <row r="942" hidden="1" spans="1:36">
      <c r="A942">
        <v>110043</v>
      </c>
      <c r="B942" t="s">
        <v>4231</v>
      </c>
      <c r="C942">
        <v>600908</v>
      </c>
      <c r="D942" t="s">
        <v>4232</v>
      </c>
      <c r="E942" t="s">
        <v>325</v>
      </c>
      <c r="F942" t="s">
        <v>41</v>
      </c>
      <c r="G942" t="s">
        <v>4233</v>
      </c>
      <c r="H942" t="s">
        <v>621</v>
      </c>
      <c r="I942" t="s">
        <v>255</v>
      </c>
      <c r="J942" t="s">
        <v>255</v>
      </c>
      <c r="K942" t="s">
        <v>255</v>
      </c>
      <c r="L942" t="s">
        <v>41</v>
      </c>
      <c r="M942" t="s">
        <v>41</v>
      </c>
      <c r="N942" t="s">
        <v>255</v>
      </c>
      <c r="O942" t="s">
        <v>41</v>
      </c>
      <c r="P942" t="s">
        <v>41</v>
      </c>
      <c r="Q942" s="2"/>
      <c r="R942" s="2"/>
      <c r="S942" t="s">
        <v>255</v>
      </c>
      <c r="T942" t="s">
        <v>41</v>
      </c>
      <c r="U942" t="s">
        <v>41</v>
      </c>
      <c r="V942" s="2"/>
      <c r="W942" s="2"/>
      <c r="X942" t="s">
        <v>4233</v>
      </c>
      <c r="Y942">
        <v>7.13</v>
      </c>
      <c r="Z942">
        <v>3488.009</v>
      </c>
      <c r="AA942" s="2"/>
      <c r="AB942" s="2"/>
      <c r="AC942" t="s">
        <v>4234</v>
      </c>
      <c r="AD942">
        <v>6.22</v>
      </c>
      <c r="AE942">
        <v>3291.382</v>
      </c>
      <c r="AF942" s="2">
        <f t="shared" si="57"/>
        <v>-0.127629733520337</v>
      </c>
      <c r="AG942" s="2">
        <f t="shared" si="58"/>
        <v>-0.0563722742687877</v>
      </c>
      <c r="AH942" t="s">
        <v>351</v>
      </c>
      <c r="AI942" t="s">
        <v>851</v>
      </c>
      <c r="AJ942" t="s">
        <v>3077</v>
      </c>
    </row>
    <row r="943" hidden="1" spans="1:36">
      <c r="A943">
        <v>128034</v>
      </c>
      <c r="B943" t="s">
        <v>4235</v>
      </c>
      <c r="C943">
        <v>2807</v>
      </c>
      <c r="D943" t="s">
        <v>4236</v>
      </c>
      <c r="E943" t="s">
        <v>194</v>
      </c>
      <c r="F943" t="s">
        <v>41</v>
      </c>
      <c r="G943" t="s">
        <v>4237</v>
      </c>
      <c r="H943" t="s">
        <v>621</v>
      </c>
      <c r="I943" t="s">
        <v>255</v>
      </c>
      <c r="J943" t="s">
        <v>255</v>
      </c>
      <c r="K943" t="s">
        <v>255</v>
      </c>
      <c r="L943" t="s">
        <v>41</v>
      </c>
      <c r="M943" t="s">
        <v>41</v>
      </c>
      <c r="N943" t="s">
        <v>255</v>
      </c>
      <c r="O943" t="s">
        <v>41</v>
      </c>
      <c r="P943" t="s">
        <v>41</v>
      </c>
      <c r="Q943" s="2"/>
      <c r="R943" s="2"/>
      <c r="S943" t="s">
        <v>255</v>
      </c>
      <c r="T943" t="s">
        <v>41</v>
      </c>
      <c r="U943" t="s">
        <v>41</v>
      </c>
      <c r="V943" s="2"/>
      <c r="W943" s="2"/>
      <c r="X943" t="s">
        <v>4237</v>
      </c>
      <c r="Y943">
        <v>6.22</v>
      </c>
      <c r="Z943">
        <v>3558.129</v>
      </c>
      <c r="AA943" s="2"/>
      <c r="AB943" s="2"/>
      <c r="AC943" t="s">
        <v>4238</v>
      </c>
      <c r="AD943">
        <v>4.99</v>
      </c>
      <c r="AE943">
        <v>3199.159</v>
      </c>
      <c r="AF943" s="2">
        <f t="shared" si="57"/>
        <v>-0.197749196141479</v>
      </c>
      <c r="AG943" s="2">
        <f t="shared" si="58"/>
        <v>-0.100887292169564</v>
      </c>
      <c r="AH943" t="s">
        <v>623</v>
      </c>
      <c r="AI943" t="s">
        <v>750</v>
      </c>
      <c r="AJ943" t="s">
        <v>3077</v>
      </c>
    </row>
    <row r="944" hidden="1" spans="1:36">
      <c r="A944">
        <v>113018</v>
      </c>
      <c r="B944" t="s">
        <v>4239</v>
      </c>
      <c r="C944">
        <v>601128</v>
      </c>
      <c r="D944" t="s">
        <v>1768</v>
      </c>
      <c r="E944" t="s">
        <v>325</v>
      </c>
      <c r="F944" t="s">
        <v>41</v>
      </c>
      <c r="G944" t="s">
        <v>4240</v>
      </c>
      <c r="H944" t="s">
        <v>621</v>
      </c>
      <c r="I944" t="s">
        <v>255</v>
      </c>
      <c r="J944" t="s">
        <v>255</v>
      </c>
      <c r="K944" t="s">
        <v>255</v>
      </c>
      <c r="L944" t="s">
        <v>41</v>
      </c>
      <c r="M944" t="s">
        <v>41</v>
      </c>
      <c r="N944" t="s">
        <v>255</v>
      </c>
      <c r="O944" t="s">
        <v>41</v>
      </c>
      <c r="P944" t="s">
        <v>41</v>
      </c>
      <c r="Q944" s="2"/>
      <c r="R944" s="2"/>
      <c r="S944" t="s">
        <v>255</v>
      </c>
      <c r="T944" t="s">
        <v>41</v>
      </c>
      <c r="U944" t="s">
        <v>41</v>
      </c>
      <c r="V944" s="2"/>
      <c r="W944" s="2"/>
      <c r="X944" t="s">
        <v>4240</v>
      </c>
      <c r="Y944">
        <v>5.5</v>
      </c>
      <c r="Z944">
        <v>3487.864</v>
      </c>
      <c r="AA944" s="2"/>
      <c r="AB944" s="2"/>
      <c r="AC944" t="s">
        <v>4226</v>
      </c>
      <c r="AD944">
        <v>4.89</v>
      </c>
      <c r="AE944">
        <v>3370.652</v>
      </c>
      <c r="AF944" s="2">
        <f t="shared" si="57"/>
        <v>-0.110909090909091</v>
      </c>
      <c r="AG944" s="2">
        <f t="shared" si="58"/>
        <v>-0.0336056681109126</v>
      </c>
      <c r="AH944" t="s">
        <v>682</v>
      </c>
      <c r="AI944" t="s">
        <v>3782</v>
      </c>
      <c r="AJ944" t="s">
        <v>625</v>
      </c>
    </row>
    <row r="945" hidden="1" spans="1:36">
      <c r="A945">
        <v>123007</v>
      </c>
      <c r="B945" t="s">
        <v>4241</v>
      </c>
      <c r="C945">
        <v>300409</v>
      </c>
      <c r="D945" t="s">
        <v>1368</v>
      </c>
      <c r="E945" t="s">
        <v>1298</v>
      </c>
      <c r="F945" t="s">
        <v>41</v>
      </c>
      <c r="G945" t="s">
        <v>4242</v>
      </c>
      <c r="H945" t="s">
        <v>621</v>
      </c>
      <c r="I945" t="s">
        <v>255</v>
      </c>
      <c r="J945" t="s">
        <v>255</v>
      </c>
      <c r="K945" t="s">
        <v>255</v>
      </c>
      <c r="L945" t="s">
        <v>41</v>
      </c>
      <c r="M945" t="s">
        <v>41</v>
      </c>
      <c r="N945" t="s">
        <v>255</v>
      </c>
      <c r="O945" t="s">
        <v>41</v>
      </c>
      <c r="P945" t="s">
        <v>41</v>
      </c>
      <c r="Q945" s="2"/>
      <c r="R945" s="2"/>
      <c r="S945" t="s">
        <v>255</v>
      </c>
      <c r="T945" t="s">
        <v>41</v>
      </c>
      <c r="U945" t="s">
        <v>41</v>
      </c>
      <c r="V945" s="2"/>
      <c r="W945" s="2"/>
      <c r="X945" t="s">
        <v>4242</v>
      </c>
      <c r="Y945">
        <v>23.62</v>
      </c>
      <c r="Z945">
        <v>3296.385</v>
      </c>
      <c r="AA945" s="2"/>
      <c r="AB945" s="2"/>
      <c r="AC945" t="s">
        <v>4237</v>
      </c>
      <c r="AD945">
        <v>26.32</v>
      </c>
      <c r="AE945">
        <v>3558.129</v>
      </c>
      <c r="AF945" s="2">
        <f t="shared" si="57"/>
        <v>0.114309906858594</v>
      </c>
      <c r="AG945" s="2">
        <f t="shared" si="58"/>
        <v>0.0794033463930942</v>
      </c>
      <c r="AH945" t="s">
        <v>941</v>
      </c>
      <c r="AI945" t="s">
        <v>2108</v>
      </c>
      <c r="AJ945" t="s">
        <v>625</v>
      </c>
    </row>
    <row r="946" hidden="1" spans="1:36">
      <c r="A946">
        <v>128033</v>
      </c>
      <c r="B946" t="s">
        <v>4243</v>
      </c>
      <c r="C946">
        <v>2658</v>
      </c>
      <c r="D946" t="s">
        <v>4244</v>
      </c>
      <c r="E946" t="s">
        <v>483</v>
      </c>
      <c r="F946" t="s">
        <v>41</v>
      </c>
      <c r="G946" t="s">
        <v>4245</v>
      </c>
      <c r="H946" t="s">
        <v>621</v>
      </c>
      <c r="I946" t="s">
        <v>255</v>
      </c>
      <c r="J946" t="s">
        <v>255</v>
      </c>
      <c r="K946" t="s">
        <v>255</v>
      </c>
      <c r="L946" t="s">
        <v>41</v>
      </c>
      <c r="M946" t="s">
        <v>41</v>
      </c>
      <c r="N946" t="s">
        <v>255</v>
      </c>
      <c r="O946" t="s">
        <v>41</v>
      </c>
      <c r="P946" t="s">
        <v>41</v>
      </c>
      <c r="Q946" s="2"/>
      <c r="R946" s="2"/>
      <c r="S946" t="s">
        <v>255</v>
      </c>
      <c r="T946" t="s">
        <v>41</v>
      </c>
      <c r="U946" t="s">
        <v>41</v>
      </c>
      <c r="V946" s="2"/>
      <c r="W946" s="2"/>
      <c r="X946" t="s">
        <v>4245</v>
      </c>
      <c r="Y946">
        <v>11.13</v>
      </c>
      <c r="Z946">
        <v>3275.783</v>
      </c>
      <c r="AA946" s="2"/>
      <c r="AB946" s="2"/>
      <c r="AC946" t="s">
        <v>4246</v>
      </c>
      <c r="AD946">
        <v>10.52</v>
      </c>
      <c r="AE946">
        <v>3523.001</v>
      </c>
      <c r="AF946" s="2">
        <f t="shared" si="57"/>
        <v>-0.0548068283917342</v>
      </c>
      <c r="AG946" s="2">
        <f t="shared" si="58"/>
        <v>0.0754683689365261</v>
      </c>
      <c r="AH946" t="s">
        <v>4247</v>
      </c>
      <c r="AI946" t="s">
        <v>579</v>
      </c>
      <c r="AJ946" t="s">
        <v>3077</v>
      </c>
    </row>
    <row r="947" hidden="1" spans="1:36">
      <c r="A947">
        <v>113017</v>
      </c>
      <c r="B947" t="s">
        <v>4248</v>
      </c>
      <c r="C947">
        <v>601929</v>
      </c>
      <c r="D947" t="s">
        <v>4249</v>
      </c>
      <c r="E947" t="s">
        <v>4250</v>
      </c>
      <c r="F947" t="s">
        <v>41</v>
      </c>
      <c r="G947" t="s">
        <v>4245</v>
      </c>
      <c r="H947" t="s">
        <v>621</v>
      </c>
      <c r="I947" t="s">
        <v>255</v>
      </c>
      <c r="J947" t="s">
        <v>255</v>
      </c>
      <c r="K947" t="s">
        <v>255</v>
      </c>
      <c r="L947" t="s">
        <v>41</v>
      </c>
      <c r="M947" t="s">
        <v>41</v>
      </c>
      <c r="N947" t="s">
        <v>255</v>
      </c>
      <c r="O947" t="s">
        <v>41</v>
      </c>
      <c r="P947" t="s">
        <v>41</v>
      </c>
      <c r="Q947" s="2"/>
      <c r="R947" s="2"/>
      <c r="S947" t="s">
        <v>255</v>
      </c>
      <c r="T947" t="s">
        <v>41</v>
      </c>
      <c r="U947" t="s">
        <v>41</v>
      </c>
      <c r="V947" s="2"/>
      <c r="W947" s="2"/>
      <c r="X947" t="s">
        <v>4245</v>
      </c>
      <c r="Y947">
        <v>2.89</v>
      </c>
      <c r="Z947">
        <v>3275.783</v>
      </c>
      <c r="AA947" s="2"/>
      <c r="AB947" s="2"/>
      <c r="AC947" t="s">
        <v>4251</v>
      </c>
      <c r="AD947">
        <v>2.9</v>
      </c>
      <c r="AE947">
        <v>3410.488</v>
      </c>
      <c r="AF947" s="2">
        <f t="shared" si="57"/>
        <v>0.00346020761245667</v>
      </c>
      <c r="AG947" s="2">
        <f t="shared" si="58"/>
        <v>0.0411214662265479</v>
      </c>
      <c r="AH947" t="s">
        <v>4247</v>
      </c>
      <c r="AI947" t="s">
        <v>422</v>
      </c>
      <c r="AJ947" t="s">
        <v>3077</v>
      </c>
    </row>
    <row r="948" hidden="1" spans="1:36">
      <c r="A948">
        <v>128032</v>
      </c>
      <c r="B948" t="s">
        <v>4252</v>
      </c>
      <c r="C948">
        <v>2472</v>
      </c>
      <c r="D948" t="s">
        <v>4253</v>
      </c>
      <c r="E948" t="s">
        <v>55</v>
      </c>
      <c r="F948" t="s">
        <v>41</v>
      </c>
      <c r="G948" t="s">
        <v>4254</v>
      </c>
      <c r="H948" t="s">
        <v>621</v>
      </c>
      <c r="I948" t="s">
        <v>255</v>
      </c>
      <c r="J948" t="s">
        <v>255</v>
      </c>
      <c r="K948" t="s">
        <v>255</v>
      </c>
      <c r="L948" t="s">
        <v>41</v>
      </c>
      <c r="M948" t="s">
        <v>41</v>
      </c>
      <c r="N948" t="s">
        <v>255</v>
      </c>
      <c r="O948" t="s">
        <v>41</v>
      </c>
      <c r="P948" t="s">
        <v>41</v>
      </c>
      <c r="Q948" s="2"/>
      <c r="R948" s="2"/>
      <c r="S948" t="s">
        <v>255</v>
      </c>
      <c r="T948" t="s">
        <v>41</v>
      </c>
      <c r="U948" t="s">
        <v>41</v>
      </c>
      <c r="V948" s="2"/>
      <c r="W948" s="2"/>
      <c r="X948" t="s">
        <v>4254</v>
      </c>
      <c r="Y948">
        <v>9.1</v>
      </c>
      <c r="Z948">
        <v>3280.461</v>
      </c>
      <c r="AA948" s="2"/>
      <c r="AB948" s="2"/>
      <c r="AC948" t="s">
        <v>4255</v>
      </c>
      <c r="AD948">
        <v>8.35</v>
      </c>
      <c r="AE948">
        <v>3548.307</v>
      </c>
      <c r="AF948" s="2">
        <f t="shared" si="57"/>
        <v>-0.0824175824175824</v>
      </c>
      <c r="AG948" s="2">
        <f t="shared" si="58"/>
        <v>0.0816488902017125</v>
      </c>
      <c r="AH948" t="s">
        <v>892</v>
      </c>
      <c r="AI948" t="s">
        <v>2245</v>
      </c>
      <c r="AJ948" t="s">
        <v>625</v>
      </c>
    </row>
    <row r="949" hidden="1" spans="1:36">
      <c r="A949">
        <v>110042</v>
      </c>
      <c r="B949" t="s">
        <v>4256</v>
      </c>
      <c r="C949">
        <v>600372</v>
      </c>
      <c r="D949" t="s">
        <v>4257</v>
      </c>
      <c r="E949" t="s">
        <v>3295</v>
      </c>
      <c r="F949" t="s">
        <v>41</v>
      </c>
      <c r="G949" t="s">
        <v>4254</v>
      </c>
      <c r="H949" t="s">
        <v>621</v>
      </c>
      <c r="I949" t="s">
        <v>255</v>
      </c>
      <c r="J949" t="s">
        <v>255</v>
      </c>
      <c r="K949" t="s">
        <v>255</v>
      </c>
      <c r="L949" t="s">
        <v>41</v>
      </c>
      <c r="M949" t="s">
        <v>41</v>
      </c>
      <c r="N949" t="s">
        <v>255</v>
      </c>
      <c r="O949" t="s">
        <v>41</v>
      </c>
      <c r="P949" t="s">
        <v>41</v>
      </c>
      <c r="Q949" s="2"/>
      <c r="R949" s="2"/>
      <c r="S949" t="s">
        <v>255</v>
      </c>
      <c r="T949" t="s">
        <v>41</v>
      </c>
      <c r="U949" t="s">
        <v>41</v>
      </c>
      <c r="V949" s="2"/>
      <c r="W949" s="2"/>
      <c r="X949" t="s">
        <v>4254</v>
      </c>
      <c r="Y949">
        <v>13.22</v>
      </c>
      <c r="Z949">
        <v>3280.461</v>
      </c>
      <c r="AA949" s="2"/>
      <c r="AB949" s="2"/>
      <c r="AC949" t="s">
        <v>4251</v>
      </c>
      <c r="AD949">
        <v>12.74</v>
      </c>
      <c r="AE949">
        <v>3410.488</v>
      </c>
      <c r="AF949" s="2">
        <f t="shared" si="57"/>
        <v>-0.0363086232980333</v>
      </c>
      <c r="AG949" s="2">
        <f t="shared" si="58"/>
        <v>0.039636807143874</v>
      </c>
      <c r="AH949" t="s">
        <v>4258</v>
      </c>
      <c r="AI949" t="s">
        <v>2809</v>
      </c>
      <c r="AJ949" t="s">
        <v>625</v>
      </c>
    </row>
    <row r="950" hidden="1" spans="1:36">
      <c r="A950">
        <v>128029</v>
      </c>
      <c r="B950" t="s">
        <v>4259</v>
      </c>
      <c r="C950">
        <v>2078</v>
      </c>
      <c r="D950" t="s">
        <v>4260</v>
      </c>
      <c r="E950" t="s">
        <v>232</v>
      </c>
      <c r="F950" t="s">
        <v>41</v>
      </c>
      <c r="G950" t="s">
        <v>4261</v>
      </c>
      <c r="H950" t="s">
        <v>621</v>
      </c>
      <c r="I950" t="s">
        <v>255</v>
      </c>
      <c r="J950" t="s">
        <v>255</v>
      </c>
      <c r="K950" t="s">
        <v>255</v>
      </c>
      <c r="L950" t="s">
        <v>41</v>
      </c>
      <c r="M950" t="s">
        <v>41</v>
      </c>
      <c r="N950" t="s">
        <v>255</v>
      </c>
      <c r="O950" t="s">
        <v>41</v>
      </c>
      <c r="P950" t="s">
        <v>41</v>
      </c>
      <c r="Q950" s="2"/>
      <c r="R950" s="2"/>
      <c r="S950" t="s">
        <v>255</v>
      </c>
      <c r="T950" t="s">
        <v>41</v>
      </c>
      <c r="U950" t="s">
        <v>41</v>
      </c>
      <c r="V950" s="2"/>
      <c r="W950" s="2"/>
      <c r="X950" t="s">
        <v>4261</v>
      </c>
      <c r="Y950">
        <v>7.47</v>
      </c>
      <c r="Z950">
        <v>3297.063</v>
      </c>
      <c r="AA950" s="2"/>
      <c r="AB950" s="2"/>
      <c r="AC950" t="s">
        <v>4262</v>
      </c>
      <c r="AD950">
        <v>9.22</v>
      </c>
      <c r="AE950">
        <v>3436.594</v>
      </c>
      <c r="AF950" s="2">
        <f t="shared" si="57"/>
        <v>0.234270414993307</v>
      </c>
      <c r="AG950" s="2">
        <f t="shared" si="58"/>
        <v>0.0423197858215023</v>
      </c>
      <c r="AH950" t="s">
        <v>1309</v>
      </c>
      <c r="AI950" t="s">
        <v>1578</v>
      </c>
      <c r="AJ950" t="s">
        <v>3077</v>
      </c>
    </row>
    <row r="951" hidden="1" spans="1:36">
      <c r="A951">
        <v>128030</v>
      </c>
      <c r="B951" t="s">
        <v>4263</v>
      </c>
      <c r="C951">
        <v>2100</v>
      </c>
      <c r="D951" t="s">
        <v>4264</v>
      </c>
      <c r="E951" t="s">
        <v>55</v>
      </c>
      <c r="F951" t="s">
        <v>41</v>
      </c>
      <c r="G951" t="s">
        <v>4261</v>
      </c>
      <c r="H951" t="s">
        <v>621</v>
      </c>
      <c r="I951" t="s">
        <v>255</v>
      </c>
      <c r="J951" t="s">
        <v>255</v>
      </c>
      <c r="K951" t="s">
        <v>255</v>
      </c>
      <c r="L951" t="s">
        <v>41</v>
      </c>
      <c r="M951" t="s">
        <v>41</v>
      </c>
      <c r="N951" t="s">
        <v>255</v>
      </c>
      <c r="O951" t="s">
        <v>41</v>
      </c>
      <c r="P951" t="s">
        <v>41</v>
      </c>
      <c r="Q951" s="2"/>
      <c r="R951" s="2"/>
      <c r="S951" t="s">
        <v>255</v>
      </c>
      <c r="T951" t="s">
        <v>41</v>
      </c>
      <c r="U951" t="s">
        <v>41</v>
      </c>
      <c r="V951" s="2"/>
      <c r="W951" s="2"/>
      <c r="X951" t="s">
        <v>4261</v>
      </c>
      <c r="Y951">
        <v>6.78</v>
      </c>
      <c r="Z951">
        <v>3297.063</v>
      </c>
      <c r="AA951" s="2"/>
      <c r="AB951" s="2"/>
      <c r="AC951" t="s">
        <v>4246</v>
      </c>
      <c r="AD951">
        <v>7.03</v>
      </c>
      <c r="AE951">
        <v>3523.001</v>
      </c>
      <c r="AF951" s="2">
        <f t="shared" si="57"/>
        <v>0.0368731563421829</v>
      </c>
      <c r="AG951" s="2">
        <f t="shared" si="58"/>
        <v>0.0685270496802761</v>
      </c>
      <c r="AH951" t="s">
        <v>579</v>
      </c>
      <c r="AI951" t="s">
        <v>954</v>
      </c>
      <c r="AJ951" t="s">
        <v>3077</v>
      </c>
    </row>
    <row r="952" hidden="1" spans="1:36">
      <c r="A952">
        <v>110041</v>
      </c>
      <c r="B952" t="s">
        <v>4265</v>
      </c>
      <c r="C952">
        <v>600863</v>
      </c>
      <c r="D952" t="s">
        <v>4266</v>
      </c>
      <c r="E952" t="s">
        <v>4267</v>
      </c>
      <c r="F952" t="s">
        <v>41</v>
      </c>
      <c r="G952" t="s">
        <v>4261</v>
      </c>
      <c r="H952" t="s">
        <v>621</v>
      </c>
      <c r="I952" t="s">
        <v>255</v>
      </c>
      <c r="J952" t="s">
        <v>255</v>
      </c>
      <c r="K952" t="s">
        <v>255</v>
      </c>
      <c r="L952" t="s">
        <v>41</v>
      </c>
      <c r="M952" t="s">
        <v>41</v>
      </c>
      <c r="N952" t="s">
        <v>255</v>
      </c>
      <c r="O952" t="s">
        <v>41</v>
      </c>
      <c r="P952" t="s">
        <v>41</v>
      </c>
      <c r="Q952" s="2"/>
      <c r="R952" s="2"/>
      <c r="S952" t="s">
        <v>255</v>
      </c>
      <c r="T952" t="s">
        <v>41</v>
      </c>
      <c r="U952" t="s">
        <v>41</v>
      </c>
      <c r="V952" s="2"/>
      <c r="W952" s="2"/>
      <c r="X952" t="s">
        <v>4261</v>
      </c>
      <c r="Y952">
        <v>1.93</v>
      </c>
      <c r="Z952">
        <v>3297.063</v>
      </c>
      <c r="AA952" s="2"/>
      <c r="AB952" s="2"/>
      <c r="AC952" t="s">
        <v>4268</v>
      </c>
      <c r="AD952">
        <v>1.96</v>
      </c>
      <c r="AE952">
        <v>3413.9</v>
      </c>
      <c r="AF952" s="2">
        <f t="shared" si="57"/>
        <v>0.0155440414507772</v>
      </c>
      <c r="AG952" s="2">
        <f t="shared" si="58"/>
        <v>0.0354366901694023</v>
      </c>
      <c r="AH952" t="s">
        <v>422</v>
      </c>
      <c r="AI952" t="s">
        <v>2278</v>
      </c>
      <c r="AJ952" t="s">
        <v>625</v>
      </c>
    </row>
    <row r="953" hidden="1" spans="1:36">
      <c r="A953">
        <v>128028</v>
      </c>
      <c r="B953" t="s">
        <v>4269</v>
      </c>
      <c r="C953">
        <v>2460</v>
      </c>
      <c r="D953" t="s">
        <v>3031</v>
      </c>
      <c r="E953" t="s">
        <v>4270</v>
      </c>
      <c r="F953" t="s">
        <v>41</v>
      </c>
      <c r="G953" t="s">
        <v>4271</v>
      </c>
      <c r="H953" t="s">
        <v>621</v>
      </c>
      <c r="I953" t="s">
        <v>255</v>
      </c>
      <c r="J953" t="s">
        <v>255</v>
      </c>
      <c r="K953" t="s">
        <v>255</v>
      </c>
      <c r="L953" t="s">
        <v>41</v>
      </c>
      <c r="M953" t="s">
        <v>41</v>
      </c>
      <c r="N953" t="s">
        <v>255</v>
      </c>
      <c r="O953" t="s">
        <v>41</v>
      </c>
      <c r="P953" t="s">
        <v>41</v>
      </c>
      <c r="Q953" s="2"/>
      <c r="R953" s="2"/>
      <c r="S953" t="s">
        <v>255</v>
      </c>
      <c r="T953" t="s">
        <v>41</v>
      </c>
      <c r="U953" t="s">
        <v>41</v>
      </c>
      <c r="V953" s="2"/>
      <c r="W953" s="2"/>
      <c r="X953" t="s">
        <v>4271</v>
      </c>
      <c r="Y953">
        <v>30.67</v>
      </c>
      <c r="Z953">
        <v>3300.059</v>
      </c>
      <c r="AA953" s="2"/>
      <c r="AB953" s="2"/>
      <c r="AC953" t="s">
        <v>4240</v>
      </c>
      <c r="AD953">
        <v>25.27</v>
      </c>
      <c r="AE953">
        <v>3487.864</v>
      </c>
      <c r="AF953" s="2">
        <f t="shared" si="57"/>
        <v>-0.176067818715357</v>
      </c>
      <c r="AG953" s="2">
        <f t="shared" si="58"/>
        <v>0.0569095885861434</v>
      </c>
      <c r="AH953" t="s">
        <v>422</v>
      </c>
      <c r="AI953" t="s">
        <v>3126</v>
      </c>
      <c r="AJ953" t="s">
        <v>625</v>
      </c>
    </row>
    <row r="954" hidden="1" spans="1:36">
      <c r="A954">
        <v>123006</v>
      </c>
      <c r="B954" t="s">
        <v>4272</v>
      </c>
      <c r="C954">
        <v>300059</v>
      </c>
      <c r="D954" t="s">
        <v>2549</v>
      </c>
      <c r="E954" t="s">
        <v>4273</v>
      </c>
      <c r="F954" t="s">
        <v>41</v>
      </c>
      <c r="G954" t="s">
        <v>4274</v>
      </c>
      <c r="H954" t="s">
        <v>621</v>
      </c>
      <c r="I954" t="s">
        <v>255</v>
      </c>
      <c r="J954" t="s">
        <v>255</v>
      </c>
      <c r="K954" t="s">
        <v>255</v>
      </c>
      <c r="L954" t="s">
        <v>41</v>
      </c>
      <c r="M954" t="s">
        <v>41</v>
      </c>
      <c r="N954" t="s">
        <v>255</v>
      </c>
      <c r="O954" t="s">
        <v>41</v>
      </c>
      <c r="P954" t="s">
        <v>41</v>
      </c>
      <c r="Q954" s="2"/>
      <c r="R954" s="2"/>
      <c r="S954" t="s">
        <v>255</v>
      </c>
      <c r="T954" t="s">
        <v>41</v>
      </c>
      <c r="U954" t="s">
        <v>41</v>
      </c>
      <c r="V954" s="2"/>
      <c r="W954" s="2"/>
      <c r="X954" t="s">
        <v>4274</v>
      </c>
      <c r="Y954">
        <v>4.04</v>
      </c>
      <c r="Z954">
        <v>3287.606</v>
      </c>
      <c r="AA954" s="2"/>
      <c r="AB954" s="2"/>
      <c r="AC954" t="s">
        <v>4246</v>
      </c>
      <c r="AD954">
        <v>5.11</v>
      </c>
      <c r="AE954">
        <v>3523.001</v>
      </c>
      <c r="AF954" s="2">
        <f t="shared" si="57"/>
        <v>0.264851485148515</v>
      </c>
      <c r="AG954" s="2">
        <f t="shared" si="58"/>
        <v>0.0716007331778808</v>
      </c>
      <c r="AH954" t="s">
        <v>352</v>
      </c>
      <c r="AI954" t="s">
        <v>3778</v>
      </c>
      <c r="AJ954" t="s">
        <v>625</v>
      </c>
    </row>
    <row r="955" hidden="1" spans="1:36">
      <c r="A955">
        <v>123005</v>
      </c>
      <c r="B955" t="s">
        <v>4275</v>
      </c>
      <c r="C955">
        <v>300168</v>
      </c>
      <c r="D955" t="s">
        <v>3898</v>
      </c>
      <c r="E955" t="s">
        <v>1183</v>
      </c>
      <c r="F955" t="s">
        <v>41</v>
      </c>
      <c r="G955" t="s">
        <v>4276</v>
      </c>
      <c r="H955" t="s">
        <v>621</v>
      </c>
      <c r="I955" t="s">
        <v>255</v>
      </c>
      <c r="J955" t="s">
        <v>255</v>
      </c>
      <c r="K955" t="s">
        <v>255</v>
      </c>
      <c r="L955" t="s">
        <v>41</v>
      </c>
      <c r="M955" t="s">
        <v>41</v>
      </c>
      <c r="N955" t="s">
        <v>255</v>
      </c>
      <c r="O955" t="s">
        <v>41</v>
      </c>
      <c r="P955" t="s">
        <v>41</v>
      </c>
      <c r="Q955" s="2"/>
      <c r="R955" s="2"/>
      <c r="S955" t="s">
        <v>255</v>
      </c>
      <c r="T955" t="s">
        <v>41</v>
      </c>
      <c r="U955" t="s">
        <v>41</v>
      </c>
      <c r="V955" s="2"/>
      <c r="W955" s="2"/>
      <c r="X955" t="s">
        <v>4276</v>
      </c>
      <c r="Y955">
        <v>13.19</v>
      </c>
      <c r="Z955">
        <v>3296.538</v>
      </c>
      <c r="AA955" s="2"/>
      <c r="AB955" s="2"/>
      <c r="AC955" t="s">
        <v>4233</v>
      </c>
      <c r="AD955">
        <v>14.09</v>
      </c>
      <c r="AE955">
        <v>3488.009</v>
      </c>
      <c r="AF955" s="2">
        <f t="shared" si="57"/>
        <v>0.0682335102350266</v>
      </c>
      <c r="AG955" s="2">
        <f t="shared" si="58"/>
        <v>0.0580824489206555</v>
      </c>
      <c r="AH955" t="s">
        <v>954</v>
      </c>
      <c r="AI955" t="s">
        <v>4064</v>
      </c>
      <c r="AJ955" t="s">
        <v>625</v>
      </c>
    </row>
    <row r="956" hidden="1" spans="1:36">
      <c r="A956">
        <v>123004</v>
      </c>
      <c r="B956" t="s">
        <v>4277</v>
      </c>
      <c r="C956">
        <v>300197</v>
      </c>
      <c r="D956" t="s">
        <v>4278</v>
      </c>
      <c r="E956" t="s">
        <v>912</v>
      </c>
      <c r="F956" t="s">
        <v>41</v>
      </c>
      <c r="G956" t="s">
        <v>4279</v>
      </c>
      <c r="H956" t="s">
        <v>621</v>
      </c>
      <c r="I956" t="s">
        <v>255</v>
      </c>
      <c r="J956" t="s">
        <v>255</v>
      </c>
      <c r="K956" t="s">
        <v>255</v>
      </c>
      <c r="L956" t="s">
        <v>41</v>
      </c>
      <c r="M956" t="s">
        <v>41</v>
      </c>
      <c r="N956" t="s">
        <v>255</v>
      </c>
      <c r="O956" t="s">
        <v>41</v>
      </c>
      <c r="P956" t="s">
        <v>41</v>
      </c>
      <c r="Q956" s="2"/>
      <c r="R956" s="2"/>
      <c r="S956" t="s">
        <v>255</v>
      </c>
      <c r="T956" t="s">
        <v>41</v>
      </c>
      <c r="U956" t="s">
        <v>41</v>
      </c>
      <c r="V956" s="2"/>
      <c r="W956" s="2"/>
      <c r="X956" t="s">
        <v>4279</v>
      </c>
      <c r="Y956">
        <v>8.15</v>
      </c>
      <c r="Z956">
        <v>3267.922</v>
      </c>
      <c r="AA956" s="2"/>
      <c r="AB956" s="2"/>
      <c r="AC956" t="s">
        <v>4237</v>
      </c>
      <c r="AD956">
        <v>7.42</v>
      </c>
      <c r="AE956">
        <v>3558.129</v>
      </c>
      <c r="AF956" s="2">
        <f t="shared" si="57"/>
        <v>-0.0895705521472393</v>
      </c>
      <c r="AG956" s="2">
        <f t="shared" si="58"/>
        <v>0.0888047511537913</v>
      </c>
      <c r="AH956" t="s">
        <v>4280</v>
      </c>
      <c r="AI956" t="s">
        <v>827</v>
      </c>
      <c r="AJ956" t="s">
        <v>3077</v>
      </c>
    </row>
    <row r="957" hidden="1" spans="1:36">
      <c r="A957">
        <v>128027</v>
      </c>
      <c r="B957" t="s">
        <v>4281</v>
      </c>
      <c r="C957">
        <v>2815</v>
      </c>
      <c r="D957" t="s">
        <v>2972</v>
      </c>
      <c r="E957" t="s">
        <v>115</v>
      </c>
      <c r="F957" t="s">
        <v>41</v>
      </c>
      <c r="G957" t="s">
        <v>4282</v>
      </c>
      <c r="H957" t="s">
        <v>621</v>
      </c>
      <c r="I957" t="s">
        <v>255</v>
      </c>
      <c r="J957" t="s">
        <v>255</v>
      </c>
      <c r="K957" t="s">
        <v>255</v>
      </c>
      <c r="L957" t="s">
        <v>41</v>
      </c>
      <c r="M957" t="s">
        <v>41</v>
      </c>
      <c r="N957" t="s">
        <v>255</v>
      </c>
      <c r="O957" t="s">
        <v>41</v>
      </c>
      <c r="P957" t="s">
        <v>41</v>
      </c>
      <c r="Q957" s="2"/>
      <c r="R957" s="2"/>
      <c r="S957" t="s">
        <v>255</v>
      </c>
      <c r="T957" t="s">
        <v>41</v>
      </c>
      <c r="U957" t="s">
        <v>41</v>
      </c>
      <c r="V957" s="2"/>
      <c r="W957" s="2"/>
      <c r="X957" t="s">
        <v>4282</v>
      </c>
      <c r="Y957">
        <v>13.12</v>
      </c>
      <c r="Z957">
        <v>3266.137</v>
      </c>
      <c r="AA957" s="2"/>
      <c r="AB957" s="2"/>
      <c r="AC957" t="s">
        <v>4283</v>
      </c>
      <c r="AD957">
        <v>12.77</v>
      </c>
      <c r="AE957">
        <v>3501.362</v>
      </c>
      <c r="AF957" s="2">
        <f t="shared" si="57"/>
        <v>-0.0266768292682927</v>
      </c>
      <c r="AG957" s="2">
        <f t="shared" si="58"/>
        <v>0.0720193304812382</v>
      </c>
      <c r="AH957" t="s">
        <v>632</v>
      </c>
      <c r="AI957" t="s">
        <v>4284</v>
      </c>
      <c r="AJ957" t="s">
        <v>625</v>
      </c>
    </row>
    <row r="958" hidden="1" spans="1:36">
      <c r="A958">
        <v>113503</v>
      </c>
      <c r="B958" t="s">
        <v>4285</v>
      </c>
      <c r="C958">
        <v>603738</v>
      </c>
      <c r="D958" t="s">
        <v>4286</v>
      </c>
      <c r="E958" t="s">
        <v>4287</v>
      </c>
      <c r="F958" t="s">
        <v>41</v>
      </c>
      <c r="G958" t="s">
        <v>4282</v>
      </c>
      <c r="H958" t="s">
        <v>621</v>
      </c>
      <c r="I958" t="s">
        <v>255</v>
      </c>
      <c r="J958" t="s">
        <v>255</v>
      </c>
      <c r="K958" t="s">
        <v>255</v>
      </c>
      <c r="L958" t="s">
        <v>41</v>
      </c>
      <c r="M958" t="s">
        <v>41</v>
      </c>
      <c r="N958" t="s">
        <v>255</v>
      </c>
      <c r="O958" t="s">
        <v>41</v>
      </c>
      <c r="P958" t="s">
        <v>41</v>
      </c>
      <c r="Q958" s="2"/>
      <c r="R958" s="2"/>
      <c r="S958" t="s">
        <v>255</v>
      </c>
      <c r="T958" t="s">
        <v>41</v>
      </c>
      <c r="U958" t="s">
        <v>41</v>
      </c>
      <c r="V958" s="2"/>
      <c r="W958" s="2"/>
      <c r="X958" t="s">
        <v>4282</v>
      </c>
      <c r="Y958">
        <v>8.05</v>
      </c>
      <c r="Z958">
        <v>3266.137</v>
      </c>
      <c r="AA958" s="2"/>
      <c r="AB958" s="2"/>
      <c r="AC958" t="s">
        <v>4288</v>
      </c>
      <c r="AD958">
        <v>7.93</v>
      </c>
      <c r="AE958">
        <v>3348.326</v>
      </c>
      <c r="AF958" s="2">
        <f t="shared" si="57"/>
        <v>-0.0149068322981368</v>
      </c>
      <c r="AG958" s="2">
        <f t="shared" si="58"/>
        <v>0.0251639781184928</v>
      </c>
      <c r="AH958" t="s">
        <v>632</v>
      </c>
      <c r="AI958" t="s">
        <v>4289</v>
      </c>
      <c r="AJ958" t="s">
        <v>625</v>
      </c>
    </row>
    <row r="959" hidden="1" spans="1:36">
      <c r="A959">
        <v>128026</v>
      </c>
      <c r="B959" t="s">
        <v>4290</v>
      </c>
      <c r="C959">
        <v>2772</v>
      </c>
      <c r="D959" t="s">
        <v>4291</v>
      </c>
      <c r="E959" t="s">
        <v>4292</v>
      </c>
      <c r="F959" t="s">
        <v>41</v>
      </c>
      <c r="G959" t="s">
        <v>4293</v>
      </c>
      <c r="H959" t="s">
        <v>621</v>
      </c>
      <c r="I959" t="s">
        <v>255</v>
      </c>
      <c r="J959" t="s">
        <v>255</v>
      </c>
      <c r="K959" t="s">
        <v>255</v>
      </c>
      <c r="L959" t="s">
        <v>41</v>
      </c>
      <c r="M959" t="s">
        <v>41</v>
      </c>
      <c r="N959" t="s">
        <v>255</v>
      </c>
      <c r="O959" t="s">
        <v>41</v>
      </c>
      <c r="P959" t="s">
        <v>41</v>
      </c>
      <c r="Q959" s="2"/>
      <c r="R959" s="2"/>
      <c r="S959" t="s">
        <v>255</v>
      </c>
      <c r="T959" t="s">
        <v>41</v>
      </c>
      <c r="U959" t="s">
        <v>41</v>
      </c>
      <c r="V959" s="2"/>
      <c r="W959" s="2"/>
      <c r="X959" t="s">
        <v>4293</v>
      </c>
      <c r="Y959">
        <v>9.81</v>
      </c>
      <c r="Z959">
        <v>3303.037</v>
      </c>
      <c r="AA959" s="2"/>
      <c r="AB959" s="2"/>
      <c r="AC959" t="s">
        <v>4294</v>
      </c>
      <c r="AD959">
        <v>9.7</v>
      </c>
      <c r="AE959">
        <v>3369.108</v>
      </c>
      <c r="AF959" s="2">
        <f t="shared" si="57"/>
        <v>-0.0112130479102957</v>
      </c>
      <c r="AG959" s="2">
        <f t="shared" si="58"/>
        <v>0.0200031062322343</v>
      </c>
      <c r="AH959" t="s">
        <v>827</v>
      </c>
      <c r="AI959" t="s">
        <v>607</v>
      </c>
      <c r="AJ959" t="s">
        <v>3077</v>
      </c>
    </row>
    <row r="960" hidden="1" spans="1:36">
      <c r="A960">
        <v>123003</v>
      </c>
      <c r="B960" t="s">
        <v>4295</v>
      </c>
      <c r="C960">
        <v>300433</v>
      </c>
      <c r="D960" t="s">
        <v>4296</v>
      </c>
      <c r="E960" t="s">
        <v>368</v>
      </c>
      <c r="F960" t="s">
        <v>41</v>
      </c>
      <c r="G960" t="s">
        <v>4297</v>
      </c>
      <c r="H960" t="s">
        <v>621</v>
      </c>
      <c r="I960" t="s">
        <v>255</v>
      </c>
      <c r="J960" t="s">
        <v>255</v>
      </c>
      <c r="K960" t="s">
        <v>255</v>
      </c>
      <c r="L960" t="s">
        <v>41</v>
      </c>
      <c r="M960" t="s">
        <v>41</v>
      </c>
      <c r="N960" t="s">
        <v>255</v>
      </c>
      <c r="O960" t="s">
        <v>41</v>
      </c>
      <c r="P960" t="s">
        <v>41</v>
      </c>
      <c r="Q960" s="2"/>
      <c r="R960" s="2"/>
      <c r="S960" t="s">
        <v>255</v>
      </c>
      <c r="T960" t="s">
        <v>41</v>
      </c>
      <c r="U960" t="s">
        <v>41</v>
      </c>
      <c r="V960" s="2"/>
      <c r="W960" s="2"/>
      <c r="X960" t="s">
        <v>4297</v>
      </c>
      <c r="Y960">
        <v>21.33</v>
      </c>
      <c r="Z960">
        <v>3289.992</v>
      </c>
      <c r="AA960" s="2"/>
      <c r="AB960" s="2"/>
      <c r="AC960" t="s">
        <v>4298</v>
      </c>
      <c r="AD960">
        <v>16.09</v>
      </c>
      <c r="AE960">
        <v>3444.671</v>
      </c>
      <c r="AF960" s="2">
        <f t="shared" si="57"/>
        <v>-0.245663384903891</v>
      </c>
      <c r="AG960" s="2">
        <f t="shared" si="58"/>
        <v>0.0470150079392289</v>
      </c>
      <c r="AH960" t="s">
        <v>607</v>
      </c>
      <c r="AI960" t="s">
        <v>4299</v>
      </c>
      <c r="AJ960" t="s">
        <v>625</v>
      </c>
    </row>
    <row r="961" hidden="1" spans="1:36">
      <c r="A961">
        <v>128025</v>
      </c>
      <c r="B961" t="s">
        <v>4300</v>
      </c>
      <c r="C961">
        <v>2728</v>
      </c>
      <c r="D961" t="s">
        <v>4301</v>
      </c>
      <c r="E961" t="s">
        <v>578</v>
      </c>
      <c r="F961" t="s">
        <v>41</v>
      </c>
      <c r="G961" t="s">
        <v>4302</v>
      </c>
      <c r="H961" t="s">
        <v>621</v>
      </c>
      <c r="I961" t="s">
        <v>255</v>
      </c>
      <c r="J961" t="s">
        <v>255</v>
      </c>
      <c r="K961" t="s">
        <v>255</v>
      </c>
      <c r="L961" t="s">
        <v>41</v>
      </c>
      <c r="M961" t="s">
        <v>41</v>
      </c>
      <c r="N961" t="s">
        <v>255</v>
      </c>
      <c r="O961" t="s">
        <v>41</v>
      </c>
      <c r="P961" t="s">
        <v>41</v>
      </c>
      <c r="Q961" s="2"/>
      <c r="R961" s="2"/>
      <c r="S961" t="s">
        <v>255</v>
      </c>
      <c r="T961" t="s">
        <v>41</v>
      </c>
      <c r="U961" t="s">
        <v>41</v>
      </c>
      <c r="V961" s="2"/>
      <c r="W961" s="2"/>
      <c r="X961" t="s">
        <v>4302</v>
      </c>
      <c r="Y961">
        <v>7.39</v>
      </c>
      <c r="Z961">
        <v>3293.965</v>
      </c>
      <c r="AA961" s="2"/>
      <c r="AB961" s="2"/>
      <c r="AC961" t="s">
        <v>4242</v>
      </c>
      <c r="AD961">
        <v>6.77</v>
      </c>
      <c r="AE961">
        <v>3296.385</v>
      </c>
      <c r="AF961" s="2">
        <f t="shared" si="57"/>
        <v>-0.0838971583220569</v>
      </c>
      <c r="AG961" s="2">
        <f t="shared" si="58"/>
        <v>0.000734676901545728</v>
      </c>
      <c r="AH961" t="s">
        <v>940</v>
      </c>
      <c r="AI961" t="s">
        <v>669</v>
      </c>
      <c r="AJ961" t="s">
        <v>3077</v>
      </c>
    </row>
    <row r="962" hidden="1" spans="1:36">
      <c r="A962">
        <v>128024</v>
      </c>
      <c r="B962" t="s">
        <v>4303</v>
      </c>
      <c r="C962">
        <v>2142</v>
      </c>
      <c r="D962" t="s">
        <v>4304</v>
      </c>
      <c r="E962" t="s">
        <v>1322</v>
      </c>
      <c r="F962" t="s">
        <v>41</v>
      </c>
      <c r="G962" t="s">
        <v>4305</v>
      </c>
      <c r="H962" t="s">
        <v>621</v>
      </c>
      <c r="I962" t="s">
        <v>255</v>
      </c>
      <c r="J962" t="s">
        <v>255</v>
      </c>
      <c r="K962" t="s">
        <v>255</v>
      </c>
      <c r="L962" t="s">
        <v>41</v>
      </c>
      <c r="M962" t="s">
        <v>41</v>
      </c>
      <c r="N962" t="s">
        <v>255</v>
      </c>
      <c r="O962" t="s">
        <v>41</v>
      </c>
      <c r="P962" t="s">
        <v>41</v>
      </c>
      <c r="Q962" s="2"/>
      <c r="R962" s="2"/>
      <c r="S962" t="s">
        <v>255</v>
      </c>
      <c r="T962" t="s">
        <v>41</v>
      </c>
      <c r="U962" t="s">
        <v>41</v>
      </c>
      <c r="V962" s="2"/>
      <c r="W962" s="2"/>
      <c r="X962" t="s">
        <v>4305</v>
      </c>
      <c r="Y962">
        <v>13.52</v>
      </c>
      <c r="Z962">
        <v>3303.675</v>
      </c>
      <c r="AA962" s="2"/>
      <c r="AB962" s="2"/>
      <c r="AC962" t="s">
        <v>4306</v>
      </c>
      <c r="AD962">
        <v>14.21</v>
      </c>
      <c r="AE962">
        <v>3428.941</v>
      </c>
      <c r="AF962" s="2">
        <f t="shared" si="57"/>
        <v>0.05103550295858</v>
      </c>
      <c r="AG962" s="2">
        <f t="shared" si="58"/>
        <v>0.0379171680023003</v>
      </c>
      <c r="AH962" t="s">
        <v>664</v>
      </c>
      <c r="AI962" t="s">
        <v>4307</v>
      </c>
      <c r="AJ962" t="s">
        <v>625</v>
      </c>
    </row>
    <row r="963" hidden="1" spans="1:36">
      <c r="A963">
        <v>128023</v>
      </c>
      <c r="B963" t="s">
        <v>4308</v>
      </c>
      <c r="C963">
        <v>2284</v>
      </c>
      <c r="D963" t="s">
        <v>4309</v>
      </c>
      <c r="E963" t="s">
        <v>55</v>
      </c>
      <c r="F963" t="s">
        <v>41</v>
      </c>
      <c r="G963" t="s">
        <v>4310</v>
      </c>
      <c r="H963" t="s">
        <v>621</v>
      </c>
      <c r="I963" t="s">
        <v>255</v>
      </c>
      <c r="J963" t="s">
        <v>255</v>
      </c>
      <c r="K963" t="s">
        <v>255</v>
      </c>
      <c r="L963" t="s">
        <v>41</v>
      </c>
      <c r="M963" t="s">
        <v>41</v>
      </c>
      <c r="N963" t="s">
        <v>255</v>
      </c>
      <c r="O963" t="s">
        <v>41</v>
      </c>
      <c r="P963" t="s">
        <v>41</v>
      </c>
      <c r="Q963" s="2"/>
      <c r="R963" s="2"/>
      <c r="S963" t="s">
        <v>255</v>
      </c>
      <c r="T963" t="s">
        <v>41</v>
      </c>
      <c r="U963" t="s">
        <v>41</v>
      </c>
      <c r="V963" s="2"/>
      <c r="W963" s="2"/>
      <c r="X963" t="s">
        <v>4310</v>
      </c>
      <c r="Y963">
        <v>9.01</v>
      </c>
      <c r="Z963">
        <v>3309.618</v>
      </c>
      <c r="AA963" s="2"/>
      <c r="AB963" s="2"/>
      <c r="AC963" t="s">
        <v>4311</v>
      </c>
      <c r="AD963">
        <v>8.25</v>
      </c>
      <c r="AE963">
        <v>3306.125</v>
      </c>
      <c r="AF963" s="2">
        <f t="shared" ref="AF963:AF1026" si="59">(AD963-Y963)/Y963</f>
        <v>-0.0843507214206437</v>
      </c>
      <c r="AG963" s="2">
        <f t="shared" ref="AG963:AG1026" si="60">(AE963-Z963)/Z963</f>
        <v>-0.0010554088115305</v>
      </c>
      <c r="AH963" t="s">
        <v>901</v>
      </c>
      <c r="AI963" t="s">
        <v>523</v>
      </c>
      <c r="AJ963" t="s">
        <v>3077</v>
      </c>
    </row>
    <row r="964" hidden="1" spans="1:36">
      <c r="A964">
        <v>128022</v>
      </c>
      <c r="B964" t="s">
        <v>4312</v>
      </c>
      <c r="C964">
        <v>2707</v>
      </c>
      <c r="D964" t="s">
        <v>4313</v>
      </c>
      <c r="E964" t="s">
        <v>1015</v>
      </c>
      <c r="F964" t="s">
        <v>41</v>
      </c>
      <c r="G964" t="s">
        <v>4314</v>
      </c>
      <c r="H964" t="s">
        <v>621</v>
      </c>
      <c r="I964" t="s">
        <v>255</v>
      </c>
      <c r="J964" t="s">
        <v>255</v>
      </c>
      <c r="K964" t="s">
        <v>255</v>
      </c>
      <c r="L964" t="s">
        <v>41</v>
      </c>
      <c r="M964" t="s">
        <v>41</v>
      </c>
      <c r="N964" t="s">
        <v>255</v>
      </c>
      <c r="O964" t="s">
        <v>41</v>
      </c>
      <c r="P964" t="s">
        <v>41</v>
      </c>
      <c r="Q964" s="2"/>
      <c r="R964" s="2"/>
      <c r="S964" t="s">
        <v>255</v>
      </c>
      <c r="T964" t="s">
        <v>41</v>
      </c>
      <c r="U964" t="s">
        <v>41</v>
      </c>
      <c r="V964" s="2"/>
      <c r="W964" s="2"/>
      <c r="X964" t="s">
        <v>4314</v>
      </c>
      <c r="Y964">
        <v>11.67</v>
      </c>
      <c r="Z964">
        <v>3317.617</v>
      </c>
      <c r="AA964" s="2"/>
      <c r="AB964" s="2"/>
      <c r="AC964" t="s">
        <v>4242</v>
      </c>
      <c r="AD964">
        <v>10.72</v>
      </c>
      <c r="AE964">
        <v>3296.385</v>
      </c>
      <c r="AF964" s="2">
        <f t="shared" si="59"/>
        <v>-0.0814053127677806</v>
      </c>
      <c r="AG964" s="2">
        <f t="shared" si="60"/>
        <v>-0.00639977429582739</v>
      </c>
      <c r="AH964" t="s">
        <v>669</v>
      </c>
      <c r="AI964" t="s">
        <v>1299</v>
      </c>
      <c r="AJ964" t="s">
        <v>625</v>
      </c>
    </row>
    <row r="965" hidden="1" spans="1:36">
      <c r="A965">
        <v>128021</v>
      </c>
      <c r="B965" t="s">
        <v>4315</v>
      </c>
      <c r="C965">
        <v>2562</v>
      </c>
      <c r="D965" t="s">
        <v>4316</v>
      </c>
      <c r="E965" t="s">
        <v>1015</v>
      </c>
      <c r="F965" t="s">
        <v>41</v>
      </c>
      <c r="G965" t="s">
        <v>4317</v>
      </c>
      <c r="H965" t="s">
        <v>621</v>
      </c>
      <c r="I965" t="s">
        <v>255</v>
      </c>
      <c r="J965" t="s">
        <v>255</v>
      </c>
      <c r="K965" t="s">
        <v>255</v>
      </c>
      <c r="L965" t="s">
        <v>41</v>
      </c>
      <c r="M965" t="s">
        <v>41</v>
      </c>
      <c r="N965" t="s">
        <v>255</v>
      </c>
      <c r="O965" t="s">
        <v>41</v>
      </c>
      <c r="P965" t="s">
        <v>41</v>
      </c>
      <c r="Q965" s="2"/>
      <c r="R965" s="2"/>
      <c r="S965" t="s">
        <v>255</v>
      </c>
      <c r="T965" t="s">
        <v>41</v>
      </c>
      <c r="U965" t="s">
        <v>41</v>
      </c>
      <c r="V965" s="2"/>
      <c r="W965" s="2"/>
      <c r="X965" t="s">
        <v>4317</v>
      </c>
      <c r="Y965">
        <v>10.37</v>
      </c>
      <c r="Z965">
        <v>3333.657</v>
      </c>
      <c r="AA965" s="2"/>
      <c r="AB965" s="2"/>
      <c r="AC965" t="s">
        <v>4245</v>
      </c>
      <c r="AD965">
        <v>9.73</v>
      </c>
      <c r="AE965">
        <v>3275.783</v>
      </c>
      <c r="AF965" s="2">
        <f t="shared" si="59"/>
        <v>-0.0617164898746383</v>
      </c>
      <c r="AG965" s="2">
        <f t="shared" si="60"/>
        <v>-0.0173605142940621</v>
      </c>
      <c r="AH965" t="s">
        <v>3258</v>
      </c>
      <c r="AI965" t="s">
        <v>844</v>
      </c>
      <c r="AJ965" t="s">
        <v>3077</v>
      </c>
    </row>
    <row r="966" hidden="1" spans="1:36">
      <c r="A966">
        <v>123002</v>
      </c>
      <c r="B966" t="s">
        <v>4318</v>
      </c>
      <c r="C966">
        <v>300388</v>
      </c>
      <c r="D966" t="s">
        <v>4319</v>
      </c>
      <c r="E966" t="s">
        <v>4320</v>
      </c>
      <c r="F966" t="s">
        <v>41</v>
      </c>
      <c r="G966" t="s">
        <v>4321</v>
      </c>
      <c r="H966" t="s">
        <v>621</v>
      </c>
      <c r="I966" t="s">
        <v>255</v>
      </c>
      <c r="J966" t="s">
        <v>255</v>
      </c>
      <c r="K966" t="s">
        <v>255</v>
      </c>
      <c r="L966" t="s">
        <v>41</v>
      </c>
      <c r="M966" t="s">
        <v>41</v>
      </c>
      <c r="N966" t="s">
        <v>255</v>
      </c>
      <c r="O966" t="s">
        <v>41</v>
      </c>
      <c r="P966" t="s">
        <v>41</v>
      </c>
      <c r="Q966" s="2"/>
      <c r="R966" s="2"/>
      <c r="S966" t="s">
        <v>255</v>
      </c>
      <c r="T966" t="s">
        <v>41</v>
      </c>
      <c r="U966" t="s">
        <v>41</v>
      </c>
      <c r="V966" s="2"/>
      <c r="W966" s="2"/>
      <c r="X966" t="s">
        <v>4321</v>
      </c>
      <c r="Y966">
        <v>11.04</v>
      </c>
      <c r="Z966">
        <v>3353.821</v>
      </c>
      <c r="AA966" s="2"/>
      <c r="AB966" s="2"/>
      <c r="AC966" t="s">
        <v>4254</v>
      </c>
      <c r="AD966">
        <v>12.1</v>
      </c>
      <c r="AE966">
        <v>3280.461</v>
      </c>
      <c r="AF966" s="2">
        <f t="shared" si="59"/>
        <v>0.0960144927536232</v>
      </c>
      <c r="AG966" s="2">
        <f t="shared" si="60"/>
        <v>-0.021873558547102</v>
      </c>
      <c r="AH966" t="s">
        <v>819</v>
      </c>
      <c r="AI966" t="s">
        <v>919</v>
      </c>
      <c r="AJ966" t="s">
        <v>3077</v>
      </c>
    </row>
    <row r="967" hidden="1" spans="1:36">
      <c r="A967">
        <v>110040</v>
      </c>
      <c r="B967" t="s">
        <v>4322</v>
      </c>
      <c r="C967">
        <v>600183</v>
      </c>
      <c r="D967" t="s">
        <v>4323</v>
      </c>
      <c r="E967" t="s">
        <v>266</v>
      </c>
      <c r="F967" t="s">
        <v>41</v>
      </c>
      <c r="G967" t="s">
        <v>4321</v>
      </c>
      <c r="H967" t="s">
        <v>621</v>
      </c>
      <c r="I967" t="s">
        <v>255</v>
      </c>
      <c r="J967" t="s">
        <v>255</v>
      </c>
      <c r="K967" t="s">
        <v>255</v>
      </c>
      <c r="L967" t="s">
        <v>41</v>
      </c>
      <c r="M967" t="s">
        <v>41</v>
      </c>
      <c r="N967" t="s">
        <v>255</v>
      </c>
      <c r="O967" t="s">
        <v>41</v>
      </c>
      <c r="P967" t="s">
        <v>41</v>
      </c>
      <c r="Q967" s="2"/>
      <c r="R967" s="2"/>
      <c r="S967" t="s">
        <v>255</v>
      </c>
      <c r="T967" t="s">
        <v>41</v>
      </c>
      <c r="U967" t="s">
        <v>41</v>
      </c>
      <c r="V967" s="2"/>
      <c r="W967" s="2"/>
      <c r="X967" t="s">
        <v>4321</v>
      </c>
      <c r="Y967">
        <v>6.24</v>
      </c>
      <c r="Z967">
        <v>3353.821</v>
      </c>
      <c r="AA967" s="2"/>
      <c r="AB967" s="2"/>
      <c r="AC967" t="s">
        <v>4324</v>
      </c>
      <c r="AD967">
        <v>6.2</v>
      </c>
      <c r="AE967">
        <v>3322.196</v>
      </c>
      <c r="AF967" s="2">
        <f t="shared" si="59"/>
        <v>-0.00641025641025642</v>
      </c>
      <c r="AG967" s="2">
        <f t="shared" si="60"/>
        <v>-0.00942954319863821</v>
      </c>
      <c r="AH967" t="s">
        <v>844</v>
      </c>
      <c r="AI967" t="s">
        <v>4325</v>
      </c>
      <c r="AJ967" t="s">
        <v>625</v>
      </c>
    </row>
    <row r="968" hidden="1" spans="1:36">
      <c r="A968">
        <v>128020</v>
      </c>
      <c r="B968" t="s">
        <v>4326</v>
      </c>
      <c r="C968">
        <v>2273</v>
      </c>
      <c r="D968" t="s">
        <v>4327</v>
      </c>
      <c r="E968" t="s">
        <v>4328</v>
      </c>
      <c r="F968" t="s">
        <v>41</v>
      </c>
      <c r="G968" t="s">
        <v>4329</v>
      </c>
      <c r="H968" t="s">
        <v>621</v>
      </c>
      <c r="I968" t="s">
        <v>255</v>
      </c>
      <c r="J968" t="s">
        <v>255</v>
      </c>
      <c r="K968" t="s">
        <v>255</v>
      </c>
      <c r="L968" t="s">
        <v>41</v>
      </c>
      <c r="M968" t="s">
        <v>41</v>
      </c>
      <c r="N968" t="s">
        <v>255</v>
      </c>
      <c r="O968" t="s">
        <v>41</v>
      </c>
      <c r="P968" t="s">
        <v>41</v>
      </c>
      <c r="Q968" s="2"/>
      <c r="R968" s="2"/>
      <c r="S968" t="s">
        <v>255</v>
      </c>
      <c r="T968" t="s">
        <v>41</v>
      </c>
      <c r="U968" t="s">
        <v>41</v>
      </c>
      <c r="V968" s="2"/>
      <c r="W968" s="2"/>
      <c r="X968" t="s">
        <v>4329</v>
      </c>
      <c r="Y968">
        <v>14.85</v>
      </c>
      <c r="Z968">
        <v>3382.908</v>
      </c>
      <c r="AA968" s="2"/>
      <c r="AB968" s="2"/>
      <c r="AC968" t="s">
        <v>4330</v>
      </c>
      <c r="AD968">
        <v>13.85</v>
      </c>
      <c r="AE968">
        <v>3280.814</v>
      </c>
      <c r="AF968" s="2">
        <f t="shared" si="59"/>
        <v>-0.0673400673400673</v>
      </c>
      <c r="AG968" s="2">
        <f t="shared" si="60"/>
        <v>-0.030179360479209</v>
      </c>
      <c r="AH968" t="s">
        <v>927</v>
      </c>
      <c r="AI968" t="s">
        <v>3462</v>
      </c>
      <c r="AJ968" t="s">
        <v>625</v>
      </c>
    </row>
    <row r="969" hidden="1" spans="1:36">
      <c r="A969">
        <v>110039</v>
      </c>
      <c r="B969" t="s">
        <v>4331</v>
      </c>
      <c r="C969">
        <v>600845</v>
      </c>
      <c r="D969" t="s">
        <v>4332</v>
      </c>
      <c r="E969" t="s">
        <v>3164</v>
      </c>
      <c r="F969" t="s">
        <v>41</v>
      </c>
      <c r="G969" t="s">
        <v>4329</v>
      </c>
      <c r="H969" t="s">
        <v>621</v>
      </c>
      <c r="I969" t="s">
        <v>255</v>
      </c>
      <c r="J969" t="s">
        <v>255</v>
      </c>
      <c r="K969" t="s">
        <v>255</v>
      </c>
      <c r="L969" t="s">
        <v>41</v>
      </c>
      <c r="M969" t="s">
        <v>41</v>
      </c>
      <c r="N969" t="s">
        <v>255</v>
      </c>
      <c r="O969" t="s">
        <v>41</v>
      </c>
      <c r="P969" t="s">
        <v>41</v>
      </c>
      <c r="Q969" s="2"/>
      <c r="R969" s="2"/>
      <c r="S969" t="s">
        <v>255</v>
      </c>
      <c r="T969" t="s">
        <v>41</v>
      </c>
      <c r="U969" t="s">
        <v>41</v>
      </c>
      <c r="V969" s="2"/>
      <c r="W969" s="2"/>
      <c r="X969" t="s">
        <v>4329</v>
      </c>
      <c r="Y969">
        <v>2.32</v>
      </c>
      <c r="Z969">
        <v>3382.908</v>
      </c>
      <c r="AA969" s="2"/>
      <c r="AB969" s="2"/>
      <c r="AC969" t="s">
        <v>4305</v>
      </c>
      <c r="AD969">
        <v>1.84</v>
      </c>
      <c r="AE969">
        <v>3303.675</v>
      </c>
      <c r="AF969" s="2">
        <f t="shared" si="59"/>
        <v>-0.206896551724138</v>
      </c>
      <c r="AG969" s="2">
        <f t="shared" si="60"/>
        <v>-0.0234215651149838</v>
      </c>
      <c r="AH969" t="s">
        <v>927</v>
      </c>
      <c r="AI969" t="s">
        <v>4125</v>
      </c>
      <c r="AJ969" t="s">
        <v>625</v>
      </c>
    </row>
    <row r="970" hidden="1" spans="1:36">
      <c r="A970">
        <v>110038</v>
      </c>
      <c r="B970" t="s">
        <v>4333</v>
      </c>
      <c r="C970">
        <v>600566</v>
      </c>
      <c r="D970" t="s">
        <v>4334</v>
      </c>
      <c r="E970" t="s">
        <v>4335</v>
      </c>
      <c r="F970" t="s">
        <v>41</v>
      </c>
      <c r="G970" t="s">
        <v>4336</v>
      </c>
      <c r="H970" t="s">
        <v>621</v>
      </c>
      <c r="I970" t="s">
        <v>255</v>
      </c>
      <c r="J970" t="s">
        <v>255</v>
      </c>
      <c r="K970" t="s">
        <v>255</v>
      </c>
      <c r="L970" t="s">
        <v>41</v>
      </c>
      <c r="M970" t="s">
        <v>41</v>
      </c>
      <c r="N970" t="s">
        <v>255</v>
      </c>
      <c r="O970" t="s">
        <v>41</v>
      </c>
      <c r="P970" t="s">
        <v>41</v>
      </c>
      <c r="Q970" s="2"/>
      <c r="R970" s="2"/>
      <c r="S970" t="s">
        <v>255</v>
      </c>
      <c r="T970" t="s">
        <v>41</v>
      </c>
      <c r="U970" t="s">
        <v>41</v>
      </c>
      <c r="V970" s="2"/>
      <c r="W970" s="2"/>
      <c r="X970" t="s">
        <v>4336</v>
      </c>
      <c r="Y970">
        <v>33.59</v>
      </c>
      <c r="Z970">
        <v>3447.836</v>
      </c>
      <c r="AA970" s="2"/>
      <c r="AB970" s="2"/>
      <c r="AC970" t="s">
        <v>4337</v>
      </c>
      <c r="AD970">
        <v>27.3</v>
      </c>
      <c r="AE970">
        <v>3337.862</v>
      </c>
      <c r="AF970" s="2">
        <f t="shared" si="59"/>
        <v>-0.187258112533492</v>
      </c>
      <c r="AG970" s="2">
        <f t="shared" si="60"/>
        <v>-0.0318965287212036</v>
      </c>
      <c r="AH970" t="s">
        <v>4338</v>
      </c>
      <c r="AI970" t="s">
        <v>4339</v>
      </c>
      <c r="AJ970" t="s">
        <v>3077</v>
      </c>
    </row>
    <row r="971" hidden="1" spans="1:36">
      <c r="A971">
        <v>113502</v>
      </c>
      <c r="B971" t="s">
        <v>4340</v>
      </c>
      <c r="C971">
        <v>603822</v>
      </c>
      <c r="D971" t="s">
        <v>4341</v>
      </c>
      <c r="E971" t="s">
        <v>3664</v>
      </c>
      <c r="F971" t="s">
        <v>41</v>
      </c>
      <c r="G971" t="s">
        <v>4342</v>
      </c>
      <c r="H971" t="s">
        <v>621</v>
      </c>
      <c r="I971" t="s">
        <v>255</v>
      </c>
      <c r="J971" t="s">
        <v>255</v>
      </c>
      <c r="K971" t="s">
        <v>255</v>
      </c>
      <c r="L971" t="s">
        <v>41</v>
      </c>
      <c r="M971" t="s">
        <v>41</v>
      </c>
      <c r="N971" t="s">
        <v>255</v>
      </c>
      <c r="O971" t="s">
        <v>41</v>
      </c>
      <c r="P971" t="s">
        <v>41</v>
      </c>
      <c r="Q971" s="2"/>
      <c r="R971" s="2"/>
      <c r="S971" t="s">
        <v>255</v>
      </c>
      <c r="T971" t="s">
        <v>41</v>
      </c>
      <c r="U971" t="s">
        <v>41</v>
      </c>
      <c r="V971" s="2"/>
      <c r="W971" s="2"/>
      <c r="X971" t="s">
        <v>4342</v>
      </c>
      <c r="Y971">
        <v>45.55</v>
      </c>
      <c r="Z971">
        <v>3432.673</v>
      </c>
      <c r="AA971" s="2"/>
      <c r="AB971" s="2"/>
      <c r="AC971" t="s">
        <v>4343</v>
      </c>
      <c r="AD971">
        <v>37.47</v>
      </c>
      <c r="AE971">
        <v>3322.23</v>
      </c>
      <c r="AF971" s="2">
        <f t="shared" si="59"/>
        <v>-0.177387486278814</v>
      </c>
      <c r="AG971" s="2">
        <f t="shared" si="60"/>
        <v>-0.032174052116237</v>
      </c>
      <c r="AH971" t="s">
        <v>498</v>
      </c>
      <c r="AI971" t="s">
        <v>1387</v>
      </c>
      <c r="AJ971" t="s">
        <v>625</v>
      </c>
    </row>
    <row r="972" hidden="1" spans="1:36">
      <c r="A972">
        <v>128019</v>
      </c>
      <c r="B972" t="s">
        <v>4344</v>
      </c>
      <c r="C972">
        <v>2318</v>
      </c>
      <c r="D972" t="s">
        <v>4345</v>
      </c>
      <c r="E972" t="s">
        <v>2239</v>
      </c>
      <c r="F972" t="s">
        <v>41</v>
      </c>
      <c r="G972" t="s">
        <v>4346</v>
      </c>
      <c r="H972" t="s">
        <v>621</v>
      </c>
      <c r="I972" t="s">
        <v>255</v>
      </c>
      <c r="J972" t="s">
        <v>255</v>
      </c>
      <c r="K972" t="s">
        <v>255</v>
      </c>
      <c r="L972" t="s">
        <v>41</v>
      </c>
      <c r="M972" t="s">
        <v>41</v>
      </c>
      <c r="N972" t="s">
        <v>255</v>
      </c>
      <c r="O972" t="s">
        <v>41</v>
      </c>
      <c r="P972" t="s">
        <v>41</v>
      </c>
      <c r="Q972" s="2"/>
      <c r="R972" s="2"/>
      <c r="S972" t="s">
        <v>255</v>
      </c>
      <c r="T972" t="s">
        <v>41</v>
      </c>
      <c r="U972" t="s">
        <v>41</v>
      </c>
      <c r="V972" s="2"/>
      <c r="W972" s="2"/>
      <c r="X972" t="s">
        <v>4346</v>
      </c>
      <c r="Y972">
        <v>4.94</v>
      </c>
      <c r="Z972">
        <v>3415.46</v>
      </c>
      <c r="AA972" s="2"/>
      <c r="AB972" s="2"/>
      <c r="AC972" t="s">
        <v>4314</v>
      </c>
      <c r="AD972">
        <v>4.58</v>
      </c>
      <c r="AE972">
        <v>3317.617</v>
      </c>
      <c r="AF972" s="2">
        <f t="shared" si="59"/>
        <v>-0.0728744939271256</v>
      </c>
      <c r="AG972" s="2">
        <f t="shared" si="60"/>
        <v>-0.0286470929245255</v>
      </c>
      <c r="AH972" t="s">
        <v>1022</v>
      </c>
      <c r="AI972" t="s">
        <v>2761</v>
      </c>
      <c r="AJ972" t="s">
        <v>625</v>
      </c>
    </row>
    <row r="973" hidden="1" spans="1:36">
      <c r="A973">
        <v>113016</v>
      </c>
      <c r="B973" t="s">
        <v>4347</v>
      </c>
      <c r="C973">
        <v>601127</v>
      </c>
      <c r="D973" t="s">
        <v>4348</v>
      </c>
      <c r="E973" t="s">
        <v>155</v>
      </c>
      <c r="F973" t="s">
        <v>41</v>
      </c>
      <c r="G973" t="s">
        <v>4349</v>
      </c>
      <c r="H973" t="s">
        <v>621</v>
      </c>
      <c r="I973" t="s">
        <v>255</v>
      </c>
      <c r="J973" t="s">
        <v>255</v>
      </c>
      <c r="K973" t="s">
        <v>255</v>
      </c>
      <c r="L973" t="s">
        <v>41</v>
      </c>
      <c r="M973" t="s">
        <v>41</v>
      </c>
      <c r="N973" t="s">
        <v>255</v>
      </c>
      <c r="O973" t="s">
        <v>41</v>
      </c>
      <c r="P973" t="s">
        <v>41</v>
      </c>
      <c r="Q973" s="2"/>
      <c r="R973" s="2"/>
      <c r="S973" t="s">
        <v>255</v>
      </c>
      <c r="T973" t="s">
        <v>41</v>
      </c>
      <c r="U973" t="s">
        <v>41</v>
      </c>
      <c r="V973" s="2"/>
      <c r="W973" s="2"/>
      <c r="X973" t="s">
        <v>4349</v>
      </c>
      <c r="Y973">
        <v>21.95</v>
      </c>
      <c r="Z973">
        <v>3388.174</v>
      </c>
      <c r="AA973" s="2"/>
      <c r="AB973" s="2"/>
      <c r="AC973" t="s">
        <v>4350</v>
      </c>
      <c r="AD973">
        <v>20.19</v>
      </c>
      <c r="AE973">
        <v>3410.498</v>
      </c>
      <c r="AF973" s="2">
        <f t="shared" si="59"/>
        <v>-0.0801822323462414</v>
      </c>
      <c r="AG973" s="2">
        <f t="shared" si="60"/>
        <v>0.00658879974877325</v>
      </c>
      <c r="AH973" t="s">
        <v>3658</v>
      </c>
      <c r="AI973" t="s">
        <v>1087</v>
      </c>
      <c r="AJ973" t="s">
        <v>625</v>
      </c>
    </row>
    <row r="974" hidden="1" spans="1:36">
      <c r="A974">
        <v>128018</v>
      </c>
      <c r="B974" t="s">
        <v>4351</v>
      </c>
      <c r="C974">
        <v>2527</v>
      </c>
      <c r="D974" t="s">
        <v>4352</v>
      </c>
      <c r="E974" t="s">
        <v>4353</v>
      </c>
      <c r="F974" t="s">
        <v>41</v>
      </c>
      <c r="G974" t="s">
        <v>4349</v>
      </c>
      <c r="H974" t="s">
        <v>621</v>
      </c>
      <c r="I974" t="s">
        <v>255</v>
      </c>
      <c r="J974" t="s">
        <v>255</v>
      </c>
      <c r="K974" t="s">
        <v>255</v>
      </c>
      <c r="L974" t="s">
        <v>41</v>
      </c>
      <c r="M974" t="s">
        <v>41</v>
      </c>
      <c r="N974" t="s">
        <v>255</v>
      </c>
      <c r="O974" t="s">
        <v>41</v>
      </c>
      <c r="P974" t="s">
        <v>41</v>
      </c>
      <c r="Q974" s="2"/>
      <c r="R974" s="2"/>
      <c r="S974" t="s">
        <v>255</v>
      </c>
      <c r="T974" t="s">
        <v>41</v>
      </c>
      <c r="U974" t="s">
        <v>41</v>
      </c>
      <c r="V974" s="2"/>
      <c r="W974" s="2"/>
      <c r="X974" t="s">
        <v>4349</v>
      </c>
      <c r="Y974">
        <v>11.51</v>
      </c>
      <c r="Z974">
        <v>3388.174</v>
      </c>
      <c r="AA974" s="2"/>
      <c r="AB974" s="2"/>
      <c r="AC974" t="s">
        <v>4310</v>
      </c>
      <c r="AD974">
        <v>10.16</v>
      </c>
      <c r="AE974">
        <v>3309.618</v>
      </c>
      <c r="AF974" s="2">
        <f t="shared" si="59"/>
        <v>-0.117289313640313</v>
      </c>
      <c r="AG974" s="2">
        <f t="shared" si="60"/>
        <v>-0.0231853499849772</v>
      </c>
      <c r="AH974" t="s">
        <v>3658</v>
      </c>
      <c r="AI974" t="s">
        <v>2305</v>
      </c>
      <c r="AJ974" t="s">
        <v>625</v>
      </c>
    </row>
    <row r="975" hidden="1" spans="1:36">
      <c r="A975">
        <v>113015</v>
      </c>
      <c r="B975" t="s">
        <v>4354</v>
      </c>
      <c r="C975">
        <v>601012</v>
      </c>
      <c r="D975" t="s">
        <v>2168</v>
      </c>
      <c r="E975" t="s">
        <v>804</v>
      </c>
      <c r="F975" t="s">
        <v>41</v>
      </c>
      <c r="G975" t="s">
        <v>4355</v>
      </c>
      <c r="H975" t="s">
        <v>621</v>
      </c>
      <c r="I975" t="s">
        <v>255</v>
      </c>
      <c r="J975" t="s">
        <v>255</v>
      </c>
      <c r="K975" t="s">
        <v>255</v>
      </c>
      <c r="L975" t="s">
        <v>41</v>
      </c>
      <c r="M975" t="s">
        <v>41</v>
      </c>
      <c r="N975" t="s">
        <v>255</v>
      </c>
      <c r="O975" t="s">
        <v>41</v>
      </c>
      <c r="P975" t="s">
        <v>41</v>
      </c>
      <c r="Q975" s="2"/>
      <c r="R975" s="2"/>
      <c r="S975" t="s">
        <v>255</v>
      </c>
      <c r="T975" t="s">
        <v>41</v>
      </c>
      <c r="U975" t="s">
        <v>41</v>
      </c>
      <c r="V975" s="2"/>
      <c r="W975" s="2"/>
      <c r="X975" t="s">
        <v>4355</v>
      </c>
      <c r="Y975">
        <v>8.28</v>
      </c>
      <c r="Z975">
        <v>3383.31</v>
      </c>
      <c r="AA975" s="2"/>
      <c r="AB975" s="2"/>
      <c r="AC975" t="s">
        <v>4356</v>
      </c>
      <c r="AD975">
        <v>10.87</v>
      </c>
      <c r="AE975">
        <v>3392.399</v>
      </c>
      <c r="AF975" s="2">
        <f t="shared" si="59"/>
        <v>0.31280193236715</v>
      </c>
      <c r="AG975" s="2">
        <f t="shared" si="60"/>
        <v>0.00268642246793819</v>
      </c>
      <c r="AH975" t="s">
        <v>4357</v>
      </c>
      <c r="AI975" t="s">
        <v>4358</v>
      </c>
      <c r="AJ975" t="s">
        <v>625</v>
      </c>
    </row>
    <row r="976" hidden="1" spans="1:36">
      <c r="A976">
        <v>128017</v>
      </c>
      <c r="B976" t="s">
        <v>4359</v>
      </c>
      <c r="C976">
        <v>2597</v>
      </c>
      <c r="D976" t="s">
        <v>4360</v>
      </c>
      <c r="E976" t="s">
        <v>1114</v>
      </c>
      <c r="F976" t="s">
        <v>41</v>
      </c>
      <c r="G976" t="s">
        <v>4361</v>
      </c>
      <c r="H976" t="s">
        <v>621</v>
      </c>
      <c r="I976" t="s">
        <v>255</v>
      </c>
      <c r="J976" t="s">
        <v>255</v>
      </c>
      <c r="K976" t="s">
        <v>255</v>
      </c>
      <c r="L976" t="s">
        <v>41</v>
      </c>
      <c r="M976" t="s">
        <v>41</v>
      </c>
      <c r="N976" t="s">
        <v>255</v>
      </c>
      <c r="O976" t="s">
        <v>41</v>
      </c>
      <c r="P976" t="s">
        <v>41</v>
      </c>
      <c r="Q976" s="2"/>
      <c r="R976" s="2"/>
      <c r="S976" t="s">
        <v>255</v>
      </c>
      <c r="T976" t="s">
        <v>41</v>
      </c>
      <c r="U976" t="s">
        <v>41</v>
      </c>
      <c r="V976" s="2"/>
      <c r="W976" s="2"/>
      <c r="X976" t="s">
        <v>4361</v>
      </c>
      <c r="Y976">
        <v>19.38</v>
      </c>
      <c r="Z976">
        <v>3395.913</v>
      </c>
      <c r="AA976" s="2"/>
      <c r="AB976" s="2"/>
      <c r="AC976" t="s">
        <v>4343</v>
      </c>
      <c r="AD976">
        <v>20.32</v>
      </c>
      <c r="AE976">
        <v>3322.23</v>
      </c>
      <c r="AF976" s="2">
        <f t="shared" si="59"/>
        <v>0.0485036119711043</v>
      </c>
      <c r="AG976" s="2">
        <f t="shared" si="60"/>
        <v>-0.0216975523224535</v>
      </c>
      <c r="AH976" t="s">
        <v>4357</v>
      </c>
      <c r="AI976" t="s">
        <v>717</v>
      </c>
      <c r="AJ976" t="s">
        <v>3077</v>
      </c>
    </row>
    <row r="977" hidden="1" spans="1:36">
      <c r="A977">
        <v>113014</v>
      </c>
      <c r="B977" t="s">
        <v>4362</v>
      </c>
      <c r="C977">
        <v>601222</v>
      </c>
      <c r="D977" t="s">
        <v>4363</v>
      </c>
      <c r="E977" t="s">
        <v>325</v>
      </c>
      <c r="F977" t="s">
        <v>41</v>
      </c>
      <c r="G977" t="s">
        <v>4364</v>
      </c>
      <c r="H977" t="s">
        <v>621</v>
      </c>
      <c r="I977" t="s">
        <v>255</v>
      </c>
      <c r="J977" t="s">
        <v>255</v>
      </c>
      <c r="K977" t="s">
        <v>255</v>
      </c>
      <c r="L977" t="s">
        <v>41</v>
      </c>
      <c r="M977" t="s">
        <v>41</v>
      </c>
      <c r="N977" t="s">
        <v>255</v>
      </c>
      <c r="O977" t="s">
        <v>41</v>
      </c>
      <c r="P977" t="s">
        <v>41</v>
      </c>
      <c r="Q977" s="2"/>
      <c r="R977" s="2"/>
      <c r="S977" t="s">
        <v>255</v>
      </c>
      <c r="T977" t="s">
        <v>41</v>
      </c>
      <c r="U977" t="s">
        <v>41</v>
      </c>
      <c r="V977" s="2"/>
      <c r="W977" s="2"/>
      <c r="X977" t="s">
        <v>4364</v>
      </c>
      <c r="Y977">
        <v>7.5</v>
      </c>
      <c r="Z977">
        <v>3416.812</v>
      </c>
      <c r="AA977" s="2"/>
      <c r="AB977" s="2"/>
      <c r="AC977" t="s">
        <v>4336</v>
      </c>
      <c r="AD977">
        <v>9.64</v>
      </c>
      <c r="AE977">
        <v>3447.836</v>
      </c>
      <c r="AF977" s="2">
        <f t="shared" si="59"/>
        <v>0.285333333333333</v>
      </c>
      <c r="AG977" s="2">
        <f t="shared" si="60"/>
        <v>0.0090798088978849</v>
      </c>
      <c r="AH977" t="s">
        <v>717</v>
      </c>
      <c r="AI977" t="s">
        <v>4365</v>
      </c>
      <c r="AJ977" t="s">
        <v>625</v>
      </c>
    </row>
    <row r="978" hidden="1" spans="1:36">
      <c r="A978">
        <v>128016</v>
      </c>
      <c r="B978" t="s">
        <v>4366</v>
      </c>
      <c r="C978">
        <v>2271</v>
      </c>
      <c r="D978" t="s">
        <v>4367</v>
      </c>
      <c r="E978" t="s">
        <v>4368</v>
      </c>
      <c r="F978" t="s">
        <v>41</v>
      </c>
      <c r="G978" t="s">
        <v>4369</v>
      </c>
      <c r="H978" t="s">
        <v>621</v>
      </c>
      <c r="I978" t="s">
        <v>255</v>
      </c>
      <c r="J978" t="s">
        <v>255</v>
      </c>
      <c r="K978" t="s">
        <v>255</v>
      </c>
      <c r="L978" t="s">
        <v>41</v>
      </c>
      <c r="M978" t="s">
        <v>41</v>
      </c>
      <c r="N978" t="s">
        <v>255</v>
      </c>
      <c r="O978" t="s">
        <v>41</v>
      </c>
      <c r="P978" t="s">
        <v>41</v>
      </c>
      <c r="Q978" s="2"/>
      <c r="R978" s="2"/>
      <c r="S978" t="s">
        <v>255</v>
      </c>
      <c r="T978" t="s">
        <v>41</v>
      </c>
      <c r="U978" t="s">
        <v>41</v>
      </c>
      <c r="V978" s="2"/>
      <c r="W978" s="2"/>
      <c r="X978" t="s">
        <v>4369</v>
      </c>
      <c r="Y978">
        <v>11.62</v>
      </c>
      <c r="Z978">
        <v>3341.549</v>
      </c>
      <c r="AA978" s="2"/>
      <c r="AB978" s="2"/>
      <c r="AC978" t="s">
        <v>4370</v>
      </c>
      <c r="AD978">
        <v>10.85</v>
      </c>
      <c r="AE978">
        <v>3378.648</v>
      </c>
      <c r="AF978" s="2">
        <f t="shared" si="59"/>
        <v>-0.0662650602409638</v>
      </c>
      <c r="AG978" s="2">
        <f t="shared" si="60"/>
        <v>0.0111023360722827</v>
      </c>
      <c r="AH978" t="s">
        <v>3345</v>
      </c>
      <c r="AI978" t="s">
        <v>4371</v>
      </c>
      <c r="AJ978" t="s">
        <v>625</v>
      </c>
    </row>
    <row r="979" hidden="1" spans="1:36">
      <c r="A979">
        <v>113013</v>
      </c>
      <c r="B979" t="s">
        <v>4372</v>
      </c>
      <c r="C979">
        <v>601211</v>
      </c>
      <c r="D979" t="s">
        <v>4373</v>
      </c>
      <c r="E979" t="s">
        <v>1953</v>
      </c>
      <c r="F979" t="s">
        <v>41</v>
      </c>
      <c r="G979" t="s">
        <v>4374</v>
      </c>
      <c r="H979" t="s">
        <v>621</v>
      </c>
      <c r="I979" t="s">
        <v>255</v>
      </c>
      <c r="J979" t="s">
        <v>255</v>
      </c>
      <c r="K979" t="s">
        <v>255</v>
      </c>
      <c r="L979" t="s">
        <v>41</v>
      </c>
      <c r="M979" t="s">
        <v>41</v>
      </c>
      <c r="N979" t="s">
        <v>255</v>
      </c>
      <c r="O979" t="s">
        <v>41</v>
      </c>
      <c r="P979" t="s">
        <v>41</v>
      </c>
      <c r="Q979" s="2"/>
      <c r="R979" s="2"/>
      <c r="S979" t="s">
        <v>255</v>
      </c>
      <c r="T979" t="s">
        <v>41</v>
      </c>
      <c r="U979" t="s">
        <v>41</v>
      </c>
      <c r="V979" s="2"/>
      <c r="W979" s="2"/>
      <c r="X979" t="s">
        <v>4374</v>
      </c>
      <c r="Y979">
        <v>16.5</v>
      </c>
      <c r="Z979">
        <v>3217.957</v>
      </c>
      <c r="AA979" s="2"/>
      <c r="AB979" s="2"/>
      <c r="AC979" t="s">
        <v>4375</v>
      </c>
      <c r="AD979">
        <v>17.1</v>
      </c>
      <c r="AE979">
        <v>3250.599</v>
      </c>
      <c r="AF979" s="2">
        <f t="shared" si="59"/>
        <v>0.0363636363636365</v>
      </c>
      <c r="AG979" s="2">
        <f t="shared" si="60"/>
        <v>0.0101437029767645</v>
      </c>
      <c r="AH979" t="s">
        <v>681</v>
      </c>
      <c r="AI979" t="s">
        <v>1217</v>
      </c>
      <c r="AJ979" t="s">
        <v>3077</v>
      </c>
    </row>
    <row r="980" hidden="1" spans="1:36">
      <c r="A980">
        <v>128015</v>
      </c>
      <c r="B980" t="s">
        <v>4376</v>
      </c>
      <c r="C980">
        <v>2279</v>
      </c>
      <c r="D980" t="s">
        <v>4377</v>
      </c>
      <c r="E980" t="s">
        <v>2752</v>
      </c>
      <c r="F980" t="s">
        <v>41</v>
      </c>
      <c r="G980" t="s">
        <v>4378</v>
      </c>
      <c r="H980" t="s">
        <v>621</v>
      </c>
      <c r="I980" t="s">
        <v>255</v>
      </c>
      <c r="J980" t="s">
        <v>255</v>
      </c>
      <c r="K980" t="s">
        <v>255</v>
      </c>
      <c r="L980" t="s">
        <v>41</v>
      </c>
      <c r="M980" t="s">
        <v>41</v>
      </c>
      <c r="N980" t="s">
        <v>255</v>
      </c>
      <c r="O980" t="s">
        <v>41</v>
      </c>
      <c r="P980" t="s">
        <v>41</v>
      </c>
      <c r="Q980" s="2"/>
      <c r="R980" s="2"/>
      <c r="S980" t="s">
        <v>255</v>
      </c>
      <c r="T980" t="s">
        <v>41</v>
      </c>
      <c r="U980" t="s">
        <v>41</v>
      </c>
      <c r="V980" s="2"/>
      <c r="W980" s="2"/>
      <c r="X980" t="s">
        <v>4378</v>
      </c>
      <c r="Y980">
        <v>12.67</v>
      </c>
      <c r="Z980">
        <v>3150.334</v>
      </c>
      <c r="AA980" s="2"/>
      <c r="AB980" s="2"/>
      <c r="AC980" t="s">
        <v>4379</v>
      </c>
      <c r="AD980">
        <v>12.74</v>
      </c>
      <c r="AE980">
        <v>3191.197</v>
      </c>
      <c r="AF980" s="2">
        <f t="shared" si="59"/>
        <v>0.00552486187845306</v>
      </c>
      <c r="AG980" s="2">
        <f t="shared" si="60"/>
        <v>0.012971005614008</v>
      </c>
      <c r="AH980" t="s">
        <v>771</v>
      </c>
      <c r="AI980" t="s">
        <v>1560</v>
      </c>
      <c r="AJ980" t="s">
        <v>625</v>
      </c>
    </row>
    <row r="981" hidden="1" spans="1:36">
      <c r="A981">
        <v>127004</v>
      </c>
      <c r="B981" t="s">
        <v>4380</v>
      </c>
      <c r="C981">
        <v>700</v>
      </c>
      <c r="D981" t="s">
        <v>4381</v>
      </c>
      <c r="E981" t="s">
        <v>4382</v>
      </c>
      <c r="F981" t="s">
        <v>41</v>
      </c>
      <c r="G981" t="s">
        <v>4383</v>
      </c>
      <c r="H981" t="s">
        <v>621</v>
      </c>
      <c r="I981" t="s">
        <v>255</v>
      </c>
      <c r="J981" t="s">
        <v>255</v>
      </c>
      <c r="K981" t="s">
        <v>255</v>
      </c>
      <c r="L981" t="s">
        <v>41</v>
      </c>
      <c r="M981" t="s">
        <v>41</v>
      </c>
      <c r="N981" t="s">
        <v>255</v>
      </c>
      <c r="O981" t="s">
        <v>41</v>
      </c>
      <c r="P981" t="s">
        <v>41</v>
      </c>
      <c r="Q981" s="2"/>
      <c r="R981" s="2"/>
      <c r="S981" t="s">
        <v>255</v>
      </c>
      <c r="T981" t="s">
        <v>41</v>
      </c>
      <c r="U981" t="s">
        <v>41</v>
      </c>
      <c r="V981" s="2"/>
      <c r="W981" s="2"/>
      <c r="X981" t="s">
        <v>4383</v>
      </c>
      <c r="Y981">
        <v>5.52</v>
      </c>
      <c r="Z981">
        <v>3105.54</v>
      </c>
      <c r="AA981" s="2"/>
      <c r="AB981" s="2"/>
      <c r="AC981" t="s">
        <v>4384</v>
      </c>
      <c r="AD981">
        <v>6.49</v>
      </c>
      <c r="AE981">
        <v>3185.444</v>
      </c>
      <c r="AF981" s="2">
        <f t="shared" si="59"/>
        <v>0.17572463768116</v>
      </c>
      <c r="AG981" s="2">
        <f t="shared" si="60"/>
        <v>0.0257295027595845</v>
      </c>
      <c r="AH981" t="s">
        <v>1178</v>
      </c>
      <c r="AI981" t="s">
        <v>1223</v>
      </c>
      <c r="AJ981" t="s">
        <v>3077</v>
      </c>
    </row>
    <row r="982" hidden="1" spans="1:36">
      <c r="A982">
        <v>128014</v>
      </c>
      <c r="B982" t="s">
        <v>4385</v>
      </c>
      <c r="C982">
        <v>2753</v>
      </c>
      <c r="D982" t="s">
        <v>2028</v>
      </c>
      <c r="E982" t="s">
        <v>1531</v>
      </c>
      <c r="F982" t="s">
        <v>41</v>
      </c>
      <c r="G982" t="s">
        <v>4386</v>
      </c>
      <c r="H982" t="s">
        <v>621</v>
      </c>
      <c r="I982" t="s">
        <v>255</v>
      </c>
      <c r="J982" t="s">
        <v>255</v>
      </c>
      <c r="K982" t="s">
        <v>255</v>
      </c>
      <c r="L982" t="s">
        <v>41</v>
      </c>
      <c r="M982" t="s">
        <v>41</v>
      </c>
      <c r="N982" t="s">
        <v>255</v>
      </c>
      <c r="O982" t="s">
        <v>41</v>
      </c>
      <c r="P982" t="s">
        <v>41</v>
      </c>
      <c r="Q982" s="2"/>
      <c r="R982" s="2"/>
      <c r="S982" t="s">
        <v>255</v>
      </c>
      <c r="T982" t="s">
        <v>41</v>
      </c>
      <c r="U982" t="s">
        <v>41</v>
      </c>
      <c r="V982" s="2"/>
      <c r="W982" s="2"/>
      <c r="X982" t="s">
        <v>4386</v>
      </c>
      <c r="Y982">
        <v>10.73</v>
      </c>
      <c r="Z982">
        <v>3222.167</v>
      </c>
      <c r="AA982" s="2"/>
      <c r="AB982" s="2"/>
      <c r="AC982" t="s">
        <v>4387</v>
      </c>
      <c r="AD982">
        <v>9.82</v>
      </c>
      <c r="AE982">
        <v>3083.513</v>
      </c>
      <c r="AF982" s="2">
        <f t="shared" si="59"/>
        <v>-0.0848089468779124</v>
      </c>
      <c r="AG982" s="2">
        <f t="shared" si="60"/>
        <v>-0.0430312891914044</v>
      </c>
      <c r="AH982" t="s">
        <v>1266</v>
      </c>
      <c r="AI982" t="s">
        <v>952</v>
      </c>
      <c r="AJ982" t="s">
        <v>3077</v>
      </c>
    </row>
    <row r="983" hidden="1" spans="1:36">
      <c r="A983">
        <v>113012</v>
      </c>
      <c r="B983" t="s">
        <v>4388</v>
      </c>
      <c r="C983">
        <v>601311</v>
      </c>
      <c r="D983" t="s">
        <v>4389</v>
      </c>
      <c r="E983" t="s">
        <v>4390</v>
      </c>
      <c r="F983" t="s">
        <v>41</v>
      </c>
      <c r="G983" t="s">
        <v>4391</v>
      </c>
      <c r="H983" t="s">
        <v>621</v>
      </c>
      <c r="I983" t="s">
        <v>255</v>
      </c>
      <c r="J983" t="s">
        <v>255</v>
      </c>
      <c r="K983" t="s">
        <v>255</v>
      </c>
      <c r="L983" t="s">
        <v>41</v>
      </c>
      <c r="M983" t="s">
        <v>41</v>
      </c>
      <c r="N983" t="s">
        <v>255</v>
      </c>
      <c r="O983" t="s">
        <v>41</v>
      </c>
      <c r="P983" t="s">
        <v>41</v>
      </c>
      <c r="Q983" s="2"/>
      <c r="R983" s="2"/>
      <c r="S983" t="s">
        <v>255</v>
      </c>
      <c r="T983" t="s">
        <v>41</v>
      </c>
      <c r="U983" t="s">
        <v>41</v>
      </c>
      <c r="V983" s="2"/>
      <c r="W983" s="2"/>
      <c r="X983" t="s">
        <v>4391</v>
      </c>
      <c r="Y983">
        <v>11.04</v>
      </c>
      <c r="Z983">
        <v>3269.445</v>
      </c>
      <c r="AA983" s="2"/>
      <c r="AB983" s="2"/>
      <c r="AC983" t="s">
        <v>4392</v>
      </c>
      <c r="AD983">
        <v>11.33</v>
      </c>
      <c r="AE983">
        <v>3275.96</v>
      </c>
      <c r="AF983" s="2">
        <f t="shared" si="59"/>
        <v>0.0262681159420291</v>
      </c>
      <c r="AG983" s="2">
        <f t="shared" si="60"/>
        <v>0.00199269294941492</v>
      </c>
      <c r="AH983" t="s">
        <v>77</v>
      </c>
      <c r="AI983" t="s">
        <v>4393</v>
      </c>
      <c r="AJ983" t="s">
        <v>625</v>
      </c>
    </row>
    <row r="984" hidden="1" spans="1:36">
      <c r="A984">
        <v>113011</v>
      </c>
      <c r="B984" t="s">
        <v>4394</v>
      </c>
      <c r="C984">
        <v>601818</v>
      </c>
      <c r="D984" t="s">
        <v>4395</v>
      </c>
      <c r="E984" t="s">
        <v>4396</v>
      </c>
      <c r="F984" t="s">
        <v>41</v>
      </c>
      <c r="G984" t="s">
        <v>4397</v>
      </c>
      <c r="H984" t="s">
        <v>621</v>
      </c>
      <c r="I984" t="s">
        <v>255</v>
      </c>
      <c r="J984" t="s">
        <v>255</v>
      </c>
      <c r="K984" t="s">
        <v>255</v>
      </c>
      <c r="L984" t="s">
        <v>41</v>
      </c>
      <c r="M984" t="s">
        <v>41</v>
      </c>
      <c r="N984" t="s">
        <v>255</v>
      </c>
      <c r="O984" t="s">
        <v>41</v>
      </c>
      <c r="P984" t="s">
        <v>41</v>
      </c>
      <c r="Q984" s="2"/>
      <c r="R984" s="2"/>
      <c r="S984" t="s">
        <v>255</v>
      </c>
      <c r="T984" t="s">
        <v>41</v>
      </c>
      <c r="U984" t="s">
        <v>41</v>
      </c>
      <c r="V984" s="2"/>
      <c r="W984" s="2"/>
      <c r="X984" t="s">
        <v>4397</v>
      </c>
      <c r="Y984">
        <v>2.5</v>
      </c>
      <c r="Z984">
        <v>3237.447</v>
      </c>
      <c r="AA984" s="2"/>
      <c r="AB984" s="2"/>
      <c r="AC984" t="s">
        <v>4398</v>
      </c>
      <c r="AD984">
        <v>2.49</v>
      </c>
      <c r="AE984">
        <v>3270.305</v>
      </c>
      <c r="AF984" s="2">
        <f t="shared" si="59"/>
        <v>-0.00399999999999992</v>
      </c>
      <c r="AG984" s="2">
        <f t="shared" si="60"/>
        <v>0.0101493553407978</v>
      </c>
      <c r="AH984" t="s">
        <v>1330</v>
      </c>
      <c r="AI984" t="s">
        <v>4399</v>
      </c>
      <c r="AJ984" t="s">
        <v>3077</v>
      </c>
    </row>
    <row r="985" hidden="1" spans="1:36">
      <c r="A985" t="s">
        <v>41</v>
      </c>
      <c r="B985" t="s">
        <v>41</v>
      </c>
      <c r="C985">
        <v>300863</v>
      </c>
      <c r="D985" t="s">
        <v>864</v>
      </c>
      <c r="E985" t="s">
        <v>1114</v>
      </c>
      <c r="F985" t="s">
        <v>41</v>
      </c>
      <c r="G985" t="s">
        <v>4400</v>
      </c>
      <c r="H985" t="s">
        <v>126</v>
      </c>
      <c r="I985" t="s">
        <v>453</v>
      </c>
      <c r="J985" t="s">
        <v>4401</v>
      </c>
      <c r="K985" t="s">
        <v>4400</v>
      </c>
      <c r="L985">
        <v>36.08</v>
      </c>
      <c r="M985">
        <v>3510.177</v>
      </c>
      <c r="N985" t="s">
        <v>41</v>
      </c>
      <c r="O985" t="s">
        <v>41</v>
      </c>
      <c r="P985" t="s">
        <v>41</v>
      </c>
      <c r="Q985" s="2"/>
      <c r="R985" s="2"/>
      <c r="S985" t="s">
        <v>41</v>
      </c>
      <c r="T985" t="s">
        <v>41</v>
      </c>
      <c r="U985" t="s">
        <v>41</v>
      </c>
      <c r="V985" s="2"/>
      <c r="W985" s="2"/>
      <c r="X985" t="s">
        <v>41</v>
      </c>
      <c r="Y985" t="s">
        <v>41</v>
      </c>
      <c r="Z985" t="s">
        <v>41</v>
      </c>
      <c r="AA985" s="2"/>
      <c r="AB985" s="2"/>
      <c r="AC985" t="s">
        <v>41</v>
      </c>
      <c r="AD985" t="s">
        <v>41</v>
      </c>
      <c r="AE985" t="s">
        <v>41</v>
      </c>
      <c r="AF985" s="2"/>
      <c r="AG985" s="2"/>
      <c r="AH985" t="s">
        <v>41</v>
      </c>
      <c r="AI985" t="s">
        <v>41</v>
      </c>
      <c r="AJ985" t="s">
        <v>41</v>
      </c>
    </row>
    <row r="986" spans="1:36">
      <c r="A986">
        <v>111024</v>
      </c>
      <c r="B986" t="s">
        <v>4402</v>
      </c>
      <c r="C986">
        <v>605058</v>
      </c>
      <c r="D986" s="6" t="s">
        <v>4403</v>
      </c>
      <c r="E986" t="s">
        <v>4404</v>
      </c>
      <c r="F986" t="s">
        <v>56</v>
      </c>
      <c r="G986" t="s">
        <v>281</v>
      </c>
      <c r="H986" t="s">
        <v>4405</v>
      </c>
      <c r="I986" t="s">
        <v>4406</v>
      </c>
      <c r="J986" t="s">
        <v>4407</v>
      </c>
      <c r="K986" t="s">
        <v>430</v>
      </c>
      <c r="L986">
        <v>20.28</v>
      </c>
      <c r="M986">
        <v>3276.73</v>
      </c>
      <c r="N986" t="s">
        <v>72</v>
      </c>
      <c r="O986">
        <v>28.71</v>
      </c>
      <c r="P986">
        <v>3913.758</v>
      </c>
      <c r="Q986" s="1">
        <f>(O986-L986)/L986</f>
        <v>0.415680473372781</v>
      </c>
      <c r="R986" s="1">
        <f>(P986-M986)/M986</f>
        <v>0.194409670616743</v>
      </c>
      <c r="S986" t="s">
        <v>51</v>
      </c>
      <c r="T986">
        <v>27.76</v>
      </c>
      <c r="U986">
        <v>3834.891</v>
      </c>
      <c r="V986" s="1">
        <f>(T986-O986)/O986</f>
        <v>-0.0330895158481365</v>
      </c>
      <c r="W986" s="1">
        <f>(U986-P986)/P986</f>
        <v>-0.0201512203871572</v>
      </c>
      <c r="X986" t="s">
        <v>281</v>
      </c>
      <c r="Y986">
        <v>30.57</v>
      </c>
      <c r="Z986">
        <v>3873.318</v>
      </c>
      <c r="AA986" s="2">
        <f>(Y986-T986)/T986</f>
        <v>0.101224783861671</v>
      </c>
      <c r="AB986" s="2">
        <f>(Z986-U986)/U986</f>
        <v>0.0100203630298749</v>
      </c>
      <c r="AC986" t="s">
        <v>41</v>
      </c>
      <c r="AD986" t="s">
        <v>41</v>
      </c>
      <c r="AE986" t="s">
        <v>41</v>
      </c>
      <c r="AF986" s="2"/>
      <c r="AG986" s="2"/>
      <c r="AH986" t="s">
        <v>4408</v>
      </c>
      <c r="AI986" t="s">
        <v>41</v>
      </c>
      <c r="AJ986" t="s">
        <v>41</v>
      </c>
    </row>
    <row r="987" spans="1:36">
      <c r="A987">
        <v>123262</v>
      </c>
      <c r="B987" t="s">
        <v>4409</v>
      </c>
      <c r="C987">
        <v>300563</v>
      </c>
      <c r="D987" t="s">
        <v>4410</v>
      </c>
      <c r="E987" t="s">
        <v>522</v>
      </c>
      <c r="F987" t="s">
        <v>56</v>
      </c>
      <c r="G987" t="s">
        <v>281</v>
      </c>
      <c r="H987" t="s">
        <v>33</v>
      </c>
      <c r="I987" t="s">
        <v>544</v>
      </c>
      <c r="J987" t="s">
        <v>329</v>
      </c>
      <c r="K987" t="s">
        <v>439</v>
      </c>
      <c r="L987">
        <v>40.19</v>
      </c>
      <c r="M987">
        <v>3472.319</v>
      </c>
      <c r="N987" t="s">
        <v>293</v>
      </c>
      <c r="O987">
        <v>40.42</v>
      </c>
      <c r="P987">
        <v>3820.089</v>
      </c>
      <c r="Q987" s="1">
        <f>(O987-L987)/L987</f>
        <v>0.00572281662105011</v>
      </c>
      <c r="R987" s="1">
        <f>(P987-M987)/M987</f>
        <v>0.100154968480719</v>
      </c>
      <c r="S987" t="s">
        <v>288</v>
      </c>
      <c r="T987">
        <v>38.33</v>
      </c>
      <c r="U987">
        <v>3976.521</v>
      </c>
      <c r="V987" s="1">
        <f>(T987-O987)/O987</f>
        <v>-0.0517070757050966</v>
      </c>
      <c r="W987" s="1">
        <f>(U987-P987)/P987</f>
        <v>0.0409498312735646</v>
      </c>
      <c r="X987" t="s">
        <v>281</v>
      </c>
      <c r="Y987">
        <v>36.07</v>
      </c>
      <c r="Z987">
        <v>3873.318</v>
      </c>
      <c r="AA987" s="2">
        <f>(Y987-T987)/T987</f>
        <v>-0.0589616488390294</v>
      </c>
      <c r="AB987" s="2">
        <f>(Z987-U987)/U987</f>
        <v>-0.0259530881391045</v>
      </c>
      <c r="AC987" t="s">
        <v>659</v>
      </c>
      <c r="AD987">
        <v>37.01</v>
      </c>
      <c r="AE987">
        <v>3965.116</v>
      </c>
      <c r="AF987" s="2">
        <f t="shared" si="59"/>
        <v>0.0260604380371499</v>
      </c>
      <c r="AG987" s="2">
        <f t="shared" si="60"/>
        <v>0.0237000938213696</v>
      </c>
      <c r="AH987" t="s">
        <v>4408</v>
      </c>
      <c r="AI987" t="s">
        <v>41</v>
      </c>
      <c r="AJ987" t="s">
        <v>41</v>
      </c>
    </row>
    <row r="988" spans="1:36">
      <c r="A988">
        <v>123263</v>
      </c>
      <c r="B988" t="s">
        <v>4411</v>
      </c>
      <c r="C988">
        <v>300378</v>
      </c>
      <c r="D988" t="s">
        <v>4412</v>
      </c>
      <c r="E988" t="s">
        <v>4413</v>
      </c>
      <c r="F988" t="s">
        <v>397</v>
      </c>
      <c r="G988" t="s">
        <v>104</v>
      </c>
      <c r="H988" t="s">
        <v>33</v>
      </c>
      <c r="I988" t="s">
        <v>961</v>
      </c>
      <c r="J988" t="s">
        <v>791</v>
      </c>
      <c r="K988" t="s">
        <v>3770</v>
      </c>
      <c r="L988">
        <v>32.66</v>
      </c>
      <c r="M988">
        <v>3262.808</v>
      </c>
      <c r="N988" t="s">
        <v>392</v>
      </c>
      <c r="O988">
        <v>51.11</v>
      </c>
      <c r="P988">
        <v>3875.309</v>
      </c>
      <c r="Q988" s="1">
        <f>(O988-L988)/L988</f>
        <v>0.564911206368647</v>
      </c>
      <c r="R988" s="1">
        <f>(P988-M988)/M988</f>
        <v>0.187722048002825</v>
      </c>
      <c r="S988" t="s">
        <v>3633</v>
      </c>
      <c r="T988">
        <v>48.68</v>
      </c>
      <c r="U988">
        <v>3916.332</v>
      </c>
      <c r="V988" s="1">
        <f>(T988-O988)/O988</f>
        <v>-0.0475445118372138</v>
      </c>
      <c r="W988" s="1">
        <f>(U988-P988)/P988</f>
        <v>0.0105857365180427</v>
      </c>
      <c r="X988" t="s">
        <v>104</v>
      </c>
      <c r="Y988">
        <v>40.94</v>
      </c>
      <c r="Z988">
        <v>3867.921</v>
      </c>
      <c r="AA988" s="2">
        <f>(Y988-T988)/T988</f>
        <v>-0.158997534921939</v>
      </c>
      <c r="AB988" s="2">
        <f>(Z988-U988)/U988</f>
        <v>-0.0123613115537702</v>
      </c>
      <c r="AC988" t="s">
        <v>87</v>
      </c>
      <c r="AD988">
        <v>45.26</v>
      </c>
      <c r="AE988">
        <v>3968.84</v>
      </c>
      <c r="AF988" s="2">
        <f t="shared" si="59"/>
        <v>0.10552027357108</v>
      </c>
      <c r="AG988" s="2">
        <f t="shared" si="60"/>
        <v>0.0260912774588727</v>
      </c>
      <c r="AH988" t="s">
        <v>4414</v>
      </c>
      <c r="AI988" t="s">
        <v>41</v>
      </c>
      <c r="AJ988" t="s">
        <v>41</v>
      </c>
    </row>
    <row r="989" spans="1:36">
      <c r="A989">
        <v>118062</v>
      </c>
      <c r="B989" t="s">
        <v>4415</v>
      </c>
      <c r="C989">
        <v>688003</v>
      </c>
      <c r="D989" t="s">
        <v>4416</v>
      </c>
      <c r="E989" t="s">
        <v>1765</v>
      </c>
      <c r="F989" t="s">
        <v>56</v>
      </c>
      <c r="G989" t="s">
        <v>63</v>
      </c>
      <c r="H989" t="s">
        <v>33</v>
      </c>
      <c r="I989" t="s">
        <v>446</v>
      </c>
      <c r="J989" t="s">
        <v>4417</v>
      </c>
      <c r="K989" t="s">
        <v>183</v>
      </c>
      <c r="L989">
        <v>44.65</v>
      </c>
      <c r="M989">
        <v>3420.566</v>
      </c>
      <c r="N989" t="s">
        <v>392</v>
      </c>
      <c r="O989">
        <v>57.8</v>
      </c>
      <c r="P989">
        <v>3875.309</v>
      </c>
      <c r="Q989" s="1">
        <f>(O989-L989)/L989</f>
        <v>0.29451287793953</v>
      </c>
      <c r="R989" s="1">
        <f>(P989-M989)/M989</f>
        <v>0.13294378766555</v>
      </c>
      <c r="S989" t="s">
        <v>133</v>
      </c>
      <c r="T989">
        <v>52.34</v>
      </c>
      <c r="U989">
        <v>3916.228</v>
      </c>
      <c r="V989" s="1">
        <f>(T989-O989)/O989</f>
        <v>-0.0944636678200691</v>
      </c>
      <c r="W989" s="1">
        <f>(U989-P989)/P989</f>
        <v>0.0105588999483654</v>
      </c>
      <c r="X989" t="s">
        <v>63</v>
      </c>
      <c r="Y989">
        <v>52.24</v>
      </c>
      <c r="Z989">
        <v>3889.346</v>
      </c>
      <c r="AA989" s="2">
        <f>(Y989-T989)/T989</f>
        <v>-0.00191058463889953</v>
      </c>
      <c r="AB989" s="2">
        <f>(Z989-U989)/U989</f>
        <v>-0.00686425815861591</v>
      </c>
      <c r="AC989" t="s">
        <v>87</v>
      </c>
      <c r="AD989">
        <v>58.9</v>
      </c>
      <c r="AE989">
        <v>3968.84</v>
      </c>
      <c r="AF989" s="2">
        <f t="shared" si="59"/>
        <v>0.127488514548239</v>
      </c>
      <c r="AG989" s="2">
        <f t="shared" si="60"/>
        <v>0.02043891183762</v>
      </c>
      <c r="AH989" t="s">
        <v>4418</v>
      </c>
      <c r="AI989" t="s">
        <v>41</v>
      </c>
      <c r="AJ989" t="s">
        <v>41</v>
      </c>
    </row>
    <row r="990" hidden="1" spans="1:36">
      <c r="A990">
        <v>404004</v>
      </c>
      <c r="B990" t="s">
        <v>4419</v>
      </c>
      <c r="C990">
        <v>400245</v>
      </c>
      <c r="D990" t="s">
        <v>4420</v>
      </c>
      <c r="E990" t="s">
        <v>41</v>
      </c>
      <c r="F990" t="s">
        <v>708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 t="s">
        <v>41</v>
      </c>
      <c r="M990" t="s">
        <v>41</v>
      </c>
      <c r="N990" t="s">
        <v>41</v>
      </c>
      <c r="O990" t="s">
        <v>41</v>
      </c>
      <c r="P990" t="s">
        <v>41</v>
      </c>
      <c r="Q990" s="2"/>
      <c r="R990" s="2"/>
      <c r="S990" t="s">
        <v>41</v>
      </c>
      <c r="T990" t="s">
        <v>41</v>
      </c>
      <c r="U990" t="s">
        <v>41</v>
      </c>
      <c r="V990" s="2"/>
      <c r="W990" s="2"/>
      <c r="X990" t="s">
        <v>41</v>
      </c>
      <c r="Y990" t="s">
        <v>41</v>
      </c>
      <c r="Z990" t="s">
        <v>41</v>
      </c>
      <c r="AA990" s="2"/>
      <c r="AB990" s="2"/>
      <c r="AC990" t="s">
        <v>4036</v>
      </c>
      <c r="AD990">
        <v>0.75</v>
      </c>
      <c r="AE990">
        <v>3272.014</v>
      </c>
      <c r="AF990" s="2"/>
      <c r="AG990" s="2"/>
      <c r="AH990" t="s">
        <v>3020</v>
      </c>
      <c r="AI990" t="s">
        <v>41</v>
      </c>
      <c r="AJ990" t="s">
        <v>41</v>
      </c>
    </row>
    <row r="991" hidden="1" spans="1:36">
      <c r="A991" t="s">
        <v>41</v>
      </c>
      <c r="B991" t="s">
        <v>41</v>
      </c>
      <c r="C991">
        <v>301379</v>
      </c>
      <c r="D991" t="s">
        <v>4421</v>
      </c>
      <c r="E991" t="s">
        <v>3364</v>
      </c>
      <c r="F991" t="s">
        <v>41</v>
      </c>
      <c r="G991" t="s">
        <v>847</v>
      </c>
      <c r="H991" t="s">
        <v>358</v>
      </c>
      <c r="I991" t="s">
        <v>847</v>
      </c>
      <c r="J991" t="s">
        <v>41</v>
      </c>
      <c r="K991" t="s">
        <v>41</v>
      </c>
      <c r="L991" t="s">
        <v>41</v>
      </c>
      <c r="M991" t="s">
        <v>41</v>
      </c>
      <c r="N991" t="s">
        <v>41</v>
      </c>
      <c r="O991" t="s">
        <v>41</v>
      </c>
      <c r="P991" t="s">
        <v>41</v>
      </c>
      <c r="Q991" s="2"/>
      <c r="R991" s="2"/>
      <c r="S991" t="s">
        <v>41</v>
      </c>
      <c r="T991" t="s">
        <v>41</v>
      </c>
      <c r="U991" t="s">
        <v>41</v>
      </c>
      <c r="V991" s="2"/>
      <c r="W991" s="2"/>
      <c r="X991" t="s">
        <v>41</v>
      </c>
      <c r="Y991" t="s">
        <v>41</v>
      </c>
      <c r="Z991" t="s">
        <v>41</v>
      </c>
      <c r="AA991" s="2"/>
      <c r="AB991" s="2"/>
      <c r="AC991" t="s">
        <v>41</v>
      </c>
      <c r="AD991" t="s">
        <v>41</v>
      </c>
      <c r="AE991" t="s">
        <v>41</v>
      </c>
      <c r="AF991" s="2"/>
      <c r="AG991" s="2"/>
      <c r="AH991" t="s">
        <v>41</v>
      </c>
      <c r="AI991" t="s">
        <v>41</v>
      </c>
      <c r="AJ991" t="s">
        <v>41</v>
      </c>
    </row>
    <row r="992" hidden="1" spans="1:36">
      <c r="A992" t="s">
        <v>41</v>
      </c>
      <c r="B992" t="s">
        <v>41</v>
      </c>
      <c r="C992">
        <v>600577</v>
      </c>
      <c r="D992" t="s">
        <v>3011</v>
      </c>
      <c r="E992" t="s">
        <v>4422</v>
      </c>
      <c r="F992" t="s">
        <v>41</v>
      </c>
      <c r="G992" t="s">
        <v>391</v>
      </c>
      <c r="H992" t="s">
        <v>126</v>
      </c>
      <c r="I992" t="s">
        <v>985</v>
      </c>
      <c r="J992" t="s">
        <v>681</v>
      </c>
      <c r="K992" t="s">
        <v>391</v>
      </c>
      <c r="L992">
        <v>7.27</v>
      </c>
      <c r="M992">
        <v>3448.453</v>
      </c>
      <c r="N992" t="s">
        <v>41</v>
      </c>
      <c r="O992" t="s">
        <v>41</v>
      </c>
      <c r="P992" t="s">
        <v>41</v>
      </c>
      <c r="Q992" s="2"/>
      <c r="R992" s="2"/>
      <c r="S992" t="s">
        <v>41</v>
      </c>
      <c r="T992" t="s">
        <v>41</v>
      </c>
      <c r="U992" t="s">
        <v>41</v>
      </c>
      <c r="V992" s="2"/>
      <c r="W992" s="2"/>
      <c r="X992" t="s">
        <v>41</v>
      </c>
      <c r="Y992" t="s">
        <v>41</v>
      </c>
      <c r="Z992" t="s">
        <v>41</v>
      </c>
      <c r="AA992" s="2"/>
      <c r="AB992" s="2"/>
      <c r="AC992" t="s">
        <v>41</v>
      </c>
      <c r="AD992" t="s">
        <v>41</v>
      </c>
      <c r="AE992" t="s">
        <v>41</v>
      </c>
      <c r="AF992" s="2"/>
      <c r="AG992" s="2"/>
      <c r="AH992" t="s">
        <v>41</v>
      </c>
      <c r="AI992" t="s">
        <v>41</v>
      </c>
      <c r="AJ992" t="s">
        <v>41</v>
      </c>
    </row>
    <row r="993" hidden="1" spans="1:36">
      <c r="A993" t="s">
        <v>41</v>
      </c>
      <c r="B993" t="s">
        <v>41</v>
      </c>
      <c r="C993">
        <v>301628</v>
      </c>
      <c r="D993" t="s">
        <v>4423</v>
      </c>
      <c r="E993" t="s">
        <v>667</v>
      </c>
      <c r="F993" t="s">
        <v>41</v>
      </c>
      <c r="G993" t="s">
        <v>3486</v>
      </c>
      <c r="H993" t="s">
        <v>358</v>
      </c>
      <c r="I993" t="s">
        <v>3486</v>
      </c>
      <c r="J993" t="s">
        <v>41</v>
      </c>
      <c r="K993" t="s">
        <v>41</v>
      </c>
      <c r="L993" t="s">
        <v>41</v>
      </c>
      <c r="M993" t="s">
        <v>41</v>
      </c>
      <c r="N993" t="s">
        <v>41</v>
      </c>
      <c r="O993" t="s">
        <v>41</v>
      </c>
      <c r="P993" t="s">
        <v>41</v>
      </c>
      <c r="Q993" s="2"/>
      <c r="R993" s="2"/>
      <c r="S993" t="s">
        <v>41</v>
      </c>
      <c r="T993" t="s">
        <v>41</v>
      </c>
      <c r="U993" t="s">
        <v>41</v>
      </c>
      <c r="V993" s="2"/>
      <c r="W993" s="2"/>
      <c r="X993" t="s">
        <v>41</v>
      </c>
      <c r="Y993" t="s">
        <v>41</v>
      </c>
      <c r="Z993" t="s">
        <v>41</v>
      </c>
      <c r="AA993" s="2"/>
      <c r="AB993" s="2"/>
      <c r="AC993" t="s">
        <v>41</v>
      </c>
      <c r="AD993" t="s">
        <v>41</v>
      </c>
      <c r="AE993" t="s">
        <v>41</v>
      </c>
      <c r="AF993" s="2"/>
      <c r="AG993" s="2"/>
      <c r="AH993" t="s">
        <v>41</v>
      </c>
      <c r="AI993" t="s">
        <v>41</v>
      </c>
      <c r="AJ993" t="s">
        <v>41</v>
      </c>
    </row>
    <row r="994" hidden="1" spans="1:36">
      <c r="A994" t="s">
        <v>41</v>
      </c>
      <c r="B994" t="s">
        <v>41</v>
      </c>
      <c r="C994">
        <v>300953</v>
      </c>
      <c r="D994" t="s">
        <v>997</v>
      </c>
      <c r="E994" t="s">
        <v>344</v>
      </c>
      <c r="F994" t="s">
        <v>41</v>
      </c>
      <c r="G994" t="s">
        <v>3499</v>
      </c>
      <c r="H994" t="s">
        <v>358</v>
      </c>
      <c r="I994" t="s">
        <v>3499</v>
      </c>
      <c r="J994" t="s">
        <v>41</v>
      </c>
      <c r="K994" t="s">
        <v>41</v>
      </c>
      <c r="L994" t="s">
        <v>41</v>
      </c>
      <c r="M994" t="s">
        <v>41</v>
      </c>
      <c r="N994" t="s">
        <v>41</v>
      </c>
      <c r="O994" t="s">
        <v>41</v>
      </c>
      <c r="P994" t="s">
        <v>41</v>
      </c>
      <c r="Q994" s="2"/>
      <c r="R994" s="2"/>
      <c r="S994" t="s">
        <v>41</v>
      </c>
      <c r="T994" t="s">
        <v>41</v>
      </c>
      <c r="U994" t="s">
        <v>41</v>
      </c>
      <c r="V994" s="2"/>
      <c r="W994" s="2"/>
      <c r="X994" t="s">
        <v>41</v>
      </c>
      <c r="Y994" t="s">
        <v>41</v>
      </c>
      <c r="Z994" t="s">
        <v>41</v>
      </c>
      <c r="AA994" s="2"/>
      <c r="AB994" s="2"/>
      <c r="AC994" t="s">
        <v>41</v>
      </c>
      <c r="AD994" t="s">
        <v>41</v>
      </c>
      <c r="AE994" t="s">
        <v>41</v>
      </c>
      <c r="AF994" s="2"/>
      <c r="AG994" s="2"/>
      <c r="AH994" t="s">
        <v>41</v>
      </c>
      <c r="AI994" t="s">
        <v>41</v>
      </c>
      <c r="AJ994" t="s">
        <v>41</v>
      </c>
    </row>
    <row r="995" hidden="1" spans="1:36">
      <c r="A995">
        <v>128013</v>
      </c>
      <c r="B995" t="s">
        <v>4424</v>
      </c>
      <c r="C995">
        <v>2325</v>
      </c>
      <c r="D995" t="s">
        <v>4425</v>
      </c>
      <c r="E995" t="s">
        <v>4426</v>
      </c>
      <c r="F995" t="s">
        <v>3307</v>
      </c>
      <c r="G995" t="s">
        <v>41</v>
      </c>
      <c r="H995" t="s">
        <v>41</v>
      </c>
      <c r="I995" t="s">
        <v>255</v>
      </c>
      <c r="J995" t="s">
        <v>255</v>
      </c>
      <c r="K995" t="s">
        <v>41</v>
      </c>
      <c r="L995" t="s">
        <v>41</v>
      </c>
      <c r="M995" t="s">
        <v>41</v>
      </c>
      <c r="N995" t="s">
        <v>41</v>
      </c>
      <c r="O995" t="s">
        <v>41</v>
      </c>
      <c r="P995" t="s">
        <v>41</v>
      </c>
      <c r="Q995" s="2"/>
      <c r="R995" s="2"/>
      <c r="S995" t="s">
        <v>41</v>
      </c>
      <c r="T995" t="s">
        <v>41</v>
      </c>
      <c r="U995" t="s">
        <v>41</v>
      </c>
      <c r="V995" s="2"/>
      <c r="W995" s="2"/>
      <c r="X995" t="s">
        <v>4427</v>
      </c>
      <c r="Y995">
        <v>9.67</v>
      </c>
      <c r="Z995">
        <v>2979.339</v>
      </c>
      <c r="AA995" s="2"/>
      <c r="AB995" s="2"/>
      <c r="AC995" t="s">
        <v>4428</v>
      </c>
      <c r="AD995">
        <v>9.99</v>
      </c>
      <c r="AE995">
        <v>3089.706</v>
      </c>
      <c r="AF995" s="2">
        <f t="shared" si="59"/>
        <v>0.0330920372285419</v>
      </c>
      <c r="AG995" s="2">
        <f t="shared" si="60"/>
        <v>0.0370441228742349</v>
      </c>
      <c r="AH995" t="s">
        <v>1497</v>
      </c>
      <c r="AI995" t="s">
        <v>1878</v>
      </c>
      <c r="AJ995" t="s">
        <v>3077</v>
      </c>
    </row>
    <row r="996" hidden="1" spans="1:36">
      <c r="A996">
        <v>127003</v>
      </c>
      <c r="B996" t="s">
        <v>4429</v>
      </c>
      <c r="C996">
        <v>861</v>
      </c>
      <c r="D996" t="s">
        <v>4430</v>
      </c>
      <c r="E996" t="s">
        <v>4431</v>
      </c>
      <c r="F996" t="s">
        <v>56</v>
      </c>
      <c r="G996" t="s">
        <v>41</v>
      </c>
      <c r="H996" t="s">
        <v>41</v>
      </c>
      <c r="I996" t="s">
        <v>41</v>
      </c>
      <c r="J996" t="s">
        <v>41</v>
      </c>
      <c r="K996" t="s">
        <v>41</v>
      </c>
      <c r="L996" t="s">
        <v>41</v>
      </c>
      <c r="M996" t="s">
        <v>41</v>
      </c>
      <c r="N996" t="s">
        <v>41</v>
      </c>
      <c r="O996" t="s">
        <v>41</v>
      </c>
      <c r="P996" t="s">
        <v>41</v>
      </c>
      <c r="Q996" s="2"/>
      <c r="R996" s="2"/>
      <c r="S996" t="s">
        <v>41</v>
      </c>
      <c r="T996" t="s">
        <v>41</v>
      </c>
      <c r="U996" t="s">
        <v>41</v>
      </c>
      <c r="V996" s="2"/>
      <c r="W996" s="2"/>
      <c r="X996" t="s">
        <v>4432</v>
      </c>
      <c r="Y996">
        <v>5.07</v>
      </c>
      <c r="Z996">
        <v>2927.159</v>
      </c>
      <c r="AA996" s="2"/>
      <c r="AB996" s="2"/>
      <c r="AC996" t="s">
        <v>4433</v>
      </c>
      <c r="AD996">
        <v>4.96</v>
      </c>
      <c r="AE996">
        <v>2932.476</v>
      </c>
      <c r="AF996" s="2">
        <f t="shared" si="59"/>
        <v>-0.0216962524654833</v>
      </c>
      <c r="AG996" s="2">
        <f t="shared" si="60"/>
        <v>0.00181643702989828</v>
      </c>
      <c r="AH996" t="s">
        <v>4434</v>
      </c>
      <c r="AI996" t="s">
        <v>1988</v>
      </c>
      <c r="AJ996" t="s">
        <v>3077</v>
      </c>
    </row>
    <row r="997" hidden="1" spans="1:36">
      <c r="A997">
        <v>128012</v>
      </c>
      <c r="B997" t="s">
        <v>4435</v>
      </c>
      <c r="C997">
        <v>2496</v>
      </c>
      <c r="D997" t="s">
        <v>4436</v>
      </c>
      <c r="E997" t="s">
        <v>4437</v>
      </c>
      <c r="F997" t="s">
        <v>708</v>
      </c>
      <c r="G997" t="s">
        <v>41</v>
      </c>
      <c r="H997" t="s">
        <v>41</v>
      </c>
      <c r="I997" t="s">
        <v>41</v>
      </c>
      <c r="J997" t="s">
        <v>41</v>
      </c>
      <c r="K997" t="s">
        <v>41</v>
      </c>
      <c r="L997" t="s">
        <v>41</v>
      </c>
      <c r="M997" t="s">
        <v>41</v>
      </c>
      <c r="N997" t="s">
        <v>41</v>
      </c>
      <c r="O997" t="s">
        <v>41</v>
      </c>
      <c r="P997" t="s">
        <v>41</v>
      </c>
      <c r="Q997" s="2"/>
      <c r="R997" s="2"/>
      <c r="S997" t="s">
        <v>41</v>
      </c>
      <c r="T997" t="s">
        <v>41</v>
      </c>
      <c r="U997" t="s">
        <v>41</v>
      </c>
      <c r="V997" s="2"/>
      <c r="W997" s="2"/>
      <c r="X997" t="s">
        <v>4438</v>
      </c>
      <c r="Y997">
        <v>6.64</v>
      </c>
      <c r="Z997">
        <v>2952.891</v>
      </c>
      <c r="AA997" s="2"/>
      <c r="AB997" s="2"/>
      <c r="AC997" t="s">
        <v>4439</v>
      </c>
      <c r="AD997">
        <v>6.86</v>
      </c>
      <c r="AE997">
        <v>2843.684</v>
      </c>
      <c r="AF997" s="2">
        <f t="shared" si="59"/>
        <v>0.033132530120482</v>
      </c>
      <c r="AG997" s="2">
        <f t="shared" si="60"/>
        <v>-0.0369830786168537</v>
      </c>
      <c r="AH997" t="s">
        <v>240</v>
      </c>
      <c r="AI997" t="s">
        <v>4440</v>
      </c>
      <c r="AJ997" t="s">
        <v>3835</v>
      </c>
    </row>
    <row r="998" hidden="1" spans="1:36">
      <c r="A998">
        <v>113010</v>
      </c>
      <c r="B998" t="s">
        <v>4441</v>
      </c>
      <c r="C998">
        <v>601199</v>
      </c>
      <c r="D998" t="s">
        <v>4442</v>
      </c>
      <c r="E998" t="s">
        <v>4443</v>
      </c>
      <c r="F998" t="s">
        <v>397</v>
      </c>
      <c r="G998" t="s">
        <v>41</v>
      </c>
      <c r="H998" t="s">
        <v>41</v>
      </c>
      <c r="I998" t="s">
        <v>41</v>
      </c>
      <c r="J998" t="s">
        <v>41</v>
      </c>
      <c r="K998" t="s">
        <v>41</v>
      </c>
      <c r="L998" t="s">
        <v>41</v>
      </c>
      <c r="M998" t="s">
        <v>41</v>
      </c>
      <c r="N998" t="s">
        <v>41</v>
      </c>
      <c r="O998" t="s">
        <v>41</v>
      </c>
      <c r="P998" t="s">
        <v>41</v>
      </c>
      <c r="Q998" s="2"/>
      <c r="R998" s="2"/>
      <c r="S998" t="s">
        <v>41</v>
      </c>
      <c r="T998" t="s">
        <v>41</v>
      </c>
      <c r="U998" t="s">
        <v>41</v>
      </c>
      <c r="V998" s="2"/>
      <c r="W998" s="2"/>
      <c r="X998" t="s">
        <v>4444</v>
      </c>
      <c r="Y998">
        <v>8.09</v>
      </c>
      <c r="Z998">
        <v>2955.15</v>
      </c>
      <c r="AA998" s="2"/>
      <c r="AB998" s="2"/>
      <c r="AC998" t="s">
        <v>4445</v>
      </c>
      <c r="AD998">
        <v>8.22</v>
      </c>
      <c r="AE998">
        <v>3053.065</v>
      </c>
      <c r="AF998" s="2">
        <f t="shared" si="59"/>
        <v>0.0160692212608159</v>
      </c>
      <c r="AG998" s="2">
        <f t="shared" si="60"/>
        <v>0.0331336818774005</v>
      </c>
      <c r="AH998" t="s">
        <v>1659</v>
      </c>
      <c r="AI998" t="s">
        <v>4446</v>
      </c>
      <c r="AJ998" t="s">
        <v>3835</v>
      </c>
    </row>
    <row r="999" hidden="1" spans="1:36">
      <c r="A999">
        <v>128011</v>
      </c>
      <c r="B999" t="s">
        <v>4447</v>
      </c>
      <c r="C999">
        <v>2510</v>
      </c>
      <c r="D999" t="s">
        <v>3483</v>
      </c>
      <c r="E999" t="s">
        <v>4448</v>
      </c>
      <c r="F999" t="s">
        <v>397</v>
      </c>
      <c r="G999" t="s">
        <v>41</v>
      </c>
      <c r="H999" t="s">
        <v>41</v>
      </c>
      <c r="I999" t="s">
        <v>41</v>
      </c>
      <c r="J999" t="s">
        <v>41</v>
      </c>
      <c r="K999" t="s">
        <v>41</v>
      </c>
      <c r="L999" t="s">
        <v>41</v>
      </c>
      <c r="M999" t="s">
        <v>41</v>
      </c>
      <c r="N999" t="s">
        <v>41</v>
      </c>
      <c r="O999" t="s">
        <v>41</v>
      </c>
      <c r="P999" t="s">
        <v>41</v>
      </c>
      <c r="Q999" s="2"/>
      <c r="R999" s="2"/>
      <c r="S999" t="s">
        <v>41</v>
      </c>
      <c r="T999" t="s">
        <v>41</v>
      </c>
      <c r="U999" t="s">
        <v>41</v>
      </c>
      <c r="V999" s="2"/>
      <c r="W999" s="2"/>
      <c r="X999" t="s">
        <v>4449</v>
      </c>
      <c r="Y999">
        <v>5.38</v>
      </c>
      <c r="Z999">
        <v>2849.681</v>
      </c>
      <c r="AA999" s="2"/>
      <c r="AB999" s="2"/>
      <c r="AC999" t="s">
        <v>4450</v>
      </c>
      <c r="AD999">
        <v>5.64</v>
      </c>
      <c r="AE999">
        <v>2960.97</v>
      </c>
      <c r="AF999" s="2">
        <f t="shared" si="59"/>
        <v>0.0483271375464684</v>
      </c>
      <c r="AG999" s="2">
        <f t="shared" si="60"/>
        <v>0.0390531431412849</v>
      </c>
      <c r="AH999" t="s">
        <v>1919</v>
      </c>
      <c r="AI999" t="s">
        <v>4451</v>
      </c>
      <c r="AJ999" t="s">
        <v>625</v>
      </c>
    </row>
    <row r="1000" hidden="1" spans="1:36">
      <c r="A1000">
        <v>110035</v>
      </c>
      <c r="B1000" t="s">
        <v>4452</v>
      </c>
      <c r="C1000">
        <v>600004</v>
      </c>
      <c r="D1000" t="s">
        <v>4453</v>
      </c>
      <c r="E1000" t="s">
        <v>4454</v>
      </c>
      <c r="F1000" t="s">
        <v>444</v>
      </c>
      <c r="G1000" t="s">
        <v>41</v>
      </c>
      <c r="H1000" t="s">
        <v>41</v>
      </c>
      <c r="I1000" t="s">
        <v>41</v>
      </c>
      <c r="J1000" t="s">
        <v>41</v>
      </c>
      <c r="K1000" t="s">
        <v>41</v>
      </c>
      <c r="L1000" t="s">
        <v>41</v>
      </c>
      <c r="M1000" t="s">
        <v>41</v>
      </c>
      <c r="N1000" t="s">
        <v>41</v>
      </c>
      <c r="O1000" t="s">
        <v>41</v>
      </c>
      <c r="P1000" t="s">
        <v>41</v>
      </c>
      <c r="Q1000" s="2"/>
      <c r="R1000" s="2"/>
      <c r="S1000" t="s">
        <v>41</v>
      </c>
      <c r="T1000" t="s">
        <v>41</v>
      </c>
      <c r="U1000" t="s">
        <v>41</v>
      </c>
      <c r="V1000" s="2"/>
      <c r="W1000" s="2"/>
      <c r="X1000" t="s">
        <v>4455</v>
      </c>
      <c r="Y1000">
        <v>6.88</v>
      </c>
      <c r="Z1000">
        <v>2767.21</v>
      </c>
      <c r="AA1000" s="2"/>
      <c r="AB1000" s="2"/>
      <c r="AC1000" t="s">
        <v>4456</v>
      </c>
      <c r="AD1000">
        <v>6.98</v>
      </c>
      <c r="AE1000">
        <v>2864.368</v>
      </c>
      <c r="AF1000" s="2">
        <f t="shared" si="59"/>
        <v>0.0145348837209303</v>
      </c>
      <c r="AG1000" s="2">
        <f t="shared" si="60"/>
        <v>0.0351104542120041</v>
      </c>
      <c r="AH1000" t="s">
        <v>4457</v>
      </c>
      <c r="AI1000" t="s">
        <v>4458</v>
      </c>
      <c r="AJ1000" t="s">
        <v>625</v>
      </c>
    </row>
    <row r="1001" hidden="1" spans="1:36">
      <c r="A1001">
        <v>113009</v>
      </c>
      <c r="B1001" t="s">
        <v>4459</v>
      </c>
      <c r="C1001">
        <v>601238</v>
      </c>
      <c r="D1001" t="s">
        <v>4460</v>
      </c>
      <c r="E1001" t="s">
        <v>4461</v>
      </c>
      <c r="F1001" t="s">
        <v>444</v>
      </c>
      <c r="G1001" t="s">
        <v>41</v>
      </c>
      <c r="H1001" t="s">
        <v>41</v>
      </c>
      <c r="I1001" t="s">
        <v>41</v>
      </c>
      <c r="J1001" t="s">
        <v>41</v>
      </c>
      <c r="K1001" t="s">
        <v>41</v>
      </c>
      <c r="L1001" t="s">
        <v>41</v>
      </c>
      <c r="M1001" t="s">
        <v>41</v>
      </c>
      <c r="N1001" t="s">
        <v>41</v>
      </c>
      <c r="O1001" t="s">
        <v>41</v>
      </c>
      <c r="P1001" t="s">
        <v>41</v>
      </c>
      <c r="Q1001" s="2"/>
      <c r="R1001" s="2"/>
      <c r="S1001" t="s">
        <v>41</v>
      </c>
      <c r="T1001" t="s">
        <v>41</v>
      </c>
      <c r="U1001" t="s">
        <v>41</v>
      </c>
      <c r="V1001" s="2"/>
      <c r="W1001" s="2"/>
      <c r="X1001" t="s">
        <v>4462</v>
      </c>
      <c r="Y1001">
        <v>12.22</v>
      </c>
      <c r="Z1001">
        <v>2916.562</v>
      </c>
      <c r="AA1001" s="2"/>
      <c r="AB1001" s="2"/>
      <c r="AC1001" t="s">
        <v>4463</v>
      </c>
      <c r="AD1001">
        <v>12.45</v>
      </c>
      <c r="AE1001">
        <v>2781.023</v>
      </c>
      <c r="AF1001" s="2">
        <f t="shared" si="59"/>
        <v>0.0188216039279868</v>
      </c>
      <c r="AG1001" s="2">
        <f t="shared" si="60"/>
        <v>-0.0464721819731587</v>
      </c>
      <c r="AH1001" t="s">
        <v>4464</v>
      </c>
      <c r="AI1001" t="s">
        <v>2215</v>
      </c>
      <c r="AJ1001" t="s">
        <v>3077</v>
      </c>
    </row>
    <row r="1002" hidden="1" spans="1:36">
      <c r="A1002">
        <v>128010</v>
      </c>
      <c r="B1002" t="s">
        <v>4465</v>
      </c>
      <c r="C1002">
        <v>2245</v>
      </c>
      <c r="D1002" t="s">
        <v>4466</v>
      </c>
      <c r="E1002" t="s">
        <v>4467</v>
      </c>
      <c r="F1002" t="s">
        <v>397</v>
      </c>
      <c r="G1002" t="s">
        <v>41</v>
      </c>
      <c r="H1002" t="s">
        <v>41</v>
      </c>
      <c r="I1002" t="s">
        <v>41</v>
      </c>
      <c r="J1002" t="s">
        <v>41</v>
      </c>
      <c r="K1002" t="s">
        <v>41</v>
      </c>
      <c r="L1002" t="s">
        <v>41</v>
      </c>
      <c r="M1002" t="s">
        <v>41</v>
      </c>
      <c r="N1002" t="s">
        <v>41</v>
      </c>
      <c r="O1002" t="s">
        <v>41</v>
      </c>
      <c r="P1002" t="s">
        <v>41</v>
      </c>
      <c r="Q1002" s="2"/>
      <c r="R1002" s="2"/>
      <c r="S1002" t="s">
        <v>41</v>
      </c>
      <c r="T1002" t="s">
        <v>41</v>
      </c>
      <c r="U1002" t="s">
        <v>41</v>
      </c>
      <c r="V1002" s="2"/>
      <c r="W1002" s="2"/>
      <c r="X1002" t="s">
        <v>4462</v>
      </c>
      <c r="Y1002">
        <v>7.5</v>
      </c>
      <c r="Z1002">
        <v>2916.562</v>
      </c>
      <c r="AA1002" s="2"/>
      <c r="AB1002" s="2"/>
      <c r="AC1002" t="s">
        <v>4468</v>
      </c>
      <c r="AD1002">
        <v>7.5</v>
      </c>
      <c r="AE1002">
        <v>2903.331</v>
      </c>
      <c r="AF1002" s="2">
        <f t="shared" si="59"/>
        <v>0</v>
      </c>
      <c r="AG1002" s="2">
        <f t="shared" si="60"/>
        <v>-0.00453650565288849</v>
      </c>
      <c r="AH1002" t="s">
        <v>4464</v>
      </c>
      <c r="AI1002" t="s">
        <v>4457</v>
      </c>
      <c r="AJ1002" t="s">
        <v>625</v>
      </c>
    </row>
    <row r="1003" hidden="1" spans="1:36">
      <c r="A1003">
        <v>110034</v>
      </c>
      <c r="B1003" t="s">
        <v>4469</v>
      </c>
      <c r="C1003">
        <v>600998</v>
      </c>
      <c r="D1003" t="s">
        <v>4470</v>
      </c>
      <c r="E1003" t="s">
        <v>4471</v>
      </c>
      <c r="F1003" t="s">
        <v>98</v>
      </c>
      <c r="G1003" t="s">
        <v>41</v>
      </c>
      <c r="H1003" t="s">
        <v>41</v>
      </c>
      <c r="I1003" t="s">
        <v>41</v>
      </c>
      <c r="J1003" t="s">
        <v>41</v>
      </c>
      <c r="K1003" t="s">
        <v>41</v>
      </c>
      <c r="L1003" t="s">
        <v>41</v>
      </c>
      <c r="M1003" t="s">
        <v>41</v>
      </c>
      <c r="N1003" t="s">
        <v>41</v>
      </c>
      <c r="O1003" t="s">
        <v>41</v>
      </c>
      <c r="P1003" t="s">
        <v>41</v>
      </c>
      <c r="Q1003" s="2"/>
      <c r="R1003" s="2"/>
      <c r="S1003" t="s">
        <v>41</v>
      </c>
      <c r="T1003" t="s">
        <v>41</v>
      </c>
      <c r="U1003" t="s">
        <v>41</v>
      </c>
      <c r="V1003" s="2"/>
      <c r="W1003" s="2"/>
      <c r="X1003" t="s">
        <v>4472</v>
      </c>
      <c r="Y1003">
        <v>4.9</v>
      </c>
      <c r="Z1003">
        <v>2900.97</v>
      </c>
      <c r="AA1003" s="2"/>
      <c r="AB1003" s="2"/>
      <c r="AC1003" t="s">
        <v>4473</v>
      </c>
      <c r="AD1003">
        <v>5.18</v>
      </c>
      <c r="AE1003">
        <v>2737.6</v>
      </c>
      <c r="AF1003" s="2">
        <f t="shared" si="59"/>
        <v>0.057142857142857</v>
      </c>
      <c r="AG1003" s="2">
        <f t="shared" si="60"/>
        <v>-0.0563156461459443</v>
      </c>
      <c r="AH1003" t="s">
        <v>4474</v>
      </c>
      <c r="AI1003" t="s">
        <v>2084</v>
      </c>
      <c r="AJ1003" t="s">
        <v>3077</v>
      </c>
    </row>
    <row r="1004" hidden="1" spans="1:36">
      <c r="A1004">
        <v>110033</v>
      </c>
      <c r="B1004" t="s">
        <v>4475</v>
      </c>
      <c r="C1004">
        <v>600755</v>
      </c>
      <c r="D1004" t="s">
        <v>4476</v>
      </c>
      <c r="E1004" t="s">
        <v>4477</v>
      </c>
      <c r="F1004" t="s">
        <v>444</v>
      </c>
      <c r="G1004" t="s">
        <v>41</v>
      </c>
      <c r="H1004" t="s">
        <v>41</v>
      </c>
      <c r="I1004" t="s">
        <v>41</v>
      </c>
      <c r="J1004" t="s">
        <v>41</v>
      </c>
      <c r="K1004" t="s">
        <v>41</v>
      </c>
      <c r="L1004" t="s">
        <v>41</v>
      </c>
      <c r="M1004" t="s">
        <v>41</v>
      </c>
      <c r="N1004" t="s">
        <v>41</v>
      </c>
      <c r="O1004" t="s">
        <v>41</v>
      </c>
      <c r="P1004" t="s">
        <v>41</v>
      </c>
      <c r="Q1004" s="2"/>
      <c r="R1004" s="2"/>
      <c r="S1004" t="s">
        <v>41</v>
      </c>
      <c r="T1004" t="s">
        <v>41</v>
      </c>
      <c r="U1004" t="s">
        <v>41</v>
      </c>
      <c r="V1004" s="2"/>
      <c r="W1004" s="2"/>
      <c r="X1004" t="s">
        <v>4478</v>
      </c>
      <c r="Y1004">
        <v>4.8</v>
      </c>
      <c r="Z1004">
        <v>3287.711</v>
      </c>
      <c r="AA1004" s="2"/>
      <c r="AB1004" s="2"/>
      <c r="AC1004" t="s">
        <v>4479</v>
      </c>
      <c r="AD1004">
        <v>3.3</v>
      </c>
      <c r="AE1004">
        <v>3007.739</v>
      </c>
      <c r="AF1004" s="2">
        <f t="shared" si="59"/>
        <v>-0.3125</v>
      </c>
      <c r="AG1004" s="2">
        <f t="shared" si="60"/>
        <v>-0.0851571199536698</v>
      </c>
      <c r="AH1004" t="s">
        <v>2169</v>
      </c>
      <c r="AI1004" t="s">
        <v>2278</v>
      </c>
      <c r="AJ1004" t="s">
        <v>625</v>
      </c>
    </row>
    <row r="1005" hidden="1" spans="1:36">
      <c r="A1005">
        <v>110032</v>
      </c>
      <c r="B1005" t="s">
        <v>4480</v>
      </c>
      <c r="C1005">
        <v>600031</v>
      </c>
      <c r="D1005" t="s">
        <v>4481</v>
      </c>
      <c r="E1005" t="s">
        <v>4482</v>
      </c>
      <c r="F1005" t="s">
        <v>98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 t="s">
        <v>41</v>
      </c>
      <c r="M1005" t="s">
        <v>41</v>
      </c>
      <c r="N1005" t="s">
        <v>41</v>
      </c>
      <c r="O1005" t="s">
        <v>41</v>
      </c>
      <c r="P1005" t="s">
        <v>41</v>
      </c>
      <c r="Q1005" s="2"/>
      <c r="R1005" s="2"/>
      <c r="S1005" t="s">
        <v>41</v>
      </c>
      <c r="T1005" t="s">
        <v>41</v>
      </c>
      <c r="U1005" t="s">
        <v>41</v>
      </c>
      <c r="V1005" s="2"/>
      <c r="W1005" s="2"/>
      <c r="X1005" t="s">
        <v>4483</v>
      </c>
      <c r="Y1005">
        <v>3.02</v>
      </c>
      <c r="Z1005">
        <v>3296.258</v>
      </c>
      <c r="AA1005" s="2"/>
      <c r="AB1005" s="2"/>
      <c r="AC1005" t="s">
        <v>4484</v>
      </c>
      <c r="AD1005">
        <v>2.5</v>
      </c>
      <c r="AE1005">
        <v>2913.837</v>
      </c>
      <c r="AF1005" s="2">
        <f t="shared" si="59"/>
        <v>-0.172185430463576</v>
      </c>
      <c r="AG1005" s="2">
        <f t="shared" si="60"/>
        <v>-0.116016707430062</v>
      </c>
      <c r="AH1005" t="s">
        <v>2174</v>
      </c>
      <c r="AI1005" t="s">
        <v>3852</v>
      </c>
      <c r="AJ1005" t="s">
        <v>625</v>
      </c>
    </row>
    <row r="1006" hidden="1" spans="1:36">
      <c r="A1006">
        <v>123001</v>
      </c>
      <c r="B1006" t="s">
        <v>4485</v>
      </c>
      <c r="C1006">
        <v>300058</v>
      </c>
      <c r="D1006" t="s">
        <v>4486</v>
      </c>
      <c r="E1006" t="s">
        <v>4487</v>
      </c>
      <c r="F1006" t="s">
        <v>397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 t="s">
        <v>41</v>
      </c>
      <c r="M1006" t="s">
        <v>41</v>
      </c>
      <c r="N1006" t="s">
        <v>41</v>
      </c>
      <c r="O1006" t="s">
        <v>41</v>
      </c>
      <c r="P1006" t="s">
        <v>41</v>
      </c>
      <c r="Q1006" s="2"/>
      <c r="R1006" s="2"/>
      <c r="S1006" t="s">
        <v>41</v>
      </c>
      <c r="T1006" t="s">
        <v>41</v>
      </c>
      <c r="U1006" t="s">
        <v>41</v>
      </c>
      <c r="V1006" s="2"/>
      <c r="W1006" s="2"/>
      <c r="X1006" t="s">
        <v>4488</v>
      </c>
      <c r="Y1006">
        <v>10.38</v>
      </c>
      <c r="Z1006">
        <v>3578.964</v>
      </c>
      <c r="AA1006" s="2"/>
      <c r="AB1006" s="2"/>
      <c r="AC1006" t="s">
        <v>4489</v>
      </c>
      <c r="AD1006">
        <v>7.51</v>
      </c>
      <c r="AE1006">
        <v>3186.412</v>
      </c>
      <c r="AF1006" s="2">
        <f t="shared" si="59"/>
        <v>-0.276493256262042</v>
      </c>
      <c r="AG1006" s="2">
        <f t="shared" si="60"/>
        <v>-0.109683137354832</v>
      </c>
      <c r="AH1006" t="s">
        <v>4490</v>
      </c>
      <c r="AI1006" t="s">
        <v>4491</v>
      </c>
      <c r="AJ1006" t="s">
        <v>625</v>
      </c>
    </row>
    <row r="1007" hidden="1" spans="1:36">
      <c r="A1007">
        <v>110031</v>
      </c>
      <c r="B1007" t="s">
        <v>4492</v>
      </c>
      <c r="C1007">
        <v>600271</v>
      </c>
      <c r="D1007" t="s">
        <v>4493</v>
      </c>
      <c r="E1007" t="s">
        <v>4494</v>
      </c>
      <c r="F1007" t="s">
        <v>444</v>
      </c>
      <c r="G1007" t="s">
        <v>41</v>
      </c>
      <c r="H1007" t="s">
        <v>41</v>
      </c>
      <c r="I1007" t="s">
        <v>41</v>
      </c>
      <c r="J1007" t="s">
        <v>41</v>
      </c>
      <c r="K1007" t="s">
        <v>41</v>
      </c>
      <c r="L1007" t="s">
        <v>41</v>
      </c>
      <c r="M1007" t="s">
        <v>41</v>
      </c>
      <c r="N1007" t="s">
        <v>41</v>
      </c>
      <c r="O1007" t="s">
        <v>41</v>
      </c>
      <c r="P1007" t="s">
        <v>41</v>
      </c>
      <c r="Q1007" s="2"/>
      <c r="R1007" s="2"/>
      <c r="S1007" t="s">
        <v>41</v>
      </c>
      <c r="T1007" t="s">
        <v>41</v>
      </c>
      <c r="U1007" t="s">
        <v>41</v>
      </c>
      <c r="V1007" s="2"/>
      <c r="W1007" s="2"/>
      <c r="X1007" t="s">
        <v>4495</v>
      </c>
      <c r="Y1007">
        <v>44.08</v>
      </c>
      <c r="Z1007">
        <v>5166.35</v>
      </c>
      <c r="AA1007" s="2"/>
      <c r="AB1007" s="2"/>
      <c r="AC1007" t="s">
        <v>4496</v>
      </c>
      <c r="AD1007">
        <v>30.21</v>
      </c>
      <c r="AE1007">
        <v>4277.222</v>
      </c>
      <c r="AF1007" s="2">
        <f t="shared" si="59"/>
        <v>-0.314655172413793</v>
      </c>
      <c r="AG1007" s="2">
        <f t="shared" si="60"/>
        <v>-0.172099838377191</v>
      </c>
      <c r="AH1007" t="s">
        <v>4497</v>
      </c>
      <c r="AI1007" t="s">
        <v>2504</v>
      </c>
      <c r="AJ1007" t="s">
        <v>3077</v>
      </c>
    </row>
    <row r="1008" hidden="1" spans="1:36">
      <c r="A1008">
        <v>113008</v>
      </c>
      <c r="B1008" t="s">
        <v>4498</v>
      </c>
      <c r="C1008">
        <v>601727</v>
      </c>
      <c r="D1008" t="s">
        <v>4499</v>
      </c>
      <c r="E1008" t="s">
        <v>4500</v>
      </c>
      <c r="F1008" t="s">
        <v>444</v>
      </c>
      <c r="G1008" t="s">
        <v>41</v>
      </c>
      <c r="H1008" t="s">
        <v>41</v>
      </c>
      <c r="I1008" t="s">
        <v>41</v>
      </c>
      <c r="J1008" t="s">
        <v>41</v>
      </c>
      <c r="K1008" t="s">
        <v>41</v>
      </c>
      <c r="L1008" t="s">
        <v>41</v>
      </c>
      <c r="M1008" t="s">
        <v>41</v>
      </c>
      <c r="N1008" t="s">
        <v>41</v>
      </c>
      <c r="O1008" t="s">
        <v>41</v>
      </c>
      <c r="P1008" t="s">
        <v>41</v>
      </c>
      <c r="Q1008" s="2"/>
      <c r="R1008" s="2"/>
      <c r="S1008" t="s">
        <v>41</v>
      </c>
      <c r="T1008" t="s">
        <v>41</v>
      </c>
      <c r="U1008" t="s">
        <v>41</v>
      </c>
      <c r="V1008" s="2"/>
      <c r="W1008" s="2"/>
      <c r="X1008" t="s">
        <v>4501</v>
      </c>
      <c r="Y1008">
        <v>9.85</v>
      </c>
      <c r="Z1008">
        <v>3128.3</v>
      </c>
      <c r="AA1008" s="2"/>
      <c r="AB1008" s="2"/>
      <c r="AC1008" t="s">
        <v>4502</v>
      </c>
      <c r="AD1008">
        <v>9.41</v>
      </c>
      <c r="AE1008">
        <v>3222.363</v>
      </c>
      <c r="AF1008" s="2">
        <f t="shared" si="59"/>
        <v>-0.0446700507614213</v>
      </c>
      <c r="AG1008" s="2">
        <f t="shared" si="60"/>
        <v>0.0300684077614038</v>
      </c>
      <c r="AH1008" t="s">
        <v>2184</v>
      </c>
      <c r="AI1008" t="s">
        <v>2748</v>
      </c>
      <c r="AJ1008" t="s">
        <v>3077</v>
      </c>
    </row>
    <row r="1009" hidden="1" spans="1:36">
      <c r="A1009">
        <v>110030</v>
      </c>
      <c r="B1009" t="s">
        <v>4503</v>
      </c>
      <c r="C1009">
        <v>600185</v>
      </c>
      <c r="D1009" t="s">
        <v>4504</v>
      </c>
      <c r="E1009" t="s">
        <v>4505</v>
      </c>
      <c r="F1009" t="s">
        <v>397</v>
      </c>
      <c r="G1009" t="s">
        <v>41</v>
      </c>
      <c r="H1009" t="s">
        <v>41</v>
      </c>
      <c r="I1009" t="s">
        <v>41</v>
      </c>
      <c r="J1009" t="s">
        <v>41</v>
      </c>
      <c r="K1009" t="s">
        <v>41</v>
      </c>
      <c r="L1009" t="s">
        <v>41</v>
      </c>
      <c r="M1009" t="s">
        <v>41</v>
      </c>
      <c r="N1009" t="s">
        <v>41</v>
      </c>
      <c r="O1009" t="s">
        <v>41</v>
      </c>
      <c r="P1009" t="s">
        <v>41</v>
      </c>
      <c r="Q1009" s="2"/>
      <c r="R1009" s="2"/>
      <c r="S1009" t="s">
        <v>41</v>
      </c>
      <c r="T1009" t="s">
        <v>41</v>
      </c>
      <c r="U1009" t="s">
        <v>41</v>
      </c>
      <c r="V1009" s="2"/>
      <c r="W1009" s="2"/>
      <c r="X1009" t="s">
        <v>4506</v>
      </c>
      <c r="Y1009">
        <v>6.48</v>
      </c>
      <c r="Z1009">
        <v>3072.536</v>
      </c>
      <c r="AA1009" s="2"/>
      <c r="AB1009" s="2"/>
      <c r="AC1009" t="s">
        <v>4507</v>
      </c>
      <c r="AD1009">
        <v>6.68</v>
      </c>
      <c r="AE1009">
        <v>3235.301</v>
      </c>
      <c r="AF1009" s="2">
        <f t="shared" si="59"/>
        <v>0.0308641975308641</v>
      </c>
      <c r="AG1009" s="2">
        <f t="shared" si="60"/>
        <v>0.0529741555509846</v>
      </c>
      <c r="AH1009" t="s">
        <v>3495</v>
      </c>
      <c r="AI1009" t="s">
        <v>4508</v>
      </c>
      <c r="AJ1009" t="s">
        <v>3077</v>
      </c>
    </row>
    <row r="1010" hidden="1" spans="1:36">
      <c r="A1010">
        <v>128009</v>
      </c>
      <c r="B1010" t="s">
        <v>4509</v>
      </c>
      <c r="C1010">
        <v>2241</v>
      </c>
      <c r="D1010" t="s">
        <v>3182</v>
      </c>
      <c r="E1010" t="s">
        <v>4510</v>
      </c>
      <c r="F1010" t="s">
        <v>98</v>
      </c>
      <c r="G1010" t="s">
        <v>41</v>
      </c>
      <c r="H1010" t="s">
        <v>41</v>
      </c>
      <c r="I1010" t="s">
        <v>41</v>
      </c>
      <c r="J1010" t="s">
        <v>41</v>
      </c>
      <c r="K1010" t="s">
        <v>41</v>
      </c>
      <c r="L1010" t="s">
        <v>41</v>
      </c>
      <c r="M1010" t="s">
        <v>41</v>
      </c>
      <c r="N1010" t="s">
        <v>41</v>
      </c>
      <c r="O1010" t="s">
        <v>41</v>
      </c>
      <c r="P1010" t="s">
        <v>41</v>
      </c>
      <c r="Q1010" s="2"/>
      <c r="R1010" s="2"/>
      <c r="S1010" t="s">
        <v>41</v>
      </c>
      <c r="T1010" t="s">
        <v>41</v>
      </c>
      <c r="U1010" t="s">
        <v>41</v>
      </c>
      <c r="V1010" s="2"/>
      <c r="W1010" s="2"/>
      <c r="X1010" t="s">
        <v>4511</v>
      </c>
      <c r="Y1010">
        <v>11.72</v>
      </c>
      <c r="Z1010">
        <v>2938.173</v>
      </c>
      <c r="AA1010" s="2"/>
      <c r="AB1010" s="2"/>
      <c r="AC1010" t="s">
        <v>4512</v>
      </c>
      <c r="AD1010">
        <v>11.02</v>
      </c>
      <c r="AE1010">
        <v>3157.603</v>
      </c>
      <c r="AF1010" s="2">
        <f t="shared" si="59"/>
        <v>-0.059726962457338</v>
      </c>
      <c r="AG1010" s="2">
        <f t="shared" si="60"/>
        <v>0.0746824642388315</v>
      </c>
      <c r="AH1010" t="s">
        <v>4513</v>
      </c>
      <c r="AI1010" t="s">
        <v>4514</v>
      </c>
      <c r="AJ1010" t="s">
        <v>625</v>
      </c>
    </row>
    <row r="1011" hidden="1" spans="1:36">
      <c r="A1011">
        <v>113501</v>
      </c>
      <c r="B1011" t="s">
        <v>4515</v>
      </c>
      <c r="C1011">
        <v>603993</v>
      </c>
      <c r="D1011" t="s">
        <v>4516</v>
      </c>
      <c r="E1011" t="s">
        <v>4517</v>
      </c>
      <c r="F1011" t="s">
        <v>98</v>
      </c>
      <c r="G1011" t="s">
        <v>41</v>
      </c>
      <c r="H1011" t="s">
        <v>41</v>
      </c>
      <c r="I1011" t="s">
        <v>41</v>
      </c>
      <c r="J1011" t="s">
        <v>41</v>
      </c>
      <c r="K1011" t="s">
        <v>41</v>
      </c>
      <c r="L1011" t="s">
        <v>41</v>
      </c>
      <c r="M1011" t="s">
        <v>41</v>
      </c>
      <c r="N1011" t="s">
        <v>41</v>
      </c>
      <c r="O1011" t="s">
        <v>41</v>
      </c>
      <c r="P1011" t="s">
        <v>41</v>
      </c>
      <c r="Q1011" s="2"/>
      <c r="R1011" s="2"/>
      <c r="S1011" t="s">
        <v>41</v>
      </c>
      <c r="T1011" t="s">
        <v>41</v>
      </c>
      <c r="U1011" t="s">
        <v>41</v>
      </c>
      <c r="V1011" s="2"/>
      <c r="W1011" s="2"/>
      <c r="X1011" t="s">
        <v>4518</v>
      </c>
      <c r="Y1011">
        <v>2.06</v>
      </c>
      <c r="Z1011">
        <v>2763.545</v>
      </c>
      <c r="AA1011" s="2"/>
      <c r="AB1011" s="2"/>
      <c r="AC1011" t="s">
        <v>4519</v>
      </c>
      <c r="AD1011">
        <v>2.16</v>
      </c>
      <c r="AE1011">
        <v>3021.518</v>
      </c>
      <c r="AF1011" s="2">
        <f t="shared" si="59"/>
        <v>0.0485436893203884</v>
      </c>
      <c r="AG1011" s="2">
        <f t="shared" si="60"/>
        <v>0.093348579451393</v>
      </c>
      <c r="AH1011" t="s">
        <v>2471</v>
      </c>
      <c r="AI1011" t="s">
        <v>4520</v>
      </c>
      <c r="AJ1011" t="s">
        <v>625</v>
      </c>
    </row>
    <row r="1012" hidden="1" spans="1:36">
      <c r="A1012">
        <v>110029</v>
      </c>
      <c r="B1012" t="s">
        <v>4521</v>
      </c>
      <c r="C1012">
        <v>600023</v>
      </c>
      <c r="D1012" t="s">
        <v>4522</v>
      </c>
      <c r="E1012" t="s">
        <v>4523</v>
      </c>
      <c r="F1012" t="s">
        <v>444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 t="s">
        <v>41</v>
      </c>
      <c r="M1012" t="s">
        <v>41</v>
      </c>
      <c r="N1012" t="s">
        <v>41</v>
      </c>
      <c r="O1012" t="s">
        <v>41</v>
      </c>
      <c r="P1012" t="s">
        <v>41</v>
      </c>
      <c r="Q1012" s="2"/>
      <c r="R1012" s="2"/>
      <c r="S1012" t="s">
        <v>41</v>
      </c>
      <c r="T1012" t="s">
        <v>41</v>
      </c>
      <c r="U1012" t="s">
        <v>41</v>
      </c>
      <c r="V1012" s="2"/>
      <c r="W1012" s="2"/>
      <c r="X1012" t="s">
        <v>4524</v>
      </c>
      <c r="Y1012">
        <v>3.45</v>
      </c>
      <c r="Z1012">
        <v>2366.009</v>
      </c>
      <c r="AA1012" s="2"/>
      <c r="AB1012" s="2"/>
      <c r="AC1012" t="s">
        <v>4525</v>
      </c>
      <c r="AD1012">
        <v>3.66</v>
      </c>
      <c r="AE1012">
        <v>2337.871</v>
      </c>
      <c r="AF1012" s="2">
        <f t="shared" si="59"/>
        <v>0.0608695652173913</v>
      </c>
      <c r="AG1012" s="2">
        <f t="shared" si="60"/>
        <v>-0.0118926005775971</v>
      </c>
      <c r="AH1012" t="s">
        <v>2637</v>
      </c>
      <c r="AI1012" t="s">
        <v>4526</v>
      </c>
      <c r="AJ1012" t="s">
        <v>625</v>
      </c>
    </row>
    <row r="1013" hidden="1" spans="1:36">
      <c r="A1013">
        <v>128008</v>
      </c>
      <c r="B1013" t="s">
        <v>4527</v>
      </c>
      <c r="C1013">
        <v>2521</v>
      </c>
      <c r="D1013" t="s">
        <v>4528</v>
      </c>
      <c r="E1013" t="s">
        <v>4443</v>
      </c>
      <c r="F1013" t="s">
        <v>397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 t="s">
        <v>41</v>
      </c>
      <c r="M1013" t="s">
        <v>41</v>
      </c>
      <c r="N1013" t="s">
        <v>41</v>
      </c>
      <c r="O1013" t="s">
        <v>41</v>
      </c>
      <c r="P1013" t="s">
        <v>41</v>
      </c>
      <c r="Q1013" s="2"/>
      <c r="R1013" s="2"/>
      <c r="S1013" t="s">
        <v>41</v>
      </c>
      <c r="T1013" t="s">
        <v>41</v>
      </c>
      <c r="U1013" t="s">
        <v>41</v>
      </c>
      <c r="V1013" s="2"/>
      <c r="W1013" s="2"/>
      <c r="X1013" t="s">
        <v>4529</v>
      </c>
      <c r="Y1013">
        <v>8.93</v>
      </c>
      <c r="Z1013">
        <v>2339.14</v>
      </c>
      <c r="AA1013" s="2"/>
      <c r="AB1013" s="2"/>
      <c r="AC1013" t="s">
        <v>4530</v>
      </c>
      <c r="AD1013">
        <v>8.99</v>
      </c>
      <c r="AE1013">
        <v>2374.54</v>
      </c>
      <c r="AF1013" s="2">
        <f t="shared" si="59"/>
        <v>0.00671892497200454</v>
      </c>
      <c r="AG1013" s="2">
        <f t="shared" si="60"/>
        <v>0.0151337671109895</v>
      </c>
      <c r="AH1013" t="s">
        <v>4531</v>
      </c>
      <c r="AI1013" t="s">
        <v>4532</v>
      </c>
      <c r="AJ1013" t="s">
        <v>625</v>
      </c>
    </row>
    <row r="1014" hidden="1" spans="1:36">
      <c r="A1014">
        <v>113007</v>
      </c>
      <c r="B1014" t="s">
        <v>4248</v>
      </c>
      <c r="C1014">
        <v>601929</v>
      </c>
      <c r="D1014" t="s">
        <v>4249</v>
      </c>
      <c r="E1014" t="s">
        <v>4533</v>
      </c>
      <c r="F1014" t="s">
        <v>98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 t="s">
        <v>41</v>
      </c>
      <c r="M1014" t="s">
        <v>41</v>
      </c>
      <c r="N1014" t="s">
        <v>41</v>
      </c>
      <c r="O1014" t="s">
        <v>41</v>
      </c>
      <c r="P1014" t="s">
        <v>41</v>
      </c>
      <c r="Q1014" s="2"/>
      <c r="R1014" s="2"/>
      <c r="S1014" t="s">
        <v>41</v>
      </c>
      <c r="T1014" t="s">
        <v>41</v>
      </c>
      <c r="U1014" t="s">
        <v>41</v>
      </c>
      <c r="V1014" s="2"/>
      <c r="W1014" s="2"/>
      <c r="X1014" t="s">
        <v>4534</v>
      </c>
      <c r="Y1014">
        <v>6.07</v>
      </c>
      <c r="Z1014">
        <v>2326.432</v>
      </c>
      <c r="AA1014" s="2"/>
      <c r="AB1014" s="2"/>
      <c r="AC1014" t="s">
        <v>4535</v>
      </c>
      <c r="AD1014">
        <v>6.55</v>
      </c>
      <c r="AE1014">
        <v>2345.103</v>
      </c>
      <c r="AF1014" s="2">
        <f t="shared" si="59"/>
        <v>0.0790774299835255</v>
      </c>
      <c r="AG1014" s="2">
        <f t="shared" si="60"/>
        <v>0.00802559455853439</v>
      </c>
      <c r="AH1014" t="s">
        <v>4536</v>
      </c>
      <c r="AI1014" t="s">
        <v>4537</v>
      </c>
      <c r="AJ1014" t="s">
        <v>625</v>
      </c>
    </row>
    <row r="1015" hidden="1" spans="1:36">
      <c r="A1015">
        <v>128007</v>
      </c>
      <c r="B1015" t="s">
        <v>4538</v>
      </c>
      <c r="C1015">
        <v>2491</v>
      </c>
      <c r="D1015" t="s">
        <v>4539</v>
      </c>
      <c r="E1015" t="s">
        <v>4540</v>
      </c>
      <c r="F1015" t="s">
        <v>56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 t="s">
        <v>41</v>
      </c>
      <c r="M1015" t="s">
        <v>41</v>
      </c>
      <c r="N1015" t="s">
        <v>41</v>
      </c>
      <c r="O1015" t="s">
        <v>41</v>
      </c>
      <c r="P1015" t="s">
        <v>41</v>
      </c>
      <c r="Q1015" s="2"/>
      <c r="R1015" s="2"/>
      <c r="S1015" t="s">
        <v>41</v>
      </c>
      <c r="T1015" t="s">
        <v>41</v>
      </c>
      <c r="U1015" t="s">
        <v>41</v>
      </c>
      <c r="V1015" s="2"/>
      <c r="W1015" s="2"/>
      <c r="X1015" t="s">
        <v>4541</v>
      </c>
      <c r="Y1015">
        <v>5.27</v>
      </c>
      <c r="Z1015">
        <v>2226.734</v>
      </c>
      <c r="AA1015" s="2"/>
      <c r="AB1015" s="2"/>
      <c r="AC1015" t="s">
        <v>4534</v>
      </c>
      <c r="AD1015">
        <v>5.96</v>
      </c>
      <c r="AE1015">
        <v>2326.432</v>
      </c>
      <c r="AF1015" s="2">
        <f t="shared" si="59"/>
        <v>0.130929791271347</v>
      </c>
      <c r="AG1015" s="2">
        <f t="shared" si="60"/>
        <v>0.0447731969781752</v>
      </c>
      <c r="AH1015" t="s">
        <v>4542</v>
      </c>
      <c r="AI1015" t="s">
        <v>4543</v>
      </c>
      <c r="AJ1015" t="s">
        <v>625</v>
      </c>
    </row>
    <row r="1016" hidden="1" spans="1:36">
      <c r="A1016">
        <v>110028</v>
      </c>
      <c r="B1016" t="s">
        <v>4544</v>
      </c>
      <c r="C1016">
        <v>600067</v>
      </c>
      <c r="D1016" t="s">
        <v>4545</v>
      </c>
      <c r="E1016" t="s">
        <v>4546</v>
      </c>
      <c r="F1016" t="s">
        <v>397</v>
      </c>
      <c r="G1016" t="s">
        <v>41</v>
      </c>
      <c r="H1016" t="s">
        <v>41</v>
      </c>
      <c r="I1016" t="s">
        <v>41</v>
      </c>
      <c r="J1016" t="s">
        <v>41</v>
      </c>
      <c r="K1016" t="s">
        <v>41</v>
      </c>
      <c r="L1016" t="s">
        <v>41</v>
      </c>
      <c r="M1016" t="s">
        <v>41</v>
      </c>
      <c r="N1016" t="s">
        <v>41</v>
      </c>
      <c r="O1016" t="s">
        <v>41</v>
      </c>
      <c r="P1016" t="s">
        <v>41</v>
      </c>
      <c r="Q1016" s="2"/>
      <c r="R1016" s="2"/>
      <c r="S1016" t="s">
        <v>41</v>
      </c>
      <c r="T1016" t="s">
        <v>41</v>
      </c>
      <c r="U1016" t="s">
        <v>41</v>
      </c>
      <c r="V1016" s="2"/>
      <c r="W1016" s="2"/>
      <c r="X1016" t="s">
        <v>4547</v>
      </c>
      <c r="Y1016">
        <v>5.33</v>
      </c>
      <c r="Z1016">
        <v>2059.067</v>
      </c>
      <c r="AA1016" s="2"/>
      <c r="AB1016" s="2"/>
      <c r="AC1016" t="s">
        <v>4548</v>
      </c>
      <c r="AD1016">
        <v>5.48</v>
      </c>
      <c r="AE1016">
        <v>2185.303</v>
      </c>
      <c r="AF1016" s="2">
        <f t="shared" si="59"/>
        <v>0.0281425891181989</v>
      </c>
      <c r="AG1016" s="2">
        <f t="shared" si="60"/>
        <v>0.0613073785360068</v>
      </c>
      <c r="AH1016" t="s">
        <v>4549</v>
      </c>
      <c r="AI1016" t="s">
        <v>4550</v>
      </c>
      <c r="AJ1016" t="s">
        <v>625</v>
      </c>
    </row>
    <row r="1017" hidden="1" spans="1:36">
      <c r="A1017">
        <v>110027</v>
      </c>
      <c r="B1017" t="s">
        <v>4551</v>
      </c>
      <c r="C1017">
        <v>600875</v>
      </c>
      <c r="D1017" t="s">
        <v>4552</v>
      </c>
      <c r="E1017" t="s">
        <v>4553</v>
      </c>
      <c r="F1017" t="s">
        <v>444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s="2"/>
      <c r="R1017" s="2"/>
      <c r="S1017" t="s">
        <v>41</v>
      </c>
      <c r="T1017" t="s">
        <v>41</v>
      </c>
      <c r="U1017" t="s">
        <v>41</v>
      </c>
      <c r="V1017" s="2"/>
      <c r="W1017" s="2"/>
      <c r="X1017" t="s">
        <v>4554</v>
      </c>
      <c r="Y1017">
        <v>9.7</v>
      </c>
      <c r="Z1017">
        <v>2038.342</v>
      </c>
      <c r="AA1017" s="2"/>
      <c r="AB1017" s="2"/>
      <c r="AC1017" t="s">
        <v>4555</v>
      </c>
      <c r="AD1017">
        <v>10.36</v>
      </c>
      <c r="AE1017">
        <v>2126.614</v>
      </c>
      <c r="AF1017" s="2">
        <f t="shared" si="59"/>
        <v>0.0680412371134021</v>
      </c>
      <c r="AG1017" s="2">
        <f t="shared" si="60"/>
        <v>0.0433057847996067</v>
      </c>
      <c r="AH1017" t="s">
        <v>3121</v>
      </c>
      <c r="AI1017" t="s">
        <v>4502</v>
      </c>
      <c r="AJ1017" t="s">
        <v>625</v>
      </c>
    </row>
    <row r="1018" hidden="1" spans="1:36">
      <c r="A1018">
        <v>128006</v>
      </c>
      <c r="B1018" t="s">
        <v>4556</v>
      </c>
      <c r="C1018">
        <v>2391</v>
      </c>
      <c r="D1018" t="s">
        <v>3917</v>
      </c>
      <c r="E1018" t="s">
        <v>4557</v>
      </c>
      <c r="F1018" t="s">
        <v>397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 t="s">
        <v>41</v>
      </c>
      <c r="M1018" t="s">
        <v>41</v>
      </c>
      <c r="N1018" t="s">
        <v>41</v>
      </c>
      <c r="O1018" t="s">
        <v>41</v>
      </c>
      <c r="P1018" t="s">
        <v>41</v>
      </c>
      <c r="Q1018" s="2"/>
      <c r="R1018" s="2"/>
      <c r="S1018" t="s">
        <v>41</v>
      </c>
      <c r="T1018" t="s">
        <v>41</v>
      </c>
      <c r="U1018" t="s">
        <v>41</v>
      </c>
      <c r="V1018" s="2"/>
      <c r="W1018" s="2"/>
      <c r="X1018" t="s">
        <v>4558</v>
      </c>
      <c r="Y1018">
        <v>6.24</v>
      </c>
      <c r="Z1018">
        <v>2026.674</v>
      </c>
      <c r="AA1018" s="2"/>
      <c r="AB1018" s="2"/>
      <c r="AC1018" t="s">
        <v>4559</v>
      </c>
      <c r="AD1018">
        <v>6.6</v>
      </c>
      <c r="AE1018">
        <v>2038.612</v>
      </c>
      <c r="AF1018" s="2">
        <f t="shared" si="59"/>
        <v>0.0576923076923076</v>
      </c>
      <c r="AG1018" s="2">
        <f t="shared" si="60"/>
        <v>0.00589043921222659</v>
      </c>
      <c r="AH1018" t="s">
        <v>3232</v>
      </c>
      <c r="AI1018" t="s">
        <v>4560</v>
      </c>
      <c r="AJ1018" t="s">
        <v>625</v>
      </c>
    </row>
    <row r="1019" hidden="1" spans="1:36">
      <c r="A1019">
        <v>110025</v>
      </c>
      <c r="B1019" t="s">
        <v>4561</v>
      </c>
      <c r="C1019">
        <v>600109</v>
      </c>
      <c r="D1019" t="s">
        <v>4562</v>
      </c>
      <c r="E1019" t="s">
        <v>4510</v>
      </c>
      <c r="F1019" t="s">
        <v>98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 t="s">
        <v>41</v>
      </c>
      <c r="M1019" t="s">
        <v>41</v>
      </c>
      <c r="N1019" t="s">
        <v>41</v>
      </c>
      <c r="O1019" t="s">
        <v>41</v>
      </c>
      <c r="P1019" t="s">
        <v>41</v>
      </c>
      <c r="Q1019" s="2"/>
      <c r="R1019" s="2"/>
      <c r="S1019" t="s">
        <v>41</v>
      </c>
      <c r="T1019" t="s">
        <v>41</v>
      </c>
      <c r="U1019" t="s">
        <v>41</v>
      </c>
      <c r="V1019" s="2"/>
      <c r="W1019" s="2"/>
      <c r="X1019" t="s">
        <v>4563</v>
      </c>
      <c r="Y1019">
        <v>9.24</v>
      </c>
      <c r="Z1019">
        <v>2047.91</v>
      </c>
      <c r="AA1019" s="2"/>
      <c r="AB1019" s="2"/>
      <c r="AC1019" t="s">
        <v>4564</v>
      </c>
      <c r="AD1019">
        <v>8.9</v>
      </c>
      <c r="AE1019">
        <v>2038.305</v>
      </c>
      <c r="AF1019" s="2">
        <f t="shared" si="59"/>
        <v>-0.0367965367965368</v>
      </c>
      <c r="AG1019" s="2">
        <f t="shared" si="60"/>
        <v>-0.00469014751624828</v>
      </c>
      <c r="AH1019" t="s">
        <v>3266</v>
      </c>
      <c r="AI1019" t="s">
        <v>4565</v>
      </c>
      <c r="AJ1019" t="s">
        <v>625</v>
      </c>
    </row>
    <row r="1020" hidden="1" spans="1:36">
      <c r="A1020">
        <v>128005</v>
      </c>
      <c r="B1020" t="s">
        <v>4566</v>
      </c>
      <c r="C1020">
        <v>2408</v>
      </c>
      <c r="D1020" t="s">
        <v>3003</v>
      </c>
      <c r="E1020" t="s">
        <v>4567</v>
      </c>
      <c r="F1020" t="s">
        <v>397</v>
      </c>
      <c r="G1020" t="s">
        <v>41</v>
      </c>
      <c r="H1020" t="s">
        <v>41</v>
      </c>
      <c r="I1020" t="s">
        <v>41</v>
      </c>
      <c r="J1020" t="s">
        <v>41</v>
      </c>
      <c r="K1020" t="s">
        <v>41</v>
      </c>
      <c r="L1020" t="s">
        <v>41</v>
      </c>
      <c r="M1020" t="s">
        <v>41</v>
      </c>
      <c r="N1020" t="s">
        <v>41</v>
      </c>
      <c r="O1020" t="s">
        <v>41</v>
      </c>
      <c r="P1020" t="s">
        <v>41</v>
      </c>
      <c r="Q1020" s="2"/>
      <c r="R1020" s="2"/>
      <c r="S1020" t="s">
        <v>41</v>
      </c>
      <c r="T1020" t="s">
        <v>41</v>
      </c>
      <c r="U1020" t="s">
        <v>41</v>
      </c>
      <c r="V1020" s="2"/>
      <c r="W1020" s="2"/>
      <c r="X1020" t="s">
        <v>4568</v>
      </c>
      <c r="Y1020">
        <v>2.99</v>
      </c>
      <c r="Z1020">
        <v>2097.748</v>
      </c>
      <c r="AA1020" s="2"/>
      <c r="AB1020" s="2"/>
      <c r="AC1020" t="s">
        <v>4569</v>
      </c>
      <c r="AD1020">
        <v>3.14</v>
      </c>
      <c r="AE1020">
        <v>2050.728</v>
      </c>
      <c r="AF1020" s="2">
        <f t="shared" si="59"/>
        <v>0.0501672240802675</v>
      </c>
      <c r="AG1020" s="2">
        <f t="shared" si="60"/>
        <v>-0.022414513087368</v>
      </c>
      <c r="AH1020" t="s">
        <v>3768</v>
      </c>
      <c r="AI1020" t="s">
        <v>4570</v>
      </c>
      <c r="AJ1020" t="s">
        <v>625</v>
      </c>
    </row>
    <row r="1021" hidden="1" spans="1:36">
      <c r="A1021">
        <v>128004</v>
      </c>
      <c r="B1021" t="s">
        <v>4571</v>
      </c>
      <c r="C1021">
        <v>2318</v>
      </c>
      <c r="D1021" t="s">
        <v>4345</v>
      </c>
      <c r="E1021" t="s">
        <v>4572</v>
      </c>
      <c r="F1021" t="s">
        <v>397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 t="s">
        <v>41</v>
      </c>
      <c r="M1021" t="s">
        <v>41</v>
      </c>
      <c r="N1021" t="s">
        <v>41</v>
      </c>
      <c r="O1021" t="s">
        <v>41</v>
      </c>
      <c r="P1021" t="s">
        <v>41</v>
      </c>
      <c r="Q1021" s="2"/>
      <c r="R1021" s="2"/>
      <c r="S1021" t="s">
        <v>41</v>
      </c>
      <c r="T1021" t="s">
        <v>41</v>
      </c>
      <c r="U1021" t="s">
        <v>41</v>
      </c>
      <c r="V1021" s="2"/>
      <c r="W1021" s="2"/>
      <c r="X1021" t="s">
        <v>4573</v>
      </c>
      <c r="Y1021">
        <v>3.95</v>
      </c>
      <c r="Z1021">
        <v>2034.219</v>
      </c>
      <c r="AA1021" s="2"/>
      <c r="AB1021" s="2"/>
      <c r="AC1021" t="s">
        <v>4574</v>
      </c>
      <c r="AD1021">
        <v>3.51</v>
      </c>
      <c r="AE1021">
        <v>2004.339</v>
      </c>
      <c r="AF1021" s="2">
        <f t="shared" si="59"/>
        <v>-0.111392405063291</v>
      </c>
      <c r="AG1021" s="2">
        <f t="shared" si="60"/>
        <v>-0.0146886839617564</v>
      </c>
      <c r="AH1021" t="s">
        <v>3440</v>
      </c>
      <c r="AI1021" t="s">
        <v>4575</v>
      </c>
      <c r="AJ1021" t="s">
        <v>625</v>
      </c>
    </row>
    <row r="1022" hidden="1" spans="1:36">
      <c r="A1022">
        <v>113006</v>
      </c>
      <c r="B1022" t="s">
        <v>4576</v>
      </c>
      <c r="C1022">
        <v>601139</v>
      </c>
      <c r="D1022" t="s">
        <v>1180</v>
      </c>
      <c r="E1022" t="s">
        <v>4577</v>
      </c>
      <c r="F1022" t="s">
        <v>98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 t="s">
        <v>41</v>
      </c>
      <c r="M1022" t="s">
        <v>41</v>
      </c>
      <c r="N1022" t="s">
        <v>41</v>
      </c>
      <c r="O1022" t="s">
        <v>41</v>
      </c>
      <c r="P1022" t="s">
        <v>41</v>
      </c>
      <c r="Q1022" s="2"/>
      <c r="R1022" s="2"/>
      <c r="S1022" t="s">
        <v>41</v>
      </c>
      <c r="T1022" t="s">
        <v>41</v>
      </c>
      <c r="U1022" t="s">
        <v>41</v>
      </c>
      <c r="V1022" s="2"/>
      <c r="W1022" s="2"/>
      <c r="X1022" t="s">
        <v>4578</v>
      </c>
      <c r="Y1022">
        <v>4.76</v>
      </c>
      <c r="Z1022">
        <v>2196.075</v>
      </c>
      <c r="AA1022" s="2"/>
      <c r="AB1022" s="2"/>
      <c r="AC1022" t="s">
        <v>4579</v>
      </c>
      <c r="AD1022">
        <v>4.48</v>
      </c>
      <c r="AE1022">
        <v>2101.251</v>
      </c>
      <c r="AF1022" s="2">
        <f t="shared" si="59"/>
        <v>-0.0588235294117646</v>
      </c>
      <c r="AG1022" s="2">
        <f t="shared" si="60"/>
        <v>-0.0431788531812436</v>
      </c>
      <c r="AH1022" t="s">
        <v>3550</v>
      </c>
      <c r="AI1022" t="s">
        <v>4580</v>
      </c>
      <c r="AJ1022" t="s">
        <v>625</v>
      </c>
    </row>
    <row r="1023" hidden="1" spans="1:36">
      <c r="A1023">
        <v>113005</v>
      </c>
      <c r="B1023" t="s">
        <v>4581</v>
      </c>
      <c r="C1023">
        <v>601318</v>
      </c>
      <c r="D1023" t="s">
        <v>4582</v>
      </c>
      <c r="E1023" t="s">
        <v>4583</v>
      </c>
      <c r="F1023" t="s">
        <v>444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 t="s">
        <v>41</v>
      </c>
      <c r="M1023" t="s">
        <v>41</v>
      </c>
      <c r="N1023" t="s">
        <v>41</v>
      </c>
      <c r="O1023" t="s">
        <v>41</v>
      </c>
      <c r="P1023" t="s">
        <v>41</v>
      </c>
      <c r="Q1023" s="2"/>
      <c r="R1023" s="2"/>
      <c r="S1023" t="s">
        <v>41</v>
      </c>
      <c r="T1023" t="s">
        <v>41</v>
      </c>
      <c r="U1023" t="s">
        <v>41</v>
      </c>
      <c r="V1023" s="2"/>
      <c r="W1023" s="2"/>
      <c r="X1023" t="s">
        <v>4584</v>
      </c>
      <c r="Y1023">
        <v>-0.2</v>
      </c>
      <c r="Z1023">
        <v>2196.378</v>
      </c>
      <c r="AA1023" s="2"/>
      <c r="AB1023" s="2"/>
      <c r="AC1023" t="s">
        <v>4585</v>
      </c>
      <c r="AD1023">
        <v>1.21</v>
      </c>
      <c r="AE1023">
        <v>2238.2</v>
      </c>
      <c r="AF1023" s="2">
        <f t="shared" si="59"/>
        <v>-7.05</v>
      </c>
      <c r="AG1023" s="2">
        <f t="shared" si="60"/>
        <v>0.0190413489845553</v>
      </c>
      <c r="AH1023" t="s">
        <v>3615</v>
      </c>
      <c r="AI1023" t="s">
        <v>4586</v>
      </c>
      <c r="AJ1023" t="s">
        <v>625</v>
      </c>
    </row>
    <row r="1024" hidden="1" spans="1:36">
      <c r="A1024">
        <v>127002</v>
      </c>
      <c r="B1024" t="s">
        <v>4587</v>
      </c>
      <c r="C1024">
        <v>425</v>
      </c>
      <c r="D1024" t="s">
        <v>4588</v>
      </c>
      <c r="E1024" t="s">
        <v>4510</v>
      </c>
      <c r="F1024" t="s">
        <v>444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 t="s">
        <v>41</v>
      </c>
      <c r="M1024" t="s">
        <v>41</v>
      </c>
      <c r="N1024" t="s">
        <v>41</v>
      </c>
      <c r="O1024" t="s">
        <v>41</v>
      </c>
      <c r="P1024" t="s">
        <v>41</v>
      </c>
      <c r="Q1024" s="2"/>
      <c r="R1024" s="2"/>
      <c r="S1024" t="s">
        <v>41</v>
      </c>
      <c r="T1024" t="s">
        <v>41</v>
      </c>
      <c r="U1024" t="s">
        <v>41</v>
      </c>
      <c r="V1024" s="2"/>
      <c r="W1024" s="2"/>
      <c r="X1024" t="s">
        <v>4589</v>
      </c>
      <c r="Y1024">
        <v>1.55</v>
      </c>
      <c r="Z1024">
        <v>2132.955</v>
      </c>
      <c r="AA1024" s="2"/>
      <c r="AB1024" s="2"/>
      <c r="AC1024" t="s">
        <v>4590</v>
      </c>
      <c r="AD1024">
        <v>1.51</v>
      </c>
      <c r="AE1024">
        <v>2135.827</v>
      </c>
      <c r="AF1024" s="2">
        <f t="shared" si="59"/>
        <v>-0.0258064516129032</v>
      </c>
      <c r="AG1024" s="2">
        <f t="shared" si="60"/>
        <v>0.00134648879137173</v>
      </c>
      <c r="AH1024" t="s">
        <v>3621</v>
      </c>
      <c r="AI1024" t="s">
        <v>4591</v>
      </c>
      <c r="AJ1024" t="s">
        <v>625</v>
      </c>
    </row>
    <row r="1025" hidden="1" spans="1:36">
      <c r="A1025">
        <v>110024</v>
      </c>
      <c r="B1025" t="s">
        <v>4592</v>
      </c>
      <c r="C1025">
        <v>600820</v>
      </c>
      <c r="D1025" t="s">
        <v>4593</v>
      </c>
      <c r="E1025" t="s">
        <v>4594</v>
      </c>
      <c r="F1025" t="s">
        <v>98</v>
      </c>
      <c r="G1025" t="s">
        <v>41</v>
      </c>
      <c r="H1025" t="s">
        <v>41</v>
      </c>
      <c r="I1025" t="s">
        <v>41</v>
      </c>
      <c r="J1025" t="s">
        <v>41</v>
      </c>
      <c r="K1025" t="s">
        <v>41</v>
      </c>
      <c r="L1025" t="s">
        <v>41</v>
      </c>
      <c r="M1025" t="s">
        <v>41</v>
      </c>
      <c r="N1025" t="s">
        <v>41</v>
      </c>
      <c r="O1025" t="s">
        <v>41</v>
      </c>
      <c r="P1025" t="s">
        <v>41</v>
      </c>
      <c r="Q1025" s="2"/>
      <c r="R1025" s="2"/>
      <c r="S1025" t="s">
        <v>41</v>
      </c>
      <c r="T1025" t="s">
        <v>41</v>
      </c>
      <c r="U1025" t="s">
        <v>41</v>
      </c>
      <c r="V1025" s="2"/>
      <c r="W1025" s="2"/>
      <c r="X1025" t="s">
        <v>4595</v>
      </c>
      <c r="Y1025">
        <v>1.95</v>
      </c>
      <c r="Z1025">
        <v>2236.217</v>
      </c>
      <c r="AA1025" s="2"/>
      <c r="AB1025" s="2"/>
      <c r="AC1025" t="s">
        <v>4596</v>
      </c>
      <c r="AD1025">
        <v>1.76</v>
      </c>
      <c r="AE1025">
        <v>2174.665</v>
      </c>
      <c r="AF1025" s="2">
        <f t="shared" si="59"/>
        <v>-0.0974358974358974</v>
      </c>
      <c r="AG1025" s="2">
        <f t="shared" si="60"/>
        <v>-0.0275250568258806</v>
      </c>
      <c r="AH1025" t="s">
        <v>4597</v>
      </c>
      <c r="AI1025" t="s">
        <v>4598</v>
      </c>
      <c r="AJ1025" t="s">
        <v>625</v>
      </c>
    </row>
    <row r="1026" hidden="1" spans="1:36">
      <c r="A1026">
        <v>128003</v>
      </c>
      <c r="B1026" t="s">
        <v>4599</v>
      </c>
      <c r="C1026">
        <v>2185</v>
      </c>
      <c r="D1026" t="s">
        <v>4600</v>
      </c>
      <c r="E1026" t="s">
        <v>4601</v>
      </c>
      <c r="F1026" t="s">
        <v>397</v>
      </c>
      <c r="G1026" t="s">
        <v>41</v>
      </c>
      <c r="H1026" t="s">
        <v>41</v>
      </c>
      <c r="I1026" t="s">
        <v>41</v>
      </c>
      <c r="J1026" t="s">
        <v>41</v>
      </c>
      <c r="K1026" t="s">
        <v>41</v>
      </c>
      <c r="L1026" t="s">
        <v>41</v>
      </c>
      <c r="M1026" t="s">
        <v>41</v>
      </c>
      <c r="N1026" t="s">
        <v>41</v>
      </c>
      <c r="O1026" t="s">
        <v>41</v>
      </c>
      <c r="P1026" t="s">
        <v>41</v>
      </c>
      <c r="Q1026" s="2"/>
      <c r="R1026" s="2"/>
      <c r="S1026" t="s">
        <v>41</v>
      </c>
      <c r="T1026" t="s">
        <v>41</v>
      </c>
      <c r="U1026" t="s">
        <v>41</v>
      </c>
      <c r="V1026" s="2"/>
      <c r="W1026" s="2"/>
      <c r="X1026" t="s">
        <v>4602</v>
      </c>
      <c r="Y1026">
        <v>3.2</v>
      </c>
      <c r="Z1026">
        <v>2101.283</v>
      </c>
      <c r="AA1026" s="2"/>
      <c r="AB1026" s="2"/>
      <c r="AC1026" t="s">
        <v>4603</v>
      </c>
      <c r="AD1026">
        <v>2.93</v>
      </c>
      <c r="AE1026">
        <v>2101.301</v>
      </c>
      <c r="AF1026" s="2">
        <f t="shared" si="59"/>
        <v>-0.084375</v>
      </c>
      <c r="AG1026" s="2">
        <f t="shared" si="60"/>
        <v>8.56619503419059e-6</v>
      </c>
      <c r="AH1026" t="s">
        <v>4604</v>
      </c>
      <c r="AI1026" t="s">
        <v>4605</v>
      </c>
      <c r="AJ1026" t="s">
        <v>625</v>
      </c>
    </row>
    <row r="1027" hidden="1" spans="1:36">
      <c r="A1027">
        <v>128002</v>
      </c>
      <c r="B1027" t="s">
        <v>4606</v>
      </c>
      <c r="C1027">
        <v>2065</v>
      </c>
      <c r="D1027" t="s">
        <v>4607</v>
      </c>
      <c r="E1027" t="s">
        <v>4608</v>
      </c>
      <c r="F1027" t="s">
        <v>397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 t="s">
        <v>41</v>
      </c>
      <c r="M1027" t="s">
        <v>41</v>
      </c>
      <c r="N1027" t="s">
        <v>41</v>
      </c>
      <c r="O1027" t="s">
        <v>41</v>
      </c>
      <c r="P1027" t="s">
        <v>41</v>
      </c>
      <c r="Q1027" s="2"/>
      <c r="R1027" s="2"/>
      <c r="S1027" t="s">
        <v>41</v>
      </c>
      <c r="T1027" t="s">
        <v>41</v>
      </c>
      <c r="U1027" t="s">
        <v>41</v>
      </c>
      <c r="V1027" s="2"/>
      <c r="W1027" s="2"/>
      <c r="X1027" t="s">
        <v>4609</v>
      </c>
      <c r="Y1027">
        <v>6.04</v>
      </c>
      <c r="Z1027">
        <v>2010.85</v>
      </c>
      <c r="AA1027" s="2"/>
      <c r="AB1027" s="2"/>
      <c r="AC1027" t="s">
        <v>4610</v>
      </c>
      <c r="AD1027">
        <v>6.81</v>
      </c>
      <c r="AE1027">
        <v>2085.602</v>
      </c>
      <c r="AF1027" s="2">
        <f t="shared" ref="AF1027:AF1090" si="61">(AD1027-Y1027)/Y1027</f>
        <v>0.127483443708609</v>
      </c>
      <c r="AG1027" s="2">
        <f t="shared" ref="AG1027:AG1090" si="62">(AE1027-Z1027)/Z1027</f>
        <v>0.0371743292637442</v>
      </c>
      <c r="AH1027" t="s">
        <v>3703</v>
      </c>
      <c r="AI1027" t="s">
        <v>4611</v>
      </c>
      <c r="AJ1027" t="s">
        <v>625</v>
      </c>
    </row>
    <row r="1028" hidden="1" spans="1:36">
      <c r="A1028">
        <v>110023</v>
      </c>
      <c r="B1028" t="s">
        <v>4612</v>
      </c>
      <c r="C1028">
        <v>600016</v>
      </c>
      <c r="D1028" t="s">
        <v>4613</v>
      </c>
      <c r="E1028" t="s">
        <v>4614</v>
      </c>
      <c r="F1028" t="s">
        <v>98</v>
      </c>
      <c r="G1028" t="s">
        <v>41</v>
      </c>
      <c r="H1028" t="s">
        <v>41</v>
      </c>
      <c r="I1028" t="s">
        <v>41</v>
      </c>
      <c r="J1028" t="s">
        <v>41</v>
      </c>
      <c r="K1028" t="s">
        <v>41</v>
      </c>
      <c r="L1028" t="s">
        <v>41</v>
      </c>
      <c r="M1028" t="s">
        <v>41</v>
      </c>
      <c r="N1028" t="s">
        <v>41</v>
      </c>
      <c r="O1028" t="s">
        <v>41</v>
      </c>
      <c r="P1028" t="s">
        <v>41</v>
      </c>
      <c r="Q1028" s="2"/>
      <c r="R1028" s="2"/>
      <c r="S1028" t="s">
        <v>41</v>
      </c>
      <c r="T1028" t="s">
        <v>41</v>
      </c>
      <c r="U1028" t="s">
        <v>41</v>
      </c>
      <c r="V1028" s="2"/>
      <c r="W1028" s="2"/>
      <c r="X1028" t="s">
        <v>4615</v>
      </c>
      <c r="Y1028">
        <v>4</v>
      </c>
      <c r="Z1028">
        <v>2278.401</v>
      </c>
      <c r="AA1028" s="2"/>
      <c r="AB1028" s="2"/>
      <c r="AC1028" t="s">
        <v>4616</v>
      </c>
      <c r="AD1028">
        <v>3.75</v>
      </c>
      <c r="AE1028">
        <v>2236.621</v>
      </c>
      <c r="AF1028" s="2">
        <f t="shared" si="61"/>
        <v>-0.0625</v>
      </c>
      <c r="AG1028" s="2">
        <f t="shared" si="62"/>
        <v>-0.018337421726904</v>
      </c>
      <c r="AH1028" t="s">
        <v>3862</v>
      </c>
      <c r="AI1028" t="s">
        <v>4617</v>
      </c>
      <c r="AJ1028" t="s">
        <v>625</v>
      </c>
    </row>
    <row r="1029" hidden="1" spans="1:36">
      <c r="A1029">
        <v>128001</v>
      </c>
      <c r="B1029" t="s">
        <v>4618</v>
      </c>
      <c r="C1029">
        <v>2347</v>
      </c>
      <c r="D1029" t="s">
        <v>4619</v>
      </c>
      <c r="E1029" t="s">
        <v>4620</v>
      </c>
      <c r="F1029" t="s">
        <v>397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 t="s">
        <v>41</v>
      </c>
      <c r="M1029" t="s">
        <v>41</v>
      </c>
      <c r="N1029" t="s">
        <v>41</v>
      </c>
      <c r="O1029" t="s">
        <v>41</v>
      </c>
      <c r="P1029" t="s">
        <v>41</v>
      </c>
      <c r="Q1029" s="2"/>
      <c r="R1029" s="2"/>
      <c r="S1029" t="s">
        <v>41</v>
      </c>
      <c r="T1029" t="s">
        <v>41</v>
      </c>
      <c r="U1029" t="s">
        <v>41</v>
      </c>
      <c r="V1029" s="2"/>
      <c r="W1029" s="2"/>
      <c r="X1029" t="s">
        <v>4621</v>
      </c>
      <c r="Y1029">
        <v>4.14</v>
      </c>
      <c r="Z1029">
        <v>2275.34</v>
      </c>
      <c r="AA1029" s="2"/>
      <c r="AB1029" s="2"/>
      <c r="AC1029" t="s">
        <v>4622</v>
      </c>
      <c r="AD1029">
        <v>4.16</v>
      </c>
      <c r="AE1029">
        <v>2346.505</v>
      </c>
      <c r="AF1029" s="2">
        <f t="shared" si="61"/>
        <v>0.00483091787439625</v>
      </c>
      <c r="AG1029" s="2">
        <f t="shared" si="62"/>
        <v>0.0312766443696327</v>
      </c>
      <c r="AH1029" t="s">
        <v>4623</v>
      </c>
      <c r="AI1029" t="s">
        <v>4624</v>
      </c>
      <c r="AJ1029" t="s">
        <v>625</v>
      </c>
    </row>
    <row r="1030" hidden="1" spans="1:36">
      <c r="A1030">
        <v>127001</v>
      </c>
      <c r="B1030" t="s">
        <v>4625</v>
      </c>
      <c r="C1030">
        <v>99</v>
      </c>
      <c r="D1030" t="s">
        <v>4626</v>
      </c>
      <c r="E1030" t="s">
        <v>4627</v>
      </c>
      <c r="F1030" t="s">
        <v>98</v>
      </c>
      <c r="G1030" t="s">
        <v>41</v>
      </c>
      <c r="H1030" t="s">
        <v>41</v>
      </c>
      <c r="I1030" t="s">
        <v>41</v>
      </c>
      <c r="J1030" t="s">
        <v>41</v>
      </c>
      <c r="K1030" t="s">
        <v>41</v>
      </c>
      <c r="L1030" t="s">
        <v>41</v>
      </c>
      <c r="M1030" t="s">
        <v>41</v>
      </c>
      <c r="N1030" t="s">
        <v>41</v>
      </c>
      <c r="O1030" t="s">
        <v>41</v>
      </c>
      <c r="P1030" t="s">
        <v>41</v>
      </c>
      <c r="Q1030" s="2"/>
      <c r="R1030" s="2"/>
      <c r="S1030" t="s">
        <v>41</v>
      </c>
      <c r="T1030" t="s">
        <v>41</v>
      </c>
      <c r="U1030" t="s">
        <v>41</v>
      </c>
      <c r="V1030" s="2"/>
      <c r="W1030" s="2"/>
      <c r="X1030" t="s">
        <v>4628</v>
      </c>
      <c r="Y1030">
        <v>6.58</v>
      </c>
      <c r="Z1030">
        <v>2162.239</v>
      </c>
      <c r="AA1030" s="2"/>
      <c r="AB1030" s="2"/>
      <c r="AC1030" t="s">
        <v>4629</v>
      </c>
      <c r="AD1030">
        <v>6.8</v>
      </c>
      <c r="AE1030">
        <v>2285.364</v>
      </c>
      <c r="AF1030" s="2">
        <f t="shared" si="61"/>
        <v>0.033434650455927</v>
      </c>
      <c r="AG1030" s="2">
        <f t="shared" si="62"/>
        <v>0.0569432888778715</v>
      </c>
      <c r="AH1030" t="s">
        <v>3971</v>
      </c>
      <c r="AI1030" t="s">
        <v>4630</v>
      </c>
      <c r="AJ1030" t="s">
        <v>625</v>
      </c>
    </row>
    <row r="1031" hidden="1" spans="1:36">
      <c r="A1031">
        <v>110022</v>
      </c>
      <c r="B1031" t="s">
        <v>4631</v>
      </c>
      <c r="C1031">
        <v>600085</v>
      </c>
      <c r="D1031" t="s">
        <v>4632</v>
      </c>
      <c r="E1031" t="s">
        <v>4633</v>
      </c>
      <c r="F1031" t="s">
        <v>444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 t="s">
        <v>41</v>
      </c>
      <c r="M1031" t="s">
        <v>41</v>
      </c>
      <c r="N1031" t="s">
        <v>41</v>
      </c>
      <c r="O1031" t="s">
        <v>41</v>
      </c>
      <c r="P1031" t="s">
        <v>41</v>
      </c>
      <c r="Q1031" s="2"/>
      <c r="R1031" s="2"/>
      <c r="S1031" t="s">
        <v>41</v>
      </c>
      <c r="T1031" t="s">
        <v>41</v>
      </c>
      <c r="U1031" t="s">
        <v>41</v>
      </c>
      <c r="V1031" s="2"/>
      <c r="W1031" s="2"/>
      <c r="X1031" t="s">
        <v>4634</v>
      </c>
      <c r="Y1031">
        <v>11.78</v>
      </c>
      <c r="Z1031">
        <v>1975.143</v>
      </c>
      <c r="AA1031" s="2"/>
      <c r="AB1031" s="2"/>
      <c r="AC1031" t="s">
        <v>4635</v>
      </c>
      <c r="AD1031">
        <v>12.49</v>
      </c>
      <c r="AE1031">
        <v>2162.464</v>
      </c>
      <c r="AF1031" s="2">
        <f t="shared" si="61"/>
        <v>0.0602716468590833</v>
      </c>
      <c r="AG1031" s="2">
        <f t="shared" si="62"/>
        <v>0.0948392091104289</v>
      </c>
      <c r="AH1031" t="s">
        <v>4310</v>
      </c>
      <c r="AI1031" t="s">
        <v>4636</v>
      </c>
      <c r="AJ1031" t="s">
        <v>625</v>
      </c>
    </row>
    <row r="1032" hidden="1" spans="1:36">
      <c r="A1032">
        <v>110020</v>
      </c>
      <c r="B1032" t="s">
        <v>4637</v>
      </c>
      <c r="C1032">
        <v>600219</v>
      </c>
      <c r="D1032" t="s">
        <v>4638</v>
      </c>
      <c r="E1032" t="s">
        <v>4500</v>
      </c>
      <c r="F1032" t="s">
        <v>397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 t="s">
        <v>41</v>
      </c>
      <c r="M1032" t="s">
        <v>41</v>
      </c>
      <c r="N1032" t="s">
        <v>41</v>
      </c>
      <c r="O1032" t="s">
        <v>41</v>
      </c>
      <c r="P1032" t="s">
        <v>41</v>
      </c>
      <c r="Q1032" s="2"/>
      <c r="R1032" s="2"/>
      <c r="S1032" t="s">
        <v>41</v>
      </c>
      <c r="T1032" t="s">
        <v>41</v>
      </c>
      <c r="U1032" t="s">
        <v>41</v>
      </c>
      <c r="V1032" s="2"/>
      <c r="W1032" s="2"/>
      <c r="X1032" t="s">
        <v>4639</v>
      </c>
      <c r="Y1032">
        <v>1.32</v>
      </c>
      <c r="Z1032">
        <v>2098.808</v>
      </c>
      <c r="AA1032" s="2"/>
      <c r="AB1032" s="2"/>
      <c r="AC1032" t="s">
        <v>4640</v>
      </c>
      <c r="AD1032">
        <v>1.3</v>
      </c>
      <c r="AE1032">
        <v>2068.88</v>
      </c>
      <c r="AF1032" s="2">
        <f t="shared" si="61"/>
        <v>-0.0151515151515152</v>
      </c>
      <c r="AG1032" s="2">
        <f t="shared" si="62"/>
        <v>-0.0142595225480367</v>
      </c>
      <c r="AH1032" t="s">
        <v>4641</v>
      </c>
      <c r="AI1032" t="s">
        <v>4642</v>
      </c>
      <c r="AJ1032" t="s">
        <v>625</v>
      </c>
    </row>
    <row r="1033" hidden="1" spans="1:36">
      <c r="A1033">
        <v>113003</v>
      </c>
      <c r="B1033" t="s">
        <v>4643</v>
      </c>
      <c r="C1033">
        <v>601989</v>
      </c>
      <c r="D1033" t="s">
        <v>4644</v>
      </c>
      <c r="E1033" t="s">
        <v>4645</v>
      </c>
      <c r="F1033" t="s">
        <v>444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 t="s">
        <v>41</v>
      </c>
      <c r="M1033" t="s">
        <v>41</v>
      </c>
      <c r="N1033" t="s">
        <v>41</v>
      </c>
      <c r="O1033" t="s">
        <v>41</v>
      </c>
      <c r="P1033" t="s">
        <v>41</v>
      </c>
      <c r="Q1033" s="2"/>
      <c r="R1033" s="2"/>
      <c r="S1033" t="s">
        <v>41</v>
      </c>
      <c r="T1033" t="s">
        <v>41</v>
      </c>
      <c r="U1033" t="s">
        <v>41</v>
      </c>
      <c r="V1033" s="2"/>
      <c r="W1033" s="2"/>
      <c r="X1033" t="s">
        <v>4646</v>
      </c>
      <c r="Y1033">
        <v>5.42</v>
      </c>
      <c r="Z1033">
        <v>2308.55</v>
      </c>
      <c r="AA1033" s="2"/>
      <c r="AB1033" s="2"/>
      <c r="AC1033" t="s">
        <v>4647</v>
      </c>
      <c r="AD1033">
        <v>5.28</v>
      </c>
      <c r="AE1033">
        <v>2316.052</v>
      </c>
      <c r="AF1033" s="2">
        <f t="shared" si="61"/>
        <v>-0.025830258302583</v>
      </c>
      <c r="AG1033" s="2">
        <f t="shared" si="62"/>
        <v>0.00324965887678411</v>
      </c>
      <c r="AH1033" t="s">
        <v>4159</v>
      </c>
      <c r="AI1033" t="s">
        <v>4648</v>
      </c>
      <c r="AJ1033" t="s">
        <v>625</v>
      </c>
    </row>
    <row r="1034" hidden="1" spans="1:36">
      <c r="A1034">
        <v>110019</v>
      </c>
      <c r="B1034" t="s">
        <v>4649</v>
      </c>
      <c r="C1034">
        <v>600356</v>
      </c>
      <c r="D1034" t="s">
        <v>4650</v>
      </c>
      <c r="E1034" t="s">
        <v>4651</v>
      </c>
      <c r="F1034" t="s">
        <v>397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 t="s">
        <v>41</v>
      </c>
      <c r="M1034" t="s">
        <v>41</v>
      </c>
      <c r="N1034" t="s">
        <v>41</v>
      </c>
      <c r="O1034" t="s">
        <v>41</v>
      </c>
      <c r="P1034" t="s">
        <v>41</v>
      </c>
      <c r="Q1034" s="2"/>
      <c r="R1034" s="2"/>
      <c r="S1034" t="s">
        <v>41</v>
      </c>
      <c r="T1034" t="s">
        <v>41</v>
      </c>
      <c r="U1034" t="s">
        <v>41</v>
      </c>
      <c r="V1034" s="2"/>
      <c r="W1034" s="2"/>
      <c r="X1034" t="s">
        <v>4652</v>
      </c>
      <c r="Y1034">
        <v>5.55</v>
      </c>
      <c r="Z1034">
        <v>2349.539</v>
      </c>
      <c r="AA1034" s="2"/>
      <c r="AB1034" s="2"/>
      <c r="AC1034" t="s">
        <v>4653</v>
      </c>
      <c r="AD1034">
        <v>5.85</v>
      </c>
      <c r="AE1034">
        <v>2350.864</v>
      </c>
      <c r="AF1034" s="2">
        <f t="shared" si="61"/>
        <v>0.054054054054054</v>
      </c>
      <c r="AG1034" s="2">
        <f t="shared" si="62"/>
        <v>0.00056394041554527</v>
      </c>
      <c r="AH1034" t="s">
        <v>4654</v>
      </c>
      <c r="AI1034" t="s">
        <v>4655</v>
      </c>
      <c r="AJ1034" t="s">
        <v>625</v>
      </c>
    </row>
    <row r="1035" hidden="1" spans="1:36">
      <c r="A1035">
        <v>110018</v>
      </c>
      <c r="B1035" t="s">
        <v>4656</v>
      </c>
      <c r="C1035">
        <v>600795</v>
      </c>
      <c r="D1035" t="s">
        <v>4657</v>
      </c>
      <c r="E1035" t="s">
        <v>4658</v>
      </c>
      <c r="F1035" t="s">
        <v>444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 t="s">
        <v>41</v>
      </c>
      <c r="M1035" t="s">
        <v>41</v>
      </c>
      <c r="N1035" t="s">
        <v>41</v>
      </c>
      <c r="O1035" t="s">
        <v>41</v>
      </c>
      <c r="P1035" t="s">
        <v>41</v>
      </c>
      <c r="Q1035" s="2"/>
      <c r="R1035" s="2"/>
      <c r="S1035" t="s">
        <v>41</v>
      </c>
      <c r="T1035" t="s">
        <v>41</v>
      </c>
      <c r="U1035" t="s">
        <v>41</v>
      </c>
      <c r="V1035" s="2"/>
      <c r="W1035" s="2"/>
      <c r="X1035" t="s">
        <v>4659</v>
      </c>
      <c r="Y1035">
        <v>0.99</v>
      </c>
      <c r="Z1035">
        <v>2534.358</v>
      </c>
      <c r="AA1035" s="2"/>
      <c r="AB1035" s="2"/>
      <c r="AC1035" t="s">
        <v>4660</v>
      </c>
      <c r="AD1035">
        <v>0.99</v>
      </c>
      <c r="AE1035">
        <v>2528.28</v>
      </c>
      <c r="AF1035" s="2">
        <f t="shared" si="61"/>
        <v>0</v>
      </c>
      <c r="AG1035" s="2">
        <f t="shared" si="62"/>
        <v>-0.00239824050114466</v>
      </c>
      <c r="AH1035" t="s">
        <v>4661</v>
      </c>
      <c r="AI1035" t="s">
        <v>4662</v>
      </c>
      <c r="AJ1035" t="s">
        <v>625</v>
      </c>
    </row>
    <row r="1036" hidden="1" spans="1:36">
      <c r="A1036">
        <v>110017</v>
      </c>
      <c r="B1036" t="s">
        <v>4663</v>
      </c>
      <c r="C1036">
        <v>600026</v>
      </c>
      <c r="D1036" t="s">
        <v>4664</v>
      </c>
      <c r="E1036" t="s">
        <v>4665</v>
      </c>
      <c r="F1036" t="s">
        <v>444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 t="s">
        <v>41</v>
      </c>
      <c r="M1036" t="s">
        <v>41</v>
      </c>
      <c r="N1036" t="s">
        <v>41</v>
      </c>
      <c r="O1036" t="s">
        <v>41</v>
      </c>
      <c r="P1036" t="s">
        <v>41</v>
      </c>
      <c r="Q1036" s="2"/>
      <c r="R1036" s="2"/>
      <c r="S1036" t="s">
        <v>41</v>
      </c>
      <c r="T1036" t="s">
        <v>41</v>
      </c>
      <c r="U1036" t="s">
        <v>41</v>
      </c>
      <c r="V1036" s="2"/>
      <c r="W1036" s="2"/>
      <c r="X1036" t="s">
        <v>4666</v>
      </c>
      <c r="Y1036">
        <v>6.35</v>
      </c>
      <c r="Z1036">
        <v>2703.783</v>
      </c>
      <c r="AA1036" s="2"/>
      <c r="AB1036" s="2"/>
      <c r="AC1036" t="s">
        <v>4667</v>
      </c>
      <c r="AD1036">
        <v>5.64</v>
      </c>
      <c r="AE1036">
        <v>2593.173</v>
      </c>
      <c r="AF1036" s="2">
        <f t="shared" si="61"/>
        <v>-0.111811023622047</v>
      </c>
      <c r="AG1036" s="2">
        <f t="shared" si="62"/>
        <v>-0.0409093481244612</v>
      </c>
      <c r="AH1036" t="s">
        <v>4668</v>
      </c>
      <c r="AI1036" t="s">
        <v>4669</v>
      </c>
      <c r="AJ1036" t="s">
        <v>625</v>
      </c>
    </row>
    <row r="1037" hidden="1" spans="1:36">
      <c r="A1037">
        <v>129031</v>
      </c>
      <c r="B1037" t="s">
        <v>4670</v>
      </c>
      <c r="C1037">
        <v>2031</v>
      </c>
      <c r="D1037" t="s">
        <v>4671</v>
      </c>
      <c r="E1037" t="s">
        <v>4672</v>
      </c>
      <c r="F1037" t="s">
        <v>56</v>
      </c>
      <c r="G1037" t="s">
        <v>41</v>
      </c>
      <c r="H1037" t="s">
        <v>41</v>
      </c>
      <c r="I1037" t="s">
        <v>41</v>
      </c>
      <c r="J1037" t="s">
        <v>41</v>
      </c>
      <c r="K1037" t="s">
        <v>41</v>
      </c>
      <c r="L1037" t="s">
        <v>41</v>
      </c>
      <c r="M1037" t="s">
        <v>41</v>
      </c>
      <c r="N1037" t="s">
        <v>41</v>
      </c>
      <c r="O1037" t="s">
        <v>41</v>
      </c>
      <c r="P1037" t="s">
        <v>41</v>
      </c>
      <c r="Q1037" s="2"/>
      <c r="R1037" s="2"/>
      <c r="S1037" t="s">
        <v>41</v>
      </c>
      <c r="T1037" t="s">
        <v>41</v>
      </c>
      <c r="U1037" t="s">
        <v>41</v>
      </c>
      <c r="V1037" s="2"/>
      <c r="W1037" s="2"/>
      <c r="X1037" t="s">
        <v>4673</v>
      </c>
      <c r="Y1037">
        <v>2.08</v>
      </c>
      <c r="Z1037">
        <v>2796.983</v>
      </c>
      <c r="AA1037" s="2"/>
      <c r="AB1037" s="2"/>
      <c r="AC1037" t="s">
        <v>4674</v>
      </c>
      <c r="AD1037">
        <v>2.09</v>
      </c>
      <c r="AE1037">
        <v>2684.039</v>
      </c>
      <c r="AF1037" s="2">
        <f t="shared" si="61"/>
        <v>0.0048076923076922</v>
      </c>
      <c r="AG1037" s="2">
        <f t="shared" si="62"/>
        <v>-0.0403806530107619</v>
      </c>
      <c r="AH1037" t="s">
        <v>4675</v>
      </c>
      <c r="AI1037" t="s">
        <v>4676</v>
      </c>
      <c r="AJ1037" t="s">
        <v>625</v>
      </c>
    </row>
    <row r="1038" hidden="1" spans="1:36">
      <c r="A1038">
        <v>125089</v>
      </c>
      <c r="B1038" t="s">
        <v>4677</v>
      </c>
      <c r="C1038">
        <v>89</v>
      </c>
      <c r="D1038" t="s">
        <v>4678</v>
      </c>
      <c r="E1038" t="s">
        <v>4679</v>
      </c>
      <c r="F1038" t="s">
        <v>444</v>
      </c>
      <c r="G1038" t="s">
        <v>41</v>
      </c>
      <c r="H1038" t="s">
        <v>41</v>
      </c>
      <c r="I1038" t="s">
        <v>41</v>
      </c>
      <c r="J1038" t="s">
        <v>41</v>
      </c>
      <c r="K1038" t="s">
        <v>41</v>
      </c>
      <c r="L1038" t="s">
        <v>41</v>
      </c>
      <c r="M1038" t="s">
        <v>41</v>
      </c>
      <c r="N1038" t="s">
        <v>41</v>
      </c>
      <c r="O1038" t="s">
        <v>41</v>
      </c>
      <c r="P1038" t="s">
        <v>41</v>
      </c>
      <c r="Q1038" s="2"/>
      <c r="R1038" s="2"/>
      <c r="S1038" t="s">
        <v>41</v>
      </c>
      <c r="T1038" t="s">
        <v>41</v>
      </c>
      <c r="U1038" t="s">
        <v>41</v>
      </c>
      <c r="V1038" s="2"/>
      <c r="W1038" s="2"/>
      <c r="X1038" t="s">
        <v>4680</v>
      </c>
      <c r="Y1038">
        <v>4.76</v>
      </c>
      <c r="Z1038">
        <v>2820.169</v>
      </c>
      <c r="AA1038" s="2"/>
      <c r="AB1038" s="2"/>
      <c r="AC1038" t="s">
        <v>4681</v>
      </c>
      <c r="AD1038">
        <v>4.14</v>
      </c>
      <c r="AE1038">
        <v>2549.176</v>
      </c>
      <c r="AF1038" s="2">
        <f t="shared" si="61"/>
        <v>-0.130252100840336</v>
      </c>
      <c r="AG1038" s="2">
        <f t="shared" si="62"/>
        <v>-0.0960910498626146</v>
      </c>
      <c r="AH1038" t="s">
        <v>4682</v>
      </c>
      <c r="AI1038" t="s">
        <v>4683</v>
      </c>
      <c r="AJ1038" t="s">
        <v>625</v>
      </c>
    </row>
    <row r="1039" hidden="1" spans="1:36">
      <c r="A1039">
        <v>110016</v>
      </c>
      <c r="B1039" t="s">
        <v>3594</v>
      </c>
      <c r="C1039">
        <v>600674</v>
      </c>
      <c r="D1039" t="s">
        <v>3595</v>
      </c>
      <c r="E1039" t="s">
        <v>4684</v>
      </c>
      <c r="F1039" t="s">
        <v>98</v>
      </c>
      <c r="G1039" t="s">
        <v>41</v>
      </c>
      <c r="H1039" t="s">
        <v>41</v>
      </c>
      <c r="I1039" t="s">
        <v>41</v>
      </c>
      <c r="J1039" t="s">
        <v>41</v>
      </c>
      <c r="K1039" t="s">
        <v>41</v>
      </c>
      <c r="L1039" t="s">
        <v>41</v>
      </c>
      <c r="M1039" t="s">
        <v>41</v>
      </c>
      <c r="N1039" t="s">
        <v>41</v>
      </c>
      <c r="O1039" t="s">
        <v>41</v>
      </c>
      <c r="P1039" t="s">
        <v>41</v>
      </c>
      <c r="Q1039" s="2"/>
      <c r="R1039" s="2"/>
      <c r="S1039" t="s">
        <v>41</v>
      </c>
      <c r="T1039" t="s">
        <v>41</v>
      </c>
      <c r="U1039" t="s">
        <v>41</v>
      </c>
      <c r="V1039" s="2"/>
      <c r="W1039" s="2"/>
      <c r="X1039" t="s">
        <v>4685</v>
      </c>
      <c r="Y1039">
        <v>0.97</v>
      </c>
      <c r="Z1039">
        <v>2909.137</v>
      </c>
      <c r="AA1039" s="2"/>
      <c r="AB1039" s="2"/>
      <c r="AC1039" t="s">
        <v>4686</v>
      </c>
      <c r="AD1039">
        <v>0.76</v>
      </c>
      <c r="AE1039">
        <v>2928.111</v>
      </c>
      <c r="AF1039" s="2">
        <f t="shared" si="61"/>
        <v>-0.216494845360825</v>
      </c>
      <c r="AG1039" s="2">
        <f t="shared" si="62"/>
        <v>0.00652220916374846</v>
      </c>
      <c r="AH1039" t="s">
        <v>4687</v>
      </c>
      <c r="AI1039" t="s">
        <v>4688</v>
      </c>
      <c r="AJ1039" t="s">
        <v>625</v>
      </c>
    </row>
    <row r="1040" hidden="1" spans="1:36">
      <c r="A1040">
        <v>110015</v>
      </c>
      <c r="B1040" t="s">
        <v>4689</v>
      </c>
      <c r="C1040">
        <v>600028</v>
      </c>
      <c r="D1040" t="s">
        <v>4690</v>
      </c>
      <c r="E1040" t="s">
        <v>4691</v>
      </c>
      <c r="F1040" t="s">
        <v>444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 t="s">
        <v>41</v>
      </c>
      <c r="M1040" t="s">
        <v>41</v>
      </c>
      <c r="N1040" t="s">
        <v>41</v>
      </c>
      <c r="O1040" t="s">
        <v>41</v>
      </c>
      <c r="P1040" t="s">
        <v>41</v>
      </c>
      <c r="Q1040" s="2"/>
      <c r="R1040" s="2"/>
      <c r="S1040" t="s">
        <v>41</v>
      </c>
      <c r="T1040" t="s">
        <v>41</v>
      </c>
      <c r="U1040" t="s">
        <v>41</v>
      </c>
      <c r="V1040" s="2"/>
      <c r="W1040" s="2"/>
      <c r="X1040" t="s">
        <v>4692</v>
      </c>
      <c r="Y1040">
        <v>2.21</v>
      </c>
      <c r="Z1040">
        <v>2862.634</v>
      </c>
      <c r="AA1040" s="2"/>
      <c r="AB1040" s="2"/>
      <c r="AC1040" t="s">
        <v>4693</v>
      </c>
      <c r="AD1040">
        <v>2.43</v>
      </c>
      <c r="AE1040">
        <v>2996.211</v>
      </c>
      <c r="AF1040" s="2">
        <f t="shared" si="61"/>
        <v>0.0995475113122173</v>
      </c>
      <c r="AG1040" s="2">
        <f t="shared" si="62"/>
        <v>0.0466622697837026</v>
      </c>
      <c r="AH1040" t="s">
        <v>4694</v>
      </c>
      <c r="AI1040" t="s">
        <v>4695</v>
      </c>
      <c r="AJ1040" t="s">
        <v>625</v>
      </c>
    </row>
    <row r="1041" hidden="1" spans="1:36">
      <c r="A1041">
        <v>125887</v>
      </c>
      <c r="B1041" t="s">
        <v>4696</v>
      </c>
      <c r="C1041">
        <v>887</v>
      </c>
      <c r="D1041" t="s">
        <v>353</v>
      </c>
      <c r="E1041" t="s">
        <v>4697</v>
      </c>
      <c r="F1041" t="s">
        <v>397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 t="s">
        <v>41</v>
      </c>
      <c r="M1041" t="s">
        <v>41</v>
      </c>
      <c r="N1041" t="s">
        <v>41</v>
      </c>
      <c r="O1041" t="s">
        <v>41</v>
      </c>
      <c r="P1041" t="s">
        <v>41</v>
      </c>
      <c r="Q1041" s="2"/>
      <c r="R1041" s="2"/>
      <c r="S1041" t="s">
        <v>41</v>
      </c>
      <c r="T1041" t="s">
        <v>41</v>
      </c>
      <c r="U1041" t="s">
        <v>41</v>
      </c>
      <c r="V1041" s="2"/>
      <c r="W1041" s="2"/>
      <c r="X1041" t="s">
        <v>4698</v>
      </c>
      <c r="Y1041">
        <v>8.24</v>
      </c>
      <c r="Z1041">
        <v>2827.328</v>
      </c>
      <c r="AA1041" s="2"/>
      <c r="AB1041" s="2"/>
      <c r="AC1041" t="s">
        <v>4699</v>
      </c>
      <c r="AD1041">
        <v>7.85</v>
      </c>
      <c r="AE1041">
        <v>2918.92</v>
      </c>
      <c r="AF1041" s="2">
        <f t="shared" si="61"/>
        <v>-0.0473300970873787</v>
      </c>
      <c r="AG1041" s="2">
        <f t="shared" si="62"/>
        <v>0.0323952509224257</v>
      </c>
      <c r="AH1041" t="s">
        <v>4700</v>
      </c>
      <c r="AI1041" t="s">
        <v>4701</v>
      </c>
      <c r="AJ1041" t="s">
        <v>625</v>
      </c>
    </row>
    <row r="1042" hidden="1" spans="1:36">
      <c r="A1042">
        <v>110013</v>
      </c>
      <c r="B1042" t="s">
        <v>3067</v>
      </c>
      <c r="C1042">
        <v>600886</v>
      </c>
      <c r="D1042" t="s">
        <v>4702</v>
      </c>
      <c r="E1042" t="s">
        <v>4703</v>
      </c>
      <c r="F1042" t="s">
        <v>444</v>
      </c>
      <c r="G1042" t="s">
        <v>41</v>
      </c>
      <c r="H1042" t="s">
        <v>41</v>
      </c>
      <c r="I1042" t="s">
        <v>41</v>
      </c>
      <c r="J1042" t="s">
        <v>41</v>
      </c>
      <c r="K1042" t="s">
        <v>41</v>
      </c>
      <c r="L1042" t="s">
        <v>41</v>
      </c>
      <c r="M1042" t="s">
        <v>41</v>
      </c>
      <c r="N1042" t="s">
        <v>41</v>
      </c>
      <c r="O1042" t="s">
        <v>41</v>
      </c>
      <c r="P1042" t="s">
        <v>41</v>
      </c>
      <c r="Q1042" s="2"/>
      <c r="R1042" s="2"/>
      <c r="S1042" t="s">
        <v>41</v>
      </c>
      <c r="T1042" t="s">
        <v>41</v>
      </c>
      <c r="U1042" t="s">
        <v>41</v>
      </c>
      <c r="V1042" s="2"/>
      <c r="W1042" s="2"/>
      <c r="X1042" t="s">
        <v>4704</v>
      </c>
      <c r="Y1042">
        <v>-0.4</v>
      </c>
      <c r="Z1042">
        <v>2677.432</v>
      </c>
      <c r="AA1042" s="2"/>
      <c r="AB1042" s="2"/>
      <c r="AC1042" t="s">
        <v>4705</v>
      </c>
      <c r="AD1042">
        <v>-0.27</v>
      </c>
      <c r="AE1042">
        <v>2899.237</v>
      </c>
      <c r="AF1042" s="2">
        <f t="shared" si="61"/>
        <v>-0.325</v>
      </c>
      <c r="AG1042" s="2">
        <f t="shared" si="62"/>
        <v>0.0828424400694398</v>
      </c>
      <c r="AH1042" t="s">
        <v>4706</v>
      </c>
      <c r="AI1042" t="s">
        <v>4707</v>
      </c>
      <c r="AJ1042" t="s">
        <v>625</v>
      </c>
    </row>
    <row r="1043" hidden="1" spans="1:36">
      <c r="A1043">
        <v>110012</v>
      </c>
      <c r="B1043" t="s">
        <v>4708</v>
      </c>
      <c r="C1043">
        <v>600798</v>
      </c>
      <c r="D1043" t="s">
        <v>4709</v>
      </c>
      <c r="E1043" t="s">
        <v>4710</v>
      </c>
      <c r="F1043" t="s">
        <v>397</v>
      </c>
      <c r="G1043" t="s">
        <v>41</v>
      </c>
      <c r="H1043" t="s">
        <v>41</v>
      </c>
      <c r="I1043" t="s">
        <v>41</v>
      </c>
      <c r="J1043" t="s">
        <v>41</v>
      </c>
      <c r="K1043" t="s">
        <v>41</v>
      </c>
      <c r="L1043" t="s">
        <v>41</v>
      </c>
      <c r="M1043" t="s">
        <v>41</v>
      </c>
      <c r="N1043" t="s">
        <v>41</v>
      </c>
      <c r="O1043" t="s">
        <v>41</v>
      </c>
      <c r="P1043" t="s">
        <v>41</v>
      </c>
      <c r="Q1043" s="2"/>
      <c r="R1043" s="2"/>
      <c r="S1043" t="s">
        <v>41</v>
      </c>
      <c r="T1043" t="s">
        <v>41</v>
      </c>
      <c r="U1043" t="s">
        <v>41</v>
      </c>
      <c r="V1043" s="2"/>
      <c r="W1043" s="2"/>
      <c r="X1043" t="s">
        <v>4711</v>
      </c>
      <c r="Y1043">
        <v>4.12</v>
      </c>
      <c r="Z1043">
        <v>2838.801</v>
      </c>
      <c r="AA1043" s="2"/>
      <c r="AB1043" s="2"/>
      <c r="AC1043" t="s">
        <v>4712</v>
      </c>
      <c r="AD1043">
        <v>3.69</v>
      </c>
      <c r="AE1043">
        <v>2677.652</v>
      </c>
      <c r="AF1043" s="2">
        <f t="shared" si="61"/>
        <v>-0.104368932038835</v>
      </c>
      <c r="AG1043" s="2">
        <f t="shared" si="62"/>
        <v>-0.0567665715208639</v>
      </c>
      <c r="AH1043" t="s">
        <v>4713</v>
      </c>
      <c r="AI1043" t="s">
        <v>4714</v>
      </c>
      <c r="AJ1043" t="s">
        <v>625</v>
      </c>
    </row>
    <row r="1044" hidden="1" spans="1:36">
      <c r="A1044">
        <v>110011</v>
      </c>
      <c r="B1044" t="s">
        <v>4715</v>
      </c>
      <c r="C1044">
        <v>600037</v>
      </c>
      <c r="D1044" t="s">
        <v>4716</v>
      </c>
      <c r="E1044" t="s">
        <v>4577</v>
      </c>
      <c r="F1044" t="s">
        <v>444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 t="s">
        <v>41</v>
      </c>
      <c r="M1044" t="s">
        <v>41</v>
      </c>
      <c r="N1044" t="s">
        <v>41</v>
      </c>
      <c r="O1044" t="s">
        <v>41</v>
      </c>
      <c r="P1044" t="s">
        <v>41</v>
      </c>
      <c r="Q1044" s="2"/>
      <c r="R1044" s="2"/>
      <c r="S1044" t="s">
        <v>41</v>
      </c>
      <c r="T1044" t="s">
        <v>41</v>
      </c>
      <c r="U1044" t="s">
        <v>41</v>
      </c>
      <c r="V1044" s="2"/>
      <c r="W1044" s="2"/>
      <c r="X1044" t="s">
        <v>4717</v>
      </c>
      <c r="Y1044">
        <v>12.1</v>
      </c>
      <c r="Z1044">
        <v>2898.261</v>
      </c>
      <c r="AA1044" s="2"/>
      <c r="AB1044" s="2"/>
      <c r="AC1044" t="s">
        <v>4718</v>
      </c>
      <c r="AD1044">
        <v>11.45</v>
      </c>
      <c r="AE1044">
        <v>2841.04</v>
      </c>
      <c r="AF1044" s="2">
        <f t="shared" si="61"/>
        <v>-0.0537190082644628</v>
      </c>
      <c r="AG1044" s="2">
        <f t="shared" si="62"/>
        <v>-0.0197432184333985</v>
      </c>
      <c r="AH1044" t="s">
        <v>4719</v>
      </c>
      <c r="AI1044" t="s">
        <v>4720</v>
      </c>
      <c r="AJ1044" t="s">
        <v>625</v>
      </c>
    </row>
    <row r="1045" hidden="1" spans="1:36">
      <c r="A1045">
        <v>126729</v>
      </c>
      <c r="B1045" t="s">
        <v>4721</v>
      </c>
      <c r="C1045">
        <v>729</v>
      </c>
      <c r="D1045" t="s">
        <v>4722</v>
      </c>
      <c r="E1045" t="s">
        <v>4723</v>
      </c>
      <c r="F1045" t="s">
        <v>98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 t="s">
        <v>41</v>
      </c>
      <c r="M1045" t="s">
        <v>41</v>
      </c>
      <c r="N1045" t="s">
        <v>41</v>
      </c>
      <c r="O1045" t="s">
        <v>41</v>
      </c>
      <c r="P1045" t="s">
        <v>41</v>
      </c>
      <c r="Q1045" s="2"/>
      <c r="R1045" s="2"/>
      <c r="S1045" t="s">
        <v>41</v>
      </c>
      <c r="T1045" t="s">
        <v>41</v>
      </c>
      <c r="U1045" t="s">
        <v>41</v>
      </c>
      <c r="V1045" s="2"/>
      <c r="W1045" s="2"/>
      <c r="X1045" t="s">
        <v>4724</v>
      </c>
      <c r="Y1045">
        <v>8.84</v>
      </c>
      <c r="Z1045">
        <v>2971.16</v>
      </c>
      <c r="AA1045" s="2"/>
      <c r="AB1045" s="2"/>
      <c r="AC1045" t="s">
        <v>4725</v>
      </c>
      <c r="AD1045">
        <v>9.11</v>
      </c>
      <c r="AE1045">
        <v>3030.988</v>
      </c>
      <c r="AF1045" s="2">
        <f t="shared" si="61"/>
        <v>0.0305429864253393</v>
      </c>
      <c r="AG1045" s="2">
        <f t="shared" si="62"/>
        <v>0.0201362430835095</v>
      </c>
      <c r="AH1045" t="s">
        <v>4726</v>
      </c>
      <c r="AI1045" t="s">
        <v>4683</v>
      </c>
      <c r="AJ1045" t="s">
        <v>625</v>
      </c>
    </row>
    <row r="1046" hidden="1" spans="1:36">
      <c r="A1046">
        <v>113002</v>
      </c>
      <c r="B1046" t="s">
        <v>4727</v>
      </c>
      <c r="C1046">
        <v>601398</v>
      </c>
      <c r="D1046" t="s">
        <v>4728</v>
      </c>
      <c r="E1046" t="s">
        <v>4729</v>
      </c>
      <c r="F1046" t="s">
        <v>444</v>
      </c>
      <c r="G1046" t="s">
        <v>41</v>
      </c>
      <c r="H1046" t="s">
        <v>41</v>
      </c>
      <c r="I1046" t="s">
        <v>41</v>
      </c>
      <c r="J1046" t="s">
        <v>41</v>
      </c>
      <c r="K1046" t="s">
        <v>41</v>
      </c>
      <c r="L1046" t="s">
        <v>41</v>
      </c>
      <c r="M1046" t="s">
        <v>41</v>
      </c>
      <c r="N1046" t="s">
        <v>41</v>
      </c>
      <c r="O1046" t="s">
        <v>41</v>
      </c>
      <c r="P1046" t="s">
        <v>41</v>
      </c>
      <c r="Q1046" s="2"/>
      <c r="R1046" s="2"/>
      <c r="S1046" t="s">
        <v>41</v>
      </c>
      <c r="T1046" t="s">
        <v>41</v>
      </c>
      <c r="U1046" t="s">
        <v>41</v>
      </c>
      <c r="V1046" s="2"/>
      <c r="W1046" s="2"/>
      <c r="X1046" t="s">
        <v>4730</v>
      </c>
      <c r="Y1046">
        <v>0.05</v>
      </c>
      <c r="Z1046">
        <v>2638.798</v>
      </c>
      <c r="AA1046" s="2"/>
      <c r="AB1046" s="2"/>
      <c r="AC1046" t="s">
        <v>4731</v>
      </c>
      <c r="AD1046">
        <v>0.04</v>
      </c>
      <c r="AE1046">
        <v>2663.209</v>
      </c>
      <c r="AF1046" s="2">
        <f t="shared" si="61"/>
        <v>-0.2</v>
      </c>
      <c r="AG1046" s="2">
        <f t="shared" si="62"/>
        <v>0.0092508028276511</v>
      </c>
      <c r="AH1046" t="s">
        <v>4732</v>
      </c>
      <c r="AI1046" t="s">
        <v>4733</v>
      </c>
      <c r="AJ1046" t="s">
        <v>625</v>
      </c>
    </row>
    <row r="1047" hidden="1" spans="1:36">
      <c r="A1047">
        <v>128233</v>
      </c>
      <c r="B1047" t="s">
        <v>4734</v>
      </c>
      <c r="C1047">
        <v>2233</v>
      </c>
      <c r="D1047" t="s">
        <v>4735</v>
      </c>
      <c r="E1047" t="s">
        <v>4736</v>
      </c>
      <c r="F1047" t="s">
        <v>56</v>
      </c>
      <c r="G1047" t="s">
        <v>41</v>
      </c>
      <c r="H1047" t="s">
        <v>41</v>
      </c>
      <c r="I1047" t="s">
        <v>41</v>
      </c>
      <c r="J1047" t="s">
        <v>41</v>
      </c>
      <c r="K1047" t="s">
        <v>41</v>
      </c>
      <c r="L1047" t="s">
        <v>41</v>
      </c>
      <c r="M1047" t="s">
        <v>41</v>
      </c>
      <c r="N1047" t="s">
        <v>41</v>
      </c>
      <c r="O1047" t="s">
        <v>41</v>
      </c>
      <c r="P1047" t="s">
        <v>41</v>
      </c>
      <c r="Q1047" s="2"/>
      <c r="R1047" s="2"/>
      <c r="S1047" t="s">
        <v>41</v>
      </c>
      <c r="T1047" t="s">
        <v>41</v>
      </c>
      <c r="U1047" t="s">
        <v>41</v>
      </c>
      <c r="V1047" s="2"/>
      <c r="W1047" s="2"/>
      <c r="X1047" t="s">
        <v>4737</v>
      </c>
      <c r="Y1047">
        <v>0.83</v>
      </c>
      <c r="Z1047">
        <v>2603.481</v>
      </c>
      <c r="AA1047" s="2"/>
      <c r="AB1047" s="2"/>
      <c r="AC1047" t="s">
        <v>4738</v>
      </c>
      <c r="AD1047">
        <v>1.08</v>
      </c>
      <c r="AE1047">
        <v>2602.465</v>
      </c>
      <c r="AF1047" s="2">
        <f t="shared" si="61"/>
        <v>0.301204819277109</v>
      </c>
      <c r="AG1047" s="2">
        <f t="shared" si="62"/>
        <v>-0.000390246750408425</v>
      </c>
      <c r="AH1047" t="s">
        <v>4739</v>
      </c>
      <c r="AI1047" t="s">
        <v>4740</v>
      </c>
      <c r="AJ1047" t="s">
        <v>625</v>
      </c>
    </row>
    <row r="1048" hidden="1" spans="1:36">
      <c r="A1048">
        <v>126630</v>
      </c>
      <c r="B1048" t="s">
        <v>4741</v>
      </c>
      <c r="C1048">
        <v>630</v>
      </c>
      <c r="D1048" t="s">
        <v>4742</v>
      </c>
      <c r="E1048" t="s">
        <v>4679</v>
      </c>
      <c r="F1048" t="s">
        <v>397</v>
      </c>
      <c r="G1048" t="s">
        <v>41</v>
      </c>
      <c r="H1048" t="s">
        <v>41</v>
      </c>
      <c r="I1048" t="s">
        <v>41</v>
      </c>
      <c r="J1048" t="s">
        <v>41</v>
      </c>
      <c r="K1048" t="s">
        <v>41</v>
      </c>
      <c r="L1048" t="s">
        <v>41</v>
      </c>
      <c r="M1048" t="s">
        <v>41</v>
      </c>
      <c r="N1048" t="s">
        <v>41</v>
      </c>
      <c r="O1048" t="s">
        <v>41</v>
      </c>
      <c r="P1048" t="s">
        <v>41</v>
      </c>
      <c r="Q1048" s="2"/>
      <c r="R1048" s="2"/>
      <c r="S1048" t="s">
        <v>41</v>
      </c>
      <c r="T1048" t="s">
        <v>41</v>
      </c>
      <c r="U1048" t="s">
        <v>41</v>
      </c>
      <c r="V1048" s="2"/>
      <c r="W1048" s="2"/>
      <c r="X1048" t="s">
        <v>4743</v>
      </c>
      <c r="Y1048">
        <v>2.36</v>
      </c>
      <c r="Z1048">
        <v>2424.304</v>
      </c>
      <c r="AA1048" s="2"/>
      <c r="AB1048" s="2"/>
      <c r="AC1048" t="s">
        <v>4744</v>
      </c>
      <c r="AD1048">
        <v>2.69</v>
      </c>
      <c r="AE1048">
        <v>2658.392</v>
      </c>
      <c r="AF1048" s="2">
        <f t="shared" si="61"/>
        <v>0.139830508474576</v>
      </c>
      <c r="AG1048" s="2">
        <f t="shared" si="62"/>
        <v>0.0965588474052758</v>
      </c>
      <c r="AH1048" t="s">
        <v>4745</v>
      </c>
      <c r="AI1048" t="s">
        <v>4746</v>
      </c>
      <c r="AJ1048" t="s">
        <v>625</v>
      </c>
    </row>
    <row r="1049" hidden="1" spans="1:36">
      <c r="A1049">
        <v>113001</v>
      </c>
      <c r="B1049" t="s">
        <v>4747</v>
      </c>
      <c r="C1049">
        <v>601988</v>
      </c>
      <c r="D1049" t="s">
        <v>4748</v>
      </c>
      <c r="E1049" t="s">
        <v>4749</v>
      </c>
      <c r="F1049" t="s">
        <v>444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 t="s">
        <v>41</v>
      </c>
      <c r="M1049" t="s">
        <v>41</v>
      </c>
      <c r="N1049" t="s">
        <v>41</v>
      </c>
      <c r="O1049" t="s">
        <v>41</v>
      </c>
      <c r="P1049" t="s">
        <v>41</v>
      </c>
      <c r="Q1049" s="2"/>
      <c r="R1049" s="2"/>
      <c r="S1049" t="s">
        <v>41</v>
      </c>
      <c r="T1049" t="s">
        <v>41</v>
      </c>
      <c r="U1049" t="s">
        <v>41</v>
      </c>
      <c r="V1049" s="2"/>
      <c r="W1049" s="2"/>
      <c r="X1049" t="s">
        <v>4750</v>
      </c>
      <c r="Y1049">
        <v>0.63</v>
      </c>
      <c r="Z1049">
        <v>2571.423</v>
      </c>
      <c r="AA1049" s="2"/>
      <c r="AB1049" s="2"/>
      <c r="AC1049" t="s">
        <v>4751</v>
      </c>
      <c r="AD1049">
        <v>0.39</v>
      </c>
      <c r="AE1049">
        <v>2513.222</v>
      </c>
      <c r="AF1049" s="2">
        <f t="shared" si="61"/>
        <v>-0.380952380952381</v>
      </c>
      <c r="AG1049" s="2">
        <f t="shared" si="62"/>
        <v>-0.0226337712620598</v>
      </c>
      <c r="AH1049" t="s">
        <v>4752</v>
      </c>
      <c r="AI1049" t="s">
        <v>4753</v>
      </c>
      <c r="AJ1049" t="s">
        <v>625</v>
      </c>
    </row>
    <row r="1050" hidden="1" spans="1:36">
      <c r="A1050">
        <v>125731</v>
      </c>
      <c r="B1050" t="s">
        <v>4754</v>
      </c>
      <c r="C1050">
        <v>731</v>
      </c>
      <c r="D1050" t="s">
        <v>4755</v>
      </c>
      <c r="E1050" t="s">
        <v>4627</v>
      </c>
      <c r="F1050" t="s">
        <v>397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 t="s">
        <v>41</v>
      </c>
      <c r="M1050" t="s">
        <v>41</v>
      </c>
      <c r="N1050" t="s">
        <v>41</v>
      </c>
      <c r="O1050" t="s">
        <v>41</v>
      </c>
      <c r="P1050" t="s">
        <v>41</v>
      </c>
      <c r="Q1050" s="2"/>
      <c r="R1050" s="2"/>
      <c r="S1050" t="s">
        <v>41</v>
      </c>
      <c r="T1050" t="s">
        <v>41</v>
      </c>
      <c r="U1050" t="s">
        <v>41</v>
      </c>
      <c r="V1050" s="2"/>
      <c r="W1050" s="2"/>
      <c r="X1050" t="s">
        <v>4750</v>
      </c>
      <c r="Y1050">
        <v>5.03</v>
      </c>
      <c r="Z1050">
        <v>2571.423</v>
      </c>
      <c r="AA1050" s="2"/>
      <c r="AB1050" s="2"/>
      <c r="AC1050" t="s">
        <v>4756</v>
      </c>
      <c r="AD1050">
        <v>4.68</v>
      </c>
      <c r="AE1050">
        <v>2552.817</v>
      </c>
      <c r="AF1050" s="2">
        <f t="shared" si="61"/>
        <v>-0.069582504970179</v>
      </c>
      <c r="AG1050" s="2">
        <f t="shared" si="62"/>
        <v>-0.00723568234397832</v>
      </c>
      <c r="AH1050" t="s">
        <v>4757</v>
      </c>
      <c r="AI1050" t="s">
        <v>4758</v>
      </c>
      <c r="AJ1050" t="s">
        <v>625</v>
      </c>
    </row>
    <row r="1051" hidden="1" spans="1:36">
      <c r="A1051">
        <v>110009</v>
      </c>
      <c r="B1051" t="s">
        <v>1139</v>
      </c>
      <c r="C1051">
        <v>600481</v>
      </c>
      <c r="D1051" t="s">
        <v>1140</v>
      </c>
      <c r="E1051" t="s">
        <v>4710</v>
      </c>
      <c r="F1051" t="s">
        <v>397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 t="s">
        <v>41</v>
      </c>
      <c r="M1051" t="s">
        <v>41</v>
      </c>
      <c r="N1051" t="s">
        <v>41</v>
      </c>
      <c r="O1051" t="s">
        <v>41</v>
      </c>
      <c r="P1051" t="s">
        <v>41</v>
      </c>
      <c r="Q1051" s="2"/>
      <c r="R1051" s="2"/>
      <c r="S1051" t="s">
        <v>41</v>
      </c>
      <c r="T1051" t="s">
        <v>41</v>
      </c>
      <c r="U1051" t="s">
        <v>41</v>
      </c>
      <c r="V1051" s="2"/>
      <c r="W1051" s="2"/>
      <c r="X1051" t="s">
        <v>4759</v>
      </c>
      <c r="Y1051">
        <v>8.06</v>
      </c>
      <c r="Z1051">
        <v>2835.277</v>
      </c>
      <c r="AA1051" s="2"/>
      <c r="AB1051" s="2"/>
      <c r="AC1051" t="s">
        <v>4760</v>
      </c>
      <c r="AD1051">
        <v>6.64</v>
      </c>
      <c r="AE1051">
        <v>2696.629</v>
      </c>
      <c r="AF1051" s="2">
        <f t="shared" si="61"/>
        <v>-0.176178660049628</v>
      </c>
      <c r="AG1051" s="2">
        <f t="shared" si="62"/>
        <v>-0.0489010421203996</v>
      </c>
      <c r="AH1051" t="s">
        <v>4761</v>
      </c>
      <c r="AI1051" t="s">
        <v>4762</v>
      </c>
      <c r="AJ1051" t="s">
        <v>3835</v>
      </c>
    </row>
    <row r="1052" hidden="1" spans="1:36">
      <c r="A1052">
        <v>110008</v>
      </c>
      <c r="B1052" t="s">
        <v>4763</v>
      </c>
      <c r="C1052">
        <v>600859</v>
      </c>
      <c r="D1052" t="s">
        <v>4764</v>
      </c>
      <c r="E1052" t="s">
        <v>4765</v>
      </c>
      <c r="F1052" t="s">
        <v>397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 t="s">
        <v>41</v>
      </c>
      <c r="M1052" t="s">
        <v>41</v>
      </c>
      <c r="N1052" t="s">
        <v>41</v>
      </c>
      <c r="O1052" t="s">
        <v>41</v>
      </c>
      <c r="P1052" t="s">
        <v>41</v>
      </c>
      <c r="Q1052" s="2"/>
      <c r="R1052" s="2"/>
      <c r="S1052" t="s">
        <v>41</v>
      </c>
      <c r="T1052" t="s">
        <v>41</v>
      </c>
      <c r="U1052" t="s">
        <v>41</v>
      </c>
      <c r="V1052" s="2"/>
      <c r="W1052" s="2"/>
      <c r="X1052" t="s">
        <v>4766</v>
      </c>
      <c r="Y1052">
        <v>19.36</v>
      </c>
      <c r="Z1052">
        <v>3038.273</v>
      </c>
      <c r="AA1052" s="2"/>
      <c r="AB1052" s="2"/>
      <c r="AC1052" t="s">
        <v>4767</v>
      </c>
      <c r="AD1052">
        <v>20.51</v>
      </c>
      <c r="AE1052">
        <v>2995.848</v>
      </c>
      <c r="AF1052" s="2">
        <f t="shared" si="61"/>
        <v>0.0594008264462811</v>
      </c>
      <c r="AG1052" s="2">
        <f t="shared" si="62"/>
        <v>-0.0139635246733918</v>
      </c>
      <c r="AH1052" t="s">
        <v>4768</v>
      </c>
      <c r="AI1052" t="s">
        <v>4769</v>
      </c>
      <c r="AJ1052" t="s">
        <v>625</v>
      </c>
    </row>
    <row r="1053" hidden="1" spans="1:36">
      <c r="A1053">
        <v>110007</v>
      </c>
      <c r="B1053" t="s">
        <v>1801</v>
      </c>
      <c r="C1053">
        <v>600966</v>
      </c>
      <c r="D1053" t="s">
        <v>4770</v>
      </c>
      <c r="E1053" t="s">
        <v>4771</v>
      </c>
      <c r="F1053" t="s">
        <v>56</v>
      </c>
      <c r="G1053" t="s">
        <v>41</v>
      </c>
      <c r="H1053" t="s">
        <v>41</v>
      </c>
      <c r="I1053" t="s">
        <v>41</v>
      </c>
      <c r="J1053" t="s">
        <v>41</v>
      </c>
      <c r="K1053" t="s">
        <v>41</v>
      </c>
      <c r="L1053" t="s">
        <v>41</v>
      </c>
      <c r="M1053" t="s">
        <v>41</v>
      </c>
      <c r="N1053" t="s">
        <v>41</v>
      </c>
      <c r="O1053" t="s">
        <v>41</v>
      </c>
      <c r="P1053" t="s">
        <v>41</v>
      </c>
      <c r="Q1053" s="2"/>
      <c r="R1053" s="2"/>
      <c r="S1053" t="s">
        <v>41</v>
      </c>
      <c r="T1053" t="s">
        <v>41</v>
      </c>
      <c r="U1053" t="s">
        <v>41</v>
      </c>
      <c r="V1053" s="2"/>
      <c r="W1053" s="2"/>
      <c r="X1053" t="s">
        <v>4772</v>
      </c>
      <c r="Y1053">
        <v>3.89</v>
      </c>
      <c r="Z1053">
        <v>2842.721</v>
      </c>
      <c r="AA1053" s="2"/>
      <c r="AB1053" s="2"/>
      <c r="AC1053" t="s">
        <v>4773</v>
      </c>
      <c r="AD1053">
        <v>3.95</v>
      </c>
      <c r="AE1053">
        <v>2976.633</v>
      </c>
      <c r="AF1053" s="2">
        <f t="shared" si="61"/>
        <v>0.0154241645244216</v>
      </c>
      <c r="AG1053" s="2">
        <f t="shared" si="62"/>
        <v>0.0471069795453018</v>
      </c>
      <c r="AH1053" t="s">
        <v>4774</v>
      </c>
      <c r="AI1053" t="s">
        <v>4534</v>
      </c>
      <c r="AJ1053" t="s">
        <v>3077</v>
      </c>
    </row>
    <row r="1054" hidden="1" spans="1:36">
      <c r="A1054">
        <v>125969</v>
      </c>
      <c r="B1054" t="s">
        <v>4775</v>
      </c>
      <c r="C1054">
        <v>969</v>
      </c>
      <c r="D1054" t="s">
        <v>4776</v>
      </c>
      <c r="E1054" t="s">
        <v>4777</v>
      </c>
      <c r="F1054" t="s">
        <v>397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 t="s">
        <v>41</v>
      </c>
      <c r="M1054" t="s">
        <v>41</v>
      </c>
      <c r="N1054" t="s">
        <v>41</v>
      </c>
      <c r="O1054" t="s">
        <v>41</v>
      </c>
      <c r="P1054" t="s">
        <v>41</v>
      </c>
      <c r="Q1054" s="2"/>
      <c r="R1054" s="2"/>
      <c r="S1054" t="s">
        <v>41</v>
      </c>
      <c r="T1054" t="s">
        <v>41</v>
      </c>
      <c r="U1054" t="s">
        <v>41</v>
      </c>
      <c r="V1054" s="2"/>
      <c r="W1054" s="2"/>
      <c r="X1054" t="s">
        <v>4778</v>
      </c>
      <c r="Y1054">
        <v>12.31</v>
      </c>
      <c r="Z1054">
        <v>2999.71</v>
      </c>
      <c r="AA1054" s="2"/>
      <c r="AB1054" s="2"/>
      <c r="AC1054" t="s">
        <v>4779</v>
      </c>
      <c r="AD1054">
        <v>12.66</v>
      </c>
      <c r="AE1054">
        <v>2894.483</v>
      </c>
      <c r="AF1054" s="2">
        <f t="shared" si="61"/>
        <v>0.0284321689683184</v>
      </c>
      <c r="AG1054" s="2">
        <f t="shared" si="62"/>
        <v>-0.0350790576422387</v>
      </c>
      <c r="AH1054" t="s">
        <v>4780</v>
      </c>
      <c r="AI1054" t="s">
        <v>4781</v>
      </c>
      <c r="AJ1054" t="s">
        <v>625</v>
      </c>
    </row>
    <row r="1055" hidden="1" spans="1:36">
      <c r="A1055">
        <v>110006</v>
      </c>
      <c r="B1055" t="s">
        <v>4782</v>
      </c>
      <c r="C1055">
        <v>600352</v>
      </c>
      <c r="D1055" t="s">
        <v>4783</v>
      </c>
      <c r="E1055" t="s">
        <v>4784</v>
      </c>
      <c r="F1055" t="s">
        <v>98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 t="s">
        <v>41</v>
      </c>
      <c r="M1055" t="s">
        <v>41</v>
      </c>
      <c r="N1055" t="s">
        <v>41</v>
      </c>
      <c r="O1055" t="s">
        <v>41</v>
      </c>
      <c r="P1055" t="s">
        <v>41</v>
      </c>
      <c r="Q1055" s="2"/>
      <c r="R1055" s="2"/>
      <c r="S1055" t="s">
        <v>41</v>
      </c>
      <c r="T1055" t="s">
        <v>41</v>
      </c>
      <c r="U1055" t="s">
        <v>41</v>
      </c>
      <c r="V1055" s="2"/>
      <c r="W1055" s="2"/>
      <c r="X1055" t="s">
        <v>4785</v>
      </c>
      <c r="Y1055">
        <v>1.23</v>
      </c>
      <c r="Z1055">
        <v>3026.741</v>
      </c>
      <c r="AA1055" s="2"/>
      <c r="AB1055" s="2"/>
      <c r="AC1055" t="s">
        <v>4786</v>
      </c>
      <c r="AD1055">
        <v>0.87</v>
      </c>
      <c r="AE1055">
        <v>2838.842</v>
      </c>
      <c r="AF1055" s="2">
        <f t="shared" si="61"/>
        <v>-0.292682926829268</v>
      </c>
      <c r="AG1055" s="2">
        <f t="shared" si="62"/>
        <v>-0.0620796427576723</v>
      </c>
      <c r="AH1055" t="s">
        <v>4787</v>
      </c>
      <c r="AI1055" t="s">
        <v>4788</v>
      </c>
      <c r="AJ1055" t="s">
        <v>625</v>
      </c>
    </row>
    <row r="1056" hidden="1" spans="1:36">
      <c r="A1056">
        <v>110005</v>
      </c>
      <c r="B1056" t="s">
        <v>4789</v>
      </c>
      <c r="C1056">
        <v>600558</v>
      </c>
      <c r="D1056" t="s">
        <v>4790</v>
      </c>
      <c r="E1056" t="s">
        <v>4791</v>
      </c>
      <c r="F1056" t="s">
        <v>56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 t="s">
        <v>41</v>
      </c>
      <c r="M1056" t="s">
        <v>41</v>
      </c>
      <c r="N1056" t="s">
        <v>41</v>
      </c>
      <c r="O1056" t="s">
        <v>41</v>
      </c>
      <c r="P1056" t="s">
        <v>41</v>
      </c>
      <c r="Q1056" s="2"/>
      <c r="R1056" s="2"/>
      <c r="S1056" t="s">
        <v>41</v>
      </c>
      <c r="T1056" t="s">
        <v>41</v>
      </c>
      <c r="U1056" t="s">
        <v>41</v>
      </c>
      <c r="V1056" s="2"/>
      <c r="W1056" s="2"/>
      <c r="X1056" t="s">
        <v>4792</v>
      </c>
      <c r="Y1056">
        <v>2.57</v>
      </c>
      <c r="Z1056">
        <v>2845.024</v>
      </c>
      <c r="AA1056" s="2"/>
      <c r="AB1056" s="2"/>
      <c r="AC1056" t="s">
        <v>4793</v>
      </c>
      <c r="AD1056">
        <v>2.91</v>
      </c>
      <c r="AE1056">
        <v>2967.011</v>
      </c>
      <c r="AF1056" s="2">
        <f t="shared" si="61"/>
        <v>0.132295719844358</v>
      </c>
      <c r="AG1056" s="2">
        <f t="shared" si="62"/>
        <v>0.0428773184338691</v>
      </c>
      <c r="AH1056" t="s">
        <v>4794</v>
      </c>
      <c r="AI1056" t="s">
        <v>4760</v>
      </c>
      <c r="AJ1056" t="s">
        <v>625</v>
      </c>
    </row>
    <row r="1057" hidden="1" spans="1:36">
      <c r="A1057">
        <v>110004</v>
      </c>
      <c r="B1057" t="s">
        <v>4795</v>
      </c>
      <c r="C1057">
        <v>600815</v>
      </c>
      <c r="D1057" t="s">
        <v>4796</v>
      </c>
      <c r="E1057" t="s">
        <v>4540</v>
      </c>
      <c r="F1057" t="s">
        <v>98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 t="s">
        <v>41</v>
      </c>
      <c r="M1057" t="s">
        <v>41</v>
      </c>
      <c r="N1057" t="s">
        <v>41</v>
      </c>
      <c r="O1057" t="s">
        <v>41</v>
      </c>
      <c r="P1057" t="s">
        <v>41</v>
      </c>
      <c r="Q1057" s="2"/>
      <c r="R1057" s="2"/>
      <c r="S1057" t="s">
        <v>41</v>
      </c>
      <c r="T1057" t="s">
        <v>41</v>
      </c>
      <c r="U1057" t="s">
        <v>41</v>
      </c>
      <c r="V1057" s="2"/>
      <c r="W1057" s="2"/>
      <c r="X1057" t="s">
        <v>4797</v>
      </c>
      <c r="Y1057">
        <v>5.97</v>
      </c>
      <c r="Z1057">
        <v>2860.688</v>
      </c>
      <c r="AA1057" s="2"/>
      <c r="AB1057" s="2"/>
      <c r="AC1057" t="s">
        <v>4798</v>
      </c>
      <c r="AD1057">
        <v>6.26</v>
      </c>
      <c r="AE1057">
        <v>2989.792</v>
      </c>
      <c r="AF1057" s="2">
        <f t="shared" si="61"/>
        <v>0.0485762144053601</v>
      </c>
      <c r="AG1057" s="2">
        <f t="shared" si="62"/>
        <v>0.045130402196954</v>
      </c>
      <c r="AH1057" t="s">
        <v>4799</v>
      </c>
      <c r="AI1057" t="s">
        <v>4800</v>
      </c>
      <c r="AJ1057" t="s">
        <v>625</v>
      </c>
    </row>
    <row r="1058" hidden="1" spans="1:36">
      <c r="A1058">
        <v>126019</v>
      </c>
      <c r="B1058" t="s">
        <v>4801</v>
      </c>
      <c r="C1058">
        <v>600839</v>
      </c>
      <c r="D1058" t="s">
        <v>4802</v>
      </c>
      <c r="E1058" t="s">
        <v>4803</v>
      </c>
      <c r="F1058" t="s">
        <v>397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 t="s">
        <v>41</v>
      </c>
      <c r="M1058" t="s">
        <v>41</v>
      </c>
      <c r="N1058" t="s">
        <v>41</v>
      </c>
      <c r="O1058" t="s">
        <v>41</v>
      </c>
      <c r="P1058" t="s">
        <v>41</v>
      </c>
      <c r="Q1058" s="2"/>
      <c r="R1058" s="2"/>
      <c r="S1058" t="s">
        <v>41</v>
      </c>
      <c r="T1058" t="s">
        <v>41</v>
      </c>
      <c r="U1058" t="s">
        <v>41</v>
      </c>
      <c r="V1058" s="2"/>
      <c r="W1058" s="2"/>
      <c r="X1058" t="s">
        <v>4804</v>
      </c>
      <c r="Y1058">
        <v>2.67</v>
      </c>
      <c r="Z1058">
        <v>3412.062</v>
      </c>
      <c r="AA1058" s="2"/>
      <c r="AB1058" s="2"/>
      <c r="AC1058" t="s">
        <v>4805</v>
      </c>
      <c r="AD1058">
        <v>2.29</v>
      </c>
      <c r="AE1058">
        <v>2785.584</v>
      </c>
      <c r="AF1058" s="2">
        <f t="shared" si="61"/>
        <v>-0.142322097378277</v>
      </c>
      <c r="AG1058" s="2">
        <f t="shared" si="62"/>
        <v>-0.183606862946805</v>
      </c>
      <c r="AH1058" t="s">
        <v>41</v>
      </c>
      <c r="AI1058" t="s">
        <v>41</v>
      </c>
      <c r="AJ1058" t="s">
        <v>41</v>
      </c>
    </row>
    <row r="1059" hidden="1" spans="1:36">
      <c r="A1059">
        <v>126018</v>
      </c>
      <c r="B1059" t="s">
        <v>4806</v>
      </c>
      <c r="C1059">
        <v>600362</v>
      </c>
      <c r="D1059" t="s">
        <v>4807</v>
      </c>
      <c r="E1059" t="s">
        <v>4808</v>
      </c>
      <c r="F1059" t="s">
        <v>444</v>
      </c>
      <c r="G1059" t="s">
        <v>41</v>
      </c>
      <c r="H1059" t="s">
        <v>41</v>
      </c>
      <c r="I1059" t="s">
        <v>41</v>
      </c>
      <c r="J1059" t="s">
        <v>41</v>
      </c>
      <c r="K1059" t="s">
        <v>41</v>
      </c>
      <c r="L1059" t="s">
        <v>41</v>
      </c>
      <c r="M1059" t="s">
        <v>41</v>
      </c>
      <c r="N1059" t="s">
        <v>41</v>
      </c>
      <c r="O1059" t="s">
        <v>41</v>
      </c>
      <c r="P1059" t="s">
        <v>41</v>
      </c>
      <c r="Q1059" s="2"/>
      <c r="R1059" s="2"/>
      <c r="S1059" t="s">
        <v>41</v>
      </c>
      <c r="T1059" t="s">
        <v>41</v>
      </c>
      <c r="U1059" t="s">
        <v>41</v>
      </c>
      <c r="V1059" s="2"/>
      <c r="W1059" s="2"/>
      <c r="X1059" t="s">
        <v>4809</v>
      </c>
      <c r="Y1059">
        <v>9.21</v>
      </c>
      <c r="Z1059">
        <v>2236.41</v>
      </c>
      <c r="AA1059" s="2"/>
      <c r="AB1059" s="2"/>
      <c r="AC1059" t="s">
        <v>4810</v>
      </c>
      <c r="AD1059">
        <v>5.78</v>
      </c>
      <c r="AE1059">
        <v>2000.572</v>
      </c>
      <c r="AF1059" s="2">
        <f t="shared" si="61"/>
        <v>-0.37242128121607</v>
      </c>
      <c r="AG1059" s="2">
        <f t="shared" si="62"/>
        <v>-0.105453830022223</v>
      </c>
      <c r="AH1059" t="s">
        <v>41</v>
      </c>
      <c r="AI1059" t="s">
        <v>41</v>
      </c>
      <c r="AJ1059" t="s">
        <v>41</v>
      </c>
    </row>
    <row r="1060" hidden="1" spans="1:36">
      <c r="A1060">
        <v>110003</v>
      </c>
      <c r="B1060" t="s">
        <v>4811</v>
      </c>
      <c r="C1060">
        <v>600782</v>
      </c>
      <c r="D1060" t="s">
        <v>4812</v>
      </c>
      <c r="E1060" t="s">
        <v>4813</v>
      </c>
      <c r="F1060" t="s">
        <v>98</v>
      </c>
      <c r="G1060" t="s">
        <v>41</v>
      </c>
      <c r="H1060" t="s">
        <v>41</v>
      </c>
      <c r="I1060" t="s">
        <v>41</v>
      </c>
      <c r="J1060" t="s">
        <v>41</v>
      </c>
      <c r="K1060" t="s">
        <v>41</v>
      </c>
      <c r="L1060" t="s">
        <v>41</v>
      </c>
      <c r="M1060" t="s">
        <v>41</v>
      </c>
      <c r="N1060" t="s">
        <v>41</v>
      </c>
      <c r="O1060" t="s">
        <v>41</v>
      </c>
      <c r="P1060" t="s">
        <v>41</v>
      </c>
      <c r="Q1060" s="2"/>
      <c r="R1060" s="2"/>
      <c r="S1060" t="s">
        <v>41</v>
      </c>
      <c r="T1060" t="s">
        <v>41</v>
      </c>
      <c r="U1060" t="s">
        <v>41</v>
      </c>
      <c r="V1060" s="2"/>
      <c r="W1060" s="2"/>
      <c r="X1060" t="s">
        <v>4814</v>
      </c>
      <c r="Y1060">
        <v>1.65</v>
      </c>
      <c r="Z1060">
        <v>2431.716</v>
      </c>
      <c r="AA1060" s="2"/>
      <c r="AB1060" s="2"/>
      <c r="AC1060" t="s">
        <v>4815</v>
      </c>
      <c r="AD1060">
        <v>1.21</v>
      </c>
      <c r="AE1060">
        <v>2202.446</v>
      </c>
      <c r="AF1060" s="2">
        <f t="shared" si="61"/>
        <v>-0.266666666666667</v>
      </c>
      <c r="AG1060" s="2">
        <f t="shared" si="62"/>
        <v>-0.0942832139937394</v>
      </c>
      <c r="AH1060" t="s">
        <v>4816</v>
      </c>
      <c r="AI1060" t="s">
        <v>4817</v>
      </c>
      <c r="AJ1060" t="s">
        <v>3077</v>
      </c>
    </row>
    <row r="1061" hidden="1" spans="1:36">
      <c r="A1061">
        <v>126017</v>
      </c>
      <c r="B1061" t="s">
        <v>4818</v>
      </c>
      <c r="C1061">
        <v>600068</v>
      </c>
      <c r="D1061" t="s">
        <v>4819</v>
      </c>
      <c r="E1061" t="s">
        <v>4820</v>
      </c>
      <c r="F1061" t="s">
        <v>444</v>
      </c>
      <c r="G1061" t="s">
        <v>41</v>
      </c>
      <c r="H1061" t="s">
        <v>41</v>
      </c>
      <c r="I1061" t="s">
        <v>41</v>
      </c>
      <c r="J1061" t="s">
        <v>41</v>
      </c>
      <c r="K1061" t="s">
        <v>41</v>
      </c>
      <c r="L1061" t="s">
        <v>41</v>
      </c>
      <c r="M1061" t="s">
        <v>41</v>
      </c>
      <c r="N1061" t="s">
        <v>41</v>
      </c>
      <c r="O1061" t="s">
        <v>41</v>
      </c>
      <c r="P1061" t="s">
        <v>41</v>
      </c>
      <c r="Q1061" s="2"/>
      <c r="R1061" s="2"/>
      <c r="S1061" t="s">
        <v>41</v>
      </c>
      <c r="T1061" t="s">
        <v>41</v>
      </c>
      <c r="U1061" t="s">
        <v>41</v>
      </c>
      <c r="V1061" s="2"/>
      <c r="W1061" s="2"/>
      <c r="X1061" t="s">
        <v>4821</v>
      </c>
      <c r="Y1061">
        <v>2.71</v>
      </c>
      <c r="Z1061">
        <v>2901.85</v>
      </c>
      <c r="AA1061" s="2"/>
      <c r="AB1061" s="2"/>
      <c r="AC1061" t="s">
        <v>4822</v>
      </c>
      <c r="AD1061">
        <v>3.02</v>
      </c>
      <c r="AE1061">
        <v>2856.634</v>
      </c>
      <c r="AF1061" s="2">
        <f t="shared" si="61"/>
        <v>0.114391143911439</v>
      </c>
      <c r="AG1061" s="2">
        <f t="shared" si="62"/>
        <v>-0.0155817840343229</v>
      </c>
      <c r="AH1061" t="s">
        <v>41</v>
      </c>
      <c r="AI1061" t="s">
        <v>41</v>
      </c>
      <c r="AJ1061" t="s">
        <v>41</v>
      </c>
    </row>
    <row r="1062" hidden="1" spans="1:36">
      <c r="A1062">
        <v>126016</v>
      </c>
      <c r="B1062" t="s">
        <v>4823</v>
      </c>
      <c r="C1062">
        <v>600019</v>
      </c>
      <c r="D1062" t="s">
        <v>4824</v>
      </c>
      <c r="E1062" t="s">
        <v>4523</v>
      </c>
      <c r="F1062" t="s">
        <v>444</v>
      </c>
      <c r="G1062" t="s">
        <v>41</v>
      </c>
      <c r="H1062" t="s">
        <v>41</v>
      </c>
      <c r="I1062" t="s">
        <v>41</v>
      </c>
      <c r="J1062" t="s">
        <v>41</v>
      </c>
      <c r="K1062" t="s">
        <v>41</v>
      </c>
      <c r="L1062" t="s">
        <v>41</v>
      </c>
      <c r="M1062" t="s">
        <v>41</v>
      </c>
      <c r="N1062" t="s">
        <v>41</v>
      </c>
      <c r="O1062" t="s">
        <v>41</v>
      </c>
      <c r="P1062" t="s">
        <v>41</v>
      </c>
      <c r="Q1062" s="2"/>
      <c r="R1062" s="2"/>
      <c r="S1062" t="s">
        <v>41</v>
      </c>
      <c r="T1062" t="s">
        <v>41</v>
      </c>
      <c r="U1062" t="s">
        <v>41</v>
      </c>
      <c r="V1062" s="2"/>
      <c r="W1062" s="2"/>
      <c r="X1062" t="s">
        <v>4825</v>
      </c>
      <c r="Y1062">
        <v>4.45</v>
      </c>
      <c r="Z1062">
        <v>2831.736</v>
      </c>
      <c r="AA1062" s="2"/>
      <c r="AB1062" s="2"/>
      <c r="AC1062" t="s">
        <v>4826</v>
      </c>
      <c r="AD1062">
        <v>3.78</v>
      </c>
      <c r="AE1062">
        <v>2669.892</v>
      </c>
      <c r="AF1062" s="2">
        <f t="shared" si="61"/>
        <v>-0.150561797752809</v>
      </c>
      <c r="AG1062" s="2">
        <f t="shared" si="62"/>
        <v>-0.057153632965785</v>
      </c>
      <c r="AH1062" t="s">
        <v>41</v>
      </c>
      <c r="AI1062" t="s">
        <v>41</v>
      </c>
      <c r="AJ1062" t="s">
        <v>41</v>
      </c>
    </row>
    <row r="1063" hidden="1" spans="1:36">
      <c r="A1063">
        <v>126015</v>
      </c>
      <c r="B1063" t="s">
        <v>4827</v>
      </c>
      <c r="C1063">
        <v>600518</v>
      </c>
      <c r="D1063" t="s">
        <v>4828</v>
      </c>
      <c r="E1063" t="s">
        <v>4829</v>
      </c>
      <c r="F1063" t="s">
        <v>98</v>
      </c>
      <c r="G1063" t="s">
        <v>41</v>
      </c>
      <c r="H1063" t="s">
        <v>41</v>
      </c>
      <c r="I1063" t="s">
        <v>41</v>
      </c>
      <c r="J1063" t="s">
        <v>41</v>
      </c>
      <c r="K1063" t="s">
        <v>41</v>
      </c>
      <c r="L1063" t="s">
        <v>41</v>
      </c>
      <c r="M1063" t="s">
        <v>41</v>
      </c>
      <c r="N1063" t="s">
        <v>41</v>
      </c>
      <c r="O1063" t="s">
        <v>41</v>
      </c>
      <c r="P1063" t="s">
        <v>41</v>
      </c>
      <c r="Q1063" s="2"/>
      <c r="R1063" s="2"/>
      <c r="S1063" t="s">
        <v>41</v>
      </c>
      <c r="T1063" t="s">
        <v>41</v>
      </c>
      <c r="U1063" t="s">
        <v>41</v>
      </c>
      <c r="V1063" s="2"/>
      <c r="W1063" s="2"/>
      <c r="X1063" t="s">
        <v>4830</v>
      </c>
      <c r="Y1063">
        <v>1.51</v>
      </c>
      <c r="Z1063">
        <v>3656.839</v>
      </c>
      <c r="AA1063" s="2"/>
      <c r="AB1063" s="2"/>
      <c r="AC1063" t="s">
        <v>4831</v>
      </c>
      <c r="AD1063">
        <v>1.45</v>
      </c>
      <c r="AE1063">
        <v>3364.544</v>
      </c>
      <c r="AF1063" s="2">
        <f t="shared" si="61"/>
        <v>-0.0397350993377484</v>
      </c>
      <c r="AG1063" s="2">
        <f t="shared" si="62"/>
        <v>-0.0799310552091574</v>
      </c>
      <c r="AH1063" t="s">
        <v>41</v>
      </c>
      <c r="AI1063" t="s">
        <v>41</v>
      </c>
      <c r="AJ1063" t="s">
        <v>41</v>
      </c>
    </row>
    <row r="1064" hidden="1" spans="1:36">
      <c r="A1064">
        <v>126014</v>
      </c>
      <c r="B1064" t="s">
        <v>4832</v>
      </c>
      <c r="C1064">
        <v>600795</v>
      </c>
      <c r="D1064" t="s">
        <v>4657</v>
      </c>
      <c r="E1064" t="s">
        <v>4833</v>
      </c>
      <c r="F1064" t="s">
        <v>444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 t="s">
        <v>41</v>
      </c>
      <c r="M1064" t="s">
        <v>41</v>
      </c>
      <c r="N1064" t="s">
        <v>41</v>
      </c>
      <c r="O1064" t="s">
        <v>41</v>
      </c>
      <c r="P1064" t="s">
        <v>41</v>
      </c>
      <c r="Q1064" s="2"/>
      <c r="R1064" s="2"/>
      <c r="S1064" t="s">
        <v>41</v>
      </c>
      <c r="T1064" t="s">
        <v>41</v>
      </c>
      <c r="U1064" t="s">
        <v>41</v>
      </c>
      <c r="V1064" s="2"/>
      <c r="W1064" s="2"/>
      <c r="X1064" t="s">
        <v>4834</v>
      </c>
      <c r="Y1064">
        <v>1.93</v>
      </c>
      <c r="Z1064">
        <v>3579.147</v>
      </c>
      <c r="AA1064" s="2"/>
      <c r="AB1064" s="2"/>
      <c r="AC1064" t="s">
        <v>4835</v>
      </c>
      <c r="AD1064">
        <v>2.17</v>
      </c>
      <c r="AE1064">
        <v>3485.63</v>
      </c>
      <c r="AF1064" s="2">
        <f t="shared" si="61"/>
        <v>0.124352331606218</v>
      </c>
      <c r="AG1064" s="2">
        <f t="shared" si="62"/>
        <v>-0.0261282925792095</v>
      </c>
      <c r="AH1064" t="s">
        <v>41</v>
      </c>
      <c r="AI1064" t="s">
        <v>41</v>
      </c>
      <c r="AJ1064" t="s">
        <v>41</v>
      </c>
    </row>
    <row r="1065" hidden="1" spans="1:36">
      <c r="A1065">
        <v>110002</v>
      </c>
      <c r="B1065" t="s">
        <v>4637</v>
      </c>
      <c r="C1065">
        <v>600219</v>
      </c>
      <c r="D1065" t="s">
        <v>4638</v>
      </c>
      <c r="E1065" t="s">
        <v>4477</v>
      </c>
      <c r="F1065" t="s">
        <v>397</v>
      </c>
      <c r="G1065" t="s">
        <v>41</v>
      </c>
      <c r="H1065" t="s">
        <v>41</v>
      </c>
      <c r="I1065" t="s">
        <v>41</v>
      </c>
      <c r="J1065" t="s">
        <v>41</v>
      </c>
      <c r="K1065" t="s">
        <v>41</v>
      </c>
      <c r="L1065" t="s">
        <v>41</v>
      </c>
      <c r="M1065" t="s">
        <v>41</v>
      </c>
      <c r="N1065" t="s">
        <v>41</v>
      </c>
      <c r="O1065" t="s">
        <v>41</v>
      </c>
      <c r="P1065" t="s">
        <v>41</v>
      </c>
      <c r="Q1065" s="2"/>
      <c r="R1065" s="2"/>
      <c r="S1065" t="s">
        <v>41</v>
      </c>
      <c r="T1065" t="s">
        <v>41</v>
      </c>
      <c r="U1065" t="s">
        <v>41</v>
      </c>
      <c r="V1065" s="2"/>
      <c r="W1065" s="2"/>
      <c r="X1065" t="s">
        <v>4836</v>
      </c>
      <c r="Y1065">
        <v>3.41</v>
      </c>
      <c r="Z1065">
        <v>3094.668</v>
      </c>
      <c r="AA1065" s="2"/>
      <c r="AB1065" s="2"/>
      <c r="AC1065" t="s">
        <v>4837</v>
      </c>
      <c r="AD1065">
        <v>4.03</v>
      </c>
      <c r="AE1065">
        <v>3560.243</v>
      </c>
      <c r="AF1065" s="2">
        <f t="shared" si="61"/>
        <v>0.181818181818182</v>
      </c>
      <c r="AG1065" s="2">
        <f t="shared" si="62"/>
        <v>0.150444247977489</v>
      </c>
      <c r="AH1065" t="s">
        <v>4838</v>
      </c>
      <c r="AI1065" t="s">
        <v>4839</v>
      </c>
      <c r="AJ1065" t="s">
        <v>625</v>
      </c>
    </row>
    <row r="1066" hidden="1" spans="1:36">
      <c r="A1066">
        <v>125528</v>
      </c>
      <c r="B1066" t="s">
        <v>4840</v>
      </c>
      <c r="C1066">
        <v>528</v>
      </c>
      <c r="D1066" t="s">
        <v>1401</v>
      </c>
      <c r="E1066" t="s">
        <v>4841</v>
      </c>
      <c r="F1066" t="s">
        <v>444</v>
      </c>
      <c r="G1066" t="s">
        <v>41</v>
      </c>
      <c r="H1066" t="s">
        <v>41</v>
      </c>
      <c r="I1066" t="s">
        <v>41</v>
      </c>
      <c r="J1066" t="s">
        <v>41</v>
      </c>
      <c r="K1066" t="s">
        <v>41</v>
      </c>
      <c r="L1066" t="s">
        <v>41</v>
      </c>
      <c r="M1066" t="s">
        <v>41</v>
      </c>
      <c r="N1066" t="s">
        <v>41</v>
      </c>
      <c r="O1066" t="s">
        <v>41</v>
      </c>
      <c r="P1066" t="s">
        <v>41</v>
      </c>
      <c r="Q1066" s="2"/>
      <c r="R1066" s="2"/>
      <c r="S1066" t="s">
        <v>41</v>
      </c>
      <c r="T1066" t="s">
        <v>41</v>
      </c>
      <c r="U1066" t="s">
        <v>41</v>
      </c>
      <c r="V1066" s="2"/>
      <c r="W1066" s="2"/>
      <c r="X1066" t="s">
        <v>4836</v>
      </c>
      <c r="Y1066">
        <v>7.07</v>
      </c>
      <c r="Z1066">
        <v>3094.668</v>
      </c>
      <c r="AA1066" s="2"/>
      <c r="AB1066" s="2"/>
      <c r="AC1066" t="s">
        <v>4842</v>
      </c>
      <c r="AD1066">
        <v>9.94</v>
      </c>
      <c r="AE1066">
        <v>3733.503</v>
      </c>
      <c r="AF1066" s="2">
        <f t="shared" si="61"/>
        <v>0.405940594059406</v>
      </c>
      <c r="AG1066" s="2">
        <f t="shared" si="62"/>
        <v>0.206430867543788</v>
      </c>
      <c r="AH1066" t="s">
        <v>4843</v>
      </c>
      <c r="AI1066" t="s">
        <v>4844</v>
      </c>
      <c r="AJ1066" t="s">
        <v>625</v>
      </c>
    </row>
    <row r="1067" hidden="1" spans="1:36">
      <c r="A1067">
        <v>126013</v>
      </c>
      <c r="B1067" t="s">
        <v>4845</v>
      </c>
      <c r="C1067">
        <v>600600</v>
      </c>
      <c r="D1067" t="s">
        <v>4846</v>
      </c>
      <c r="E1067" t="s">
        <v>4471</v>
      </c>
      <c r="F1067" t="s">
        <v>444</v>
      </c>
      <c r="G1067" t="s">
        <v>41</v>
      </c>
      <c r="H1067" t="s">
        <v>41</v>
      </c>
      <c r="I1067" t="s">
        <v>41</v>
      </c>
      <c r="J1067" t="s">
        <v>41</v>
      </c>
      <c r="K1067" t="s">
        <v>41</v>
      </c>
      <c r="L1067" t="s">
        <v>41</v>
      </c>
      <c r="M1067" t="s">
        <v>41</v>
      </c>
      <c r="N1067" t="s">
        <v>41</v>
      </c>
      <c r="O1067" t="s">
        <v>41</v>
      </c>
      <c r="P1067" t="s">
        <v>41</v>
      </c>
      <c r="Q1067" s="2"/>
      <c r="R1067" s="2"/>
      <c r="S1067" t="s">
        <v>41</v>
      </c>
      <c r="T1067" t="s">
        <v>41</v>
      </c>
      <c r="U1067" t="s">
        <v>41</v>
      </c>
      <c r="V1067" s="2"/>
      <c r="W1067" s="2"/>
      <c r="X1067" t="s">
        <v>4847</v>
      </c>
      <c r="Y1067">
        <v>11.76</v>
      </c>
      <c r="Z1067">
        <v>3347.882</v>
      </c>
      <c r="AA1067" s="2"/>
      <c r="AB1067" s="2"/>
      <c r="AC1067" t="s">
        <v>4836</v>
      </c>
      <c r="AD1067">
        <v>9.42</v>
      </c>
      <c r="AE1067">
        <v>3094.668</v>
      </c>
      <c r="AF1067" s="2">
        <f t="shared" si="61"/>
        <v>-0.198979591836735</v>
      </c>
      <c r="AG1067" s="2">
        <f t="shared" si="62"/>
        <v>-0.0756340874618639</v>
      </c>
      <c r="AH1067" t="s">
        <v>41</v>
      </c>
      <c r="AI1067" t="s">
        <v>41</v>
      </c>
      <c r="AJ1067" t="s">
        <v>41</v>
      </c>
    </row>
    <row r="1068" hidden="1" spans="1:36">
      <c r="A1068">
        <v>110368</v>
      </c>
      <c r="B1068" t="s">
        <v>4848</v>
      </c>
      <c r="C1068">
        <v>600368</v>
      </c>
      <c r="D1068" t="s">
        <v>324</v>
      </c>
      <c r="E1068" t="s">
        <v>4849</v>
      </c>
      <c r="F1068" t="s">
        <v>444</v>
      </c>
      <c r="G1068" t="s">
        <v>41</v>
      </c>
      <c r="H1068" t="s">
        <v>41</v>
      </c>
      <c r="I1068" t="s">
        <v>41</v>
      </c>
      <c r="J1068" t="s">
        <v>41</v>
      </c>
      <c r="K1068" t="s">
        <v>41</v>
      </c>
      <c r="L1068" t="s">
        <v>41</v>
      </c>
      <c r="M1068" t="s">
        <v>41</v>
      </c>
      <c r="N1068" t="s">
        <v>41</v>
      </c>
      <c r="O1068" t="s">
        <v>41</v>
      </c>
      <c r="P1068" t="s">
        <v>41</v>
      </c>
      <c r="Q1068" s="2"/>
      <c r="R1068" s="2"/>
      <c r="S1068" t="s">
        <v>41</v>
      </c>
      <c r="T1068" t="s">
        <v>41</v>
      </c>
      <c r="U1068" t="s">
        <v>41</v>
      </c>
      <c r="V1068" s="2"/>
      <c r="W1068" s="2"/>
      <c r="X1068" t="s">
        <v>4850</v>
      </c>
      <c r="Y1068">
        <v>2.7</v>
      </c>
      <c r="Z1068">
        <v>4348.543</v>
      </c>
      <c r="AA1068" s="2"/>
      <c r="AB1068" s="2"/>
      <c r="AC1068" t="s">
        <v>4851</v>
      </c>
      <c r="AD1068">
        <v>2.67</v>
      </c>
      <c r="AE1068">
        <v>3962.673</v>
      </c>
      <c r="AF1068" s="2">
        <f t="shared" si="61"/>
        <v>-0.0111111111111112</v>
      </c>
      <c r="AG1068" s="2">
        <f t="shared" si="62"/>
        <v>-0.0887354684086141</v>
      </c>
      <c r="AH1068" t="s">
        <v>4852</v>
      </c>
      <c r="AI1068" t="s">
        <v>4853</v>
      </c>
      <c r="AJ1068" t="s">
        <v>625</v>
      </c>
    </row>
    <row r="1069" hidden="1" spans="1:36">
      <c r="A1069">
        <v>126011</v>
      </c>
      <c r="B1069" t="s">
        <v>4854</v>
      </c>
      <c r="C1069">
        <v>600028</v>
      </c>
      <c r="D1069" t="s">
        <v>4690</v>
      </c>
      <c r="E1069" t="s">
        <v>4855</v>
      </c>
      <c r="F1069" t="s">
        <v>444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 t="s">
        <v>41</v>
      </c>
      <c r="M1069" t="s">
        <v>41</v>
      </c>
      <c r="N1069" t="s">
        <v>41</v>
      </c>
      <c r="O1069" t="s">
        <v>41</v>
      </c>
      <c r="P1069" t="s">
        <v>41</v>
      </c>
      <c r="Q1069" s="2"/>
      <c r="R1069" s="2"/>
      <c r="S1069" t="s">
        <v>41</v>
      </c>
      <c r="T1069" t="s">
        <v>41</v>
      </c>
      <c r="U1069" t="s">
        <v>41</v>
      </c>
      <c r="V1069" s="2"/>
      <c r="W1069" s="2"/>
      <c r="X1069" t="s">
        <v>4856</v>
      </c>
      <c r="Y1069">
        <v>9.01</v>
      </c>
      <c r="Z1069">
        <v>4567.026</v>
      </c>
      <c r="AA1069" s="2"/>
      <c r="AB1069" s="2"/>
      <c r="AC1069" t="s">
        <v>4857</v>
      </c>
      <c r="AD1069">
        <v>8.18</v>
      </c>
      <c r="AE1069">
        <v>4335.446</v>
      </c>
      <c r="AF1069" s="2">
        <f t="shared" si="61"/>
        <v>-0.0921198668146504</v>
      </c>
      <c r="AG1069" s="2">
        <f t="shared" si="62"/>
        <v>-0.0507069589706737</v>
      </c>
      <c r="AH1069" t="s">
        <v>41</v>
      </c>
      <c r="AI1069" t="s">
        <v>41</v>
      </c>
      <c r="AJ1069" t="s">
        <v>41</v>
      </c>
    </row>
    <row r="1070" hidden="1" spans="1:36">
      <c r="A1070">
        <v>126012</v>
      </c>
      <c r="B1070" t="s">
        <v>4858</v>
      </c>
      <c r="C1070">
        <v>600018</v>
      </c>
      <c r="D1070" t="s">
        <v>4859</v>
      </c>
      <c r="E1070" t="s">
        <v>4860</v>
      </c>
      <c r="F1070" t="s">
        <v>444</v>
      </c>
      <c r="G1070" t="s">
        <v>41</v>
      </c>
      <c r="H1070" t="s">
        <v>41</v>
      </c>
      <c r="I1070" t="s">
        <v>41</v>
      </c>
      <c r="J1070" t="s">
        <v>41</v>
      </c>
      <c r="K1070" t="s">
        <v>41</v>
      </c>
      <c r="L1070" t="s">
        <v>41</v>
      </c>
      <c r="M1070" t="s">
        <v>41</v>
      </c>
      <c r="N1070" t="s">
        <v>41</v>
      </c>
      <c r="O1070" t="s">
        <v>41</v>
      </c>
      <c r="P1070" t="s">
        <v>41</v>
      </c>
      <c r="Q1070" s="2"/>
      <c r="R1070" s="2"/>
      <c r="S1070" t="s">
        <v>41</v>
      </c>
      <c r="T1070" t="s">
        <v>41</v>
      </c>
      <c r="U1070" t="s">
        <v>41</v>
      </c>
      <c r="V1070" s="2"/>
      <c r="W1070" s="2"/>
      <c r="X1070" t="s">
        <v>4856</v>
      </c>
      <c r="Y1070">
        <v>5.67</v>
      </c>
      <c r="Z1070">
        <v>4567.026</v>
      </c>
      <c r="AA1070" s="2"/>
      <c r="AB1070" s="2"/>
      <c r="AC1070" t="s">
        <v>4861</v>
      </c>
      <c r="AD1070">
        <v>5.55</v>
      </c>
      <c r="AE1070">
        <v>4300.515</v>
      </c>
      <c r="AF1070" s="2">
        <f t="shared" si="61"/>
        <v>-0.0211640211640212</v>
      </c>
      <c r="AG1070" s="2">
        <f t="shared" si="62"/>
        <v>-0.0583554812256378</v>
      </c>
      <c r="AH1070" t="s">
        <v>41</v>
      </c>
      <c r="AI1070" t="s">
        <v>41</v>
      </c>
      <c r="AJ1070" t="s">
        <v>41</v>
      </c>
    </row>
    <row r="1071" hidden="1" spans="1:36">
      <c r="A1071">
        <v>115003</v>
      </c>
      <c r="B1071" t="s">
        <v>4862</v>
      </c>
      <c r="C1071">
        <v>63</v>
      </c>
      <c r="D1071" t="s">
        <v>4863</v>
      </c>
      <c r="E1071" t="s">
        <v>4553</v>
      </c>
      <c r="F1071" t="s">
        <v>444</v>
      </c>
      <c r="G1071" t="s">
        <v>41</v>
      </c>
      <c r="H1071" t="s">
        <v>41</v>
      </c>
      <c r="I1071" t="s">
        <v>41</v>
      </c>
      <c r="J1071" t="s">
        <v>41</v>
      </c>
      <c r="K1071" t="s">
        <v>41</v>
      </c>
      <c r="L1071" t="s">
        <v>41</v>
      </c>
      <c r="M1071" t="s">
        <v>41</v>
      </c>
      <c r="N1071" t="s">
        <v>41</v>
      </c>
      <c r="O1071" t="s">
        <v>41</v>
      </c>
      <c r="P1071" t="s">
        <v>41</v>
      </c>
      <c r="Q1071" s="2"/>
      <c r="R1071" s="2"/>
      <c r="S1071" t="s">
        <v>41</v>
      </c>
      <c r="T1071" t="s">
        <v>41</v>
      </c>
      <c r="U1071" t="s">
        <v>41</v>
      </c>
      <c r="V1071" s="2"/>
      <c r="W1071" s="2"/>
      <c r="X1071" t="s">
        <v>4864</v>
      </c>
      <c r="Y1071">
        <v>14.58</v>
      </c>
      <c r="Z1071">
        <v>4417.849</v>
      </c>
      <c r="AA1071" s="2"/>
      <c r="AB1071" s="2"/>
      <c r="AC1071" t="s">
        <v>4865</v>
      </c>
      <c r="AD1071">
        <v>14.78</v>
      </c>
      <c r="AE1071">
        <v>4370.285</v>
      </c>
      <c r="AF1071" s="2">
        <f t="shared" si="61"/>
        <v>0.0137174211248285</v>
      </c>
      <c r="AG1071" s="2">
        <f t="shared" si="62"/>
        <v>-0.0107663254221682</v>
      </c>
      <c r="AH1071" t="s">
        <v>41</v>
      </c>
      <c r="AI1071" t="s">
        <v>41</v>
      </c>
      <c r="AJ1071" t="s">
        <v>41</v>
      </c>
    </row>
    <row r="1072" hidden="1" spans="1:36">
      <c r="A1072">
        <v>126010</v>
      </c>
      <c r="B1072" t="s">
        <v>4866</v>
      </c>
      <c r="C1072">
        <v>600428</v>
      </c>
      <c r="D1072" t="s">
        <v>4867</v>
      </c>
      <c r="E1072" t="s">
        <v>4868</v>
      </c>
      <c r="F1072" t="s">
        <v>444</v>
      </c>
      <c r="G1072" t="s">
        <v>41</v>
      </c>
      <c r="H1072" t="s">
        <v>41</v>
      </c>
      <c r="I1072" t="s">
        <v>41</v>
      </c>
      <c r="J1072" t="s">
        <v>41</v>
      </c>
      <c r="K1072" t="s">
        <v>41</v>
      </c>
      <c r="L1072" t="s">
        <v>41</v>
      </c>
      <c r="M1072" t="s">
        <v>41</v>
      </c>
      <c r="N1072" t="s">
        <v>41</v>
      </c>
      <c r="O1072" t="s">
        <v>41</v>
      </c>
      <c r="P1072" t="s">
        <v>41</v>
      </c>
      <c r="Q1072" s="2"/>
      <c r="R1072" s="2"/>
      <c r="S1072" t="s">
        <v>41</v>
      </c>
      <c r="T1072" t="s">
        <v>41</v>
      </c>
      <c r="U1072" t="s">
        <v>41</v>
      </c>
      <c r="V1072" s="2"/>
      <c r="W1072" s="2"/>
      <c r="X1072" t="s">
        <v>4869</v>
      </c>
      <c r="Y1072">
        <v>15.22</v>
      </c>
      <c r="Z1072">
        <v>4419.294</v>
      </c>
      <c r="AA1072" s="2"/>
      <c r="AB1072" s="2"/>
      <c r="AC1072" t="s">
        <v>4870</v>
      </c>
      <c r="AD1072">
        <v>14.91</v>
      </c>
      <c r="AE1072">
        <v>4238.179</v>
      </c>
      <c r="AF1072" s="2">
        <f t="shared" si="61"/>
        <v>-0.0203679369250986</v>
      </c>
      <c r="AG1072" s="2">
        <f t="shared" si="62"/>
        <v>-0.0409827904638161</v>
      </c>
      <c r="AH1072" t="s">
        <v>41</v>
      </c>
      <c r="AI1072" t="s">
        <v>41</v>
      </c>
      <c r="AJ1072" t="s">
        <v>41</v>
      </c>
    </row>
    <row r="1073" hidden="1" spans="1:36">
      <c r="A1073">
        <v>126009</v>
      </c>
      <c r="B1073" t="s">
        <v>4871</v>
      </c>
      <c r="C1073">
        <v>600269</v>
      </c>
      <c r="D1073" t="s">
        <v>4872</v>
      </c>
      <c r="E1073" t="s">
        <v>4426</v>
      </c>
      <c r="F1073" t="s">
        <v>444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 t="s">
        <v>41</v>
      </c>
      <c r="M1073" t="s">
        <v>41</v>
      </c>
      <c r="N1073" t="s">
        <v>41</v>
      </c>
      <c r="O1073" t="s">
        <v>41</v>
      </c>
      <c r="P1073" t="s">
        <v>41</v>
      </c>
      <c r="Q1073" s="2"/>
      <c r="R1073" s="2"/>
      <c r="S1073" t="s">
        <v>41</v>
      </c>
      <c r="T1073" t="s">
        <v>41</v>
      </c>
      <c r="U1073" t="s">
        <v>41</v>
      </c>
      <c r="V1073" s="2"/>
      <c r="W1073" s="2"/>
      <c r="X1073" t="s">
        <v>4869</v>
      </c>
      <c r="Y1073">
        <v>6.38</v>
      </c>
      <c r="Z1073">
        <v>4419.294</v>
      </c>
      <c r="AA1073" s="2"/>
      <c r="AB1073" s="2"/>
      <c r="AC1073" t="s">
        <v>4873</v>
      </c>
      <c r="AD1073">
        <v>6.15</v>
      </c>
      <c r="AE1073">
        <v>4299.513</v>
      </c>
      <c r="AF1073" s="2">
        <f t="shared" si="61"/>
        <v>-0.0360501567398118</v>
      </c>
      <c r="AG1073" s="2">
        <f t="shared" si="62"/>
        <v>-0.0271041030535647</v>
      </c>
      <c r="AH1073" t="s">
        <v>41</v>
      </c>
      <c r="AI1073" t="s">
        <v>41</v>
      </c>
      <c r="AJ1073" t="s">
        <v>41</v>
      </c>
    </row>
    <row r="1074" hidden="1" spans="1:36">
      <c r="A1074">
        <v>125572</v>
      </c>
      <c r="B1074" t="s">
        <v>4874</v>
      </c>
      <c r="C1074">
        <v>572</v>
      </c>
      <c r="D1074" t="s">
        <v>4875</v>
      </c>
      <c r="E1074" t="s">
        <v>4876</v>
      </c>
      <c r="F1074" t="s">
        <v>444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 t="s">
        <v>41</v>
      </c>
      <c r="M1074" t="s">
        <v>41</v>
      </c>
      <c r="N1074" t="s">
        <v>41</v>
      </c>
      <c r="O1074" t="s">
        <v>41</v>
      </c>
      <c r="P1074" t="s">
        <v>41</v>
      </c>
      <c r="Q1074" s="2"/>
      <c r="R1074" s="2"/>
      <c r="S1074" t="s">
        <v>41</v>
      </c>
      <c r="T1074" t="s">
        <v>41</v>
      </c>
      <c r="U1074" t="s">
        <v>41</v>
      </c>
      <c r="V1074" s="2"/>
      <c r="W1074" s="2"/>
      <c r="X1074" t="s">
        <v>4877</v>
      </c>
      <c r="Y1074">
        <v>18.38</v>
      </c>
      <c r="Z1074">
        <v>5290.606</v>
      </c>
      <c r="AA1074" s="2"/>
      <c r="AB1074" s="2"/>
      <c r="AC1074" t="s">
        <v>4864</v>
      </c>
      <c r="AD1074">
        <v>14.17</v>
      </c>
      <c r="AE1074">
        <v>4417.849</v>
      </c>
      <c r="AF1074" s="2">
        <f t="shared" si="61"/>
        <v>-0.22905331882481</v>
      </c>
      <c r="AG1074" s="2">
        <f t="shared" si="62"/>
        <v>-0.164963522137162</v>
      </c>
      <c r="AH1074" t="s">
        <v>4878</v>
      </c>
      <c r="AI1074" t="s">
        <v>4879</v>
      </c>
      <c r="AJ1074" t="s">
        <v>625</v>
      </c>
    </row>
    <row r="1075" hidden="1" spans="1:36">
      <c r="A1075">
        <v>110598</v>
      </c>
      <c r="B1075" t="s">
        <v>4880</v>
      </c>
      <c r="C1075">
        <v>600598</v>
      </c>
      <c r="D1075" t="s">
        <v>4881</v>
      </c>
      <c r="E1075" t="s">
        <v>4471</v>
      </c>
      <c r="F1075" t="s">
        <v>397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 t="s">
        <v>41</v>
      </c>
      <c r="M1075" t="s">
        <v>41</v>
      </c>
      <c r="N1075" t="s">
        <v>41</v>
      </c>
      <c r="O1075" t="s">
        <v>41</v>
      </c>
      <c r="P1075" t="s">
        <v>41</v>
      </c>
      <c r="Q1075" s="2"/>
      <c r="R1075" s="2"/>
      <c r="S1075" t="s">
        <v>41</v>
      </c>
      <c r="T1075" t="s">
        <v>41</v>
      </c>
      <c r="U1075" t="s">
        <v>41</v>
      </c>
      <c r="V1075" s="2"/>
      <c r="W1075" s="2"/>
      <c r="X1075" t="s">
        <v>4882</v>
      </c>
      <c r="Y1075">
        <v>8.53</v>
      </c>
      <c r="Z1075">
        <v>4941.784</v>
      </c>
      <c r="AA1075" s="2"/>
      <c r="AB1075" s="2"/>
      <c r="AC1075" t="s">
        <v>4883</v>
      </c>
      <c r="AD1075">
        <v>9.93</v>
      </c>
      <c r="AE1075">
        <v>5261.563</v>
      </c>
      <c r="AF1075" s="2">
        <f t="shared" si="61"/>
        <v>0.164126611957796</v>
      </c>
      <c r="AG1075" s="2">
        <f t="shared" si="62"/>
        <v>0.0647092224184627</v>
      </c>
      <c r="AH1075" t="s">
        <v>4628</v>
      </c>
      <c r="AI1075" t="s">
        <v>4884</v>
      </c>
      <c r="AJ1075" t="s">
        <v>625</v>
      </c>
    </row>
    <row r="1076" hidden="1" spans="1:36">
      <c r="A1076">
        <v>126008</v>
      </c>
      <c r="B1076" t="s">
        <v>4885</v>
      </c>
      <c r="C1076">
        <v>600104</v>
      </c>
      <c r="D1076" t="s">
        <v>4886</v>
      </c>
      <c r="E1076" t="s">
        <v>4887</v>
      </c>
      <c r="F1076" t="s">
        <v>444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 t="s">
        <v>41</v>
      </c>
      <c r="M1076" t="s">
        <v>41</v>
      </c>
      <c r="N1076" t="s">
        <v>41</v>
      </c>
      <c r="O1076" t="s">
        <v>41</v>
      </c>
      <c r="P1076" t="s">
        <v>41</v>
      </c>
      <c r="Q1076" s="2"/>
      <c r="R1076" s="2"/>
      <c r="S1076" t="s">
        <v>41</v>
      </c>
      <c r="T1076" t="s">
        <v>41</v>
      </c>
      <c r="U1076" t="s">
        <v>41</v>
      </c>
      <c r="V1076" s="2"/>
      <c r="W1076" s="2"/>
      <c r="X1076" t="s">
        <v>4882</v>
      </c>
      <c r="Y1076">
        <v>6.79</v>
      </c>
      <c r="Z1076">
        <v>4941.784</v>
      </c>
      <c r="AA1076" s="2"/>
      <c r="AB1076" s="2"/>
      <c r="AC1076" t="s">
        <v>4888</v>
      </c>
      <c r="AD1076">
        <v>8.14</v>
      </c>
      <c r="AE1076">
        <v>5386.531</v>
      </c>
      <c r="AF1076" s="2">
        <f t="shared" si="61"/>
        <v>0.198821796759941</v>
      </c>
      <c r="AG1076" s="2">
        <f t="shared" si="62"/>
        <v>0.0899972560516608</v>
      </c>
      <c r="AH1076" t="s">
        <v>41</v>
      </c>
      <c r="AI1076" t="s">
        <v>41</v>
      </c>
      <c r="AJ1076" t="s">
        <v>41</v>
      </c>
    </row>
    <row r="1077" hidden="1" spans="1:36">
      <c r="A1077">
        <v>125709</v>
      </c>
      <c r="B1077" t="s">
        <v>4889</v>
      </c>
      <c r="C1077">
        <v>709</v>
      </c>
      <c r="D1077" t="s">
        <v>4890</v>
      </c>
      <c r="E1077" t="s">
        <v>4803</v>
      </c>
      <c r="F1077" t="s">
        <v>444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 t="s">
        <v>41</v>
      </c>
      <c r="M1077" t="s">
        <v>41</v>
      </c>
      <c r="N1077" t="s">
        <v>41</v>
      </c>
      <c r="O1077" t="s">
        <v>41</v>
      </c>
      <c r="P1077" t="s">
        <v>41</v>
      </c>
      <c r="Q1077" s="2"/>
      <c r="R1077" s="2"/>
      <c r="S1077" t="s">
        <v>41</v>
      </c>
      <c r="T1077" t="s">
        <v>41</v>
      </c>
      <c r="U1077" t="s">
        <v>41</v>
      </c>
      <c r="V1077" s="2"/>
      <c r="W1077" s="2"/>
      <c r="X1077" t="s">
        <v>4891</v>
      </c>
      <c r="Y1077">
        <v>11.95</v>
      </c>
      <c r="Z1077">
        <v>5007.911</v>
      </c>
      <c r="AA1077" s="2"/>
      <c r="AB1077" s="2"/>
      <c r="AC1077" t="s">
        <v>4883</v>
      </c>
      <c r="AD1077">
        <v>14.57</v>
      </c>
      <c r="AE1077">
        <v>5261.563</v>
      </c>
      <c r="AF1077" s="2">
        <f t="shared" si="61"/>
        <v>0.219246861924686</v>
      </c>
      <c r="AG1077" s="2">
        <f t="shared" si="62"/>
        <v>0.0506502611567977</v>
      </c>
      <c r="AH1077" t="s">
        <v>4892</v>
      </c>
      <c r="AI1077" t="s">
        <v>4893</v>
      </c>
      <c r="AJ1077" t="s">
        <v>3077</v>
      </c>
    </row>
    <row r="1078" hidden="1" spans="1:36">
      <c r="A1078">
        <v>126007</v>
      </c>
      <c r="B1078" t="s">
        <v>4894</v>
      </c>
      <c r="C1078">
        <v>600017</v>
      </c>
      <c r="D1078" t="s">
        <v>4895</v>
      </c>
      <c r="E1078" t="s">
        <v>4896</v>
      </c>
      <c r="F1078" t="s">
        <v>444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 t="s">
        <v>41</v>
      </c>
      <c r="M1078" t="s">
        <v>41</v>
      </c>
      <c r="N1078" t="s">
        <v>41</v>
      </c>
      <c r="O1078" t="s">
        <v>41</v>
      </c>
      <c r="P1078" t="s">
        <v>41</v>
      </c>
      <c r="Q1078" s="2"/>
      <c r="R1078" s="2"/>
      <c r="S1078" t="s">
        <v>41</v>
      </c>
      <c r="T1078" t="s">
        <v>41</v>
      </c>
      <c r="U1078" t="s">
        <v>41</v>
      </c>
      <c r="V1078" s="2"/>
      <c r="W1078" s="2"/>
      <c r="X1078" t="s">
        <v>4897</v>
      </c>
      <c r="Y1078">
        <v>3.4</v>
      </c>
      <c r="Z1078">
        <v>4861.111</v>
      </c>
      <c r="AA1078" s="2"/>
      <c r="AB1078" s="2"/>
      <c r="AC1078" t="s">
        <v>4898</v>
      </c>
      <c r="AD1078">
        <v>3.77</v>
      </c>
      <c r="AE1078">
        <v>5095.543</v>
      </c>
      <c r="AF1078" s="2">
        <f t="shared" si="61"/>
        <v>0.108823529411765</v>
      </c>
      <c r="AG1078" s="2">
        <f t="shared" si="62"/>
        <v>0.0482260125308802</v>
      </c>
      <c r="AH1078" t="s">
        <v>41</v>
      </c>
      <c r="AI1078" t="s">
        <v>41</v>
      </c>
      <c r="AJ1078" t="s">
        <v>41</v>
      </c>
    </row>
    <row r="1079" hidden="1" spans="1:36">
      <c r="A1079">
        <v>110227</v>
      </c>
      <c r="B1079" t="s">
        <v>4899</v>
      </c>
      <c r="C1079">
        <v>600227</v>
      </c>
      <c r="D1079" t="s">
        <v>4900</v>
      </c>
      <c r="E1079" t="s">
        <v>4651</v>
      </c>
      <c r="F1079" t="s">
        <v>444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 t="s">
        <v>41</v>
      </c>
      <c r="M1079" t="s">
        <v>41</v>
      </c>
      <c r="N1079" t="s">
        <v>41</v>
      </c>
      <c r="O1079" t="s">
        <v>41</v>
      </c>
      <c r="P1079" t="s">
        <v>41</v>
      </c>
      <c r="Q1079" s="2"/>
      <c r="R1079" s="2"/>
      <c r="S1079" t="s">
        <v>41</v>
      </c>
      <c r="T1079" t="s">
        <v>41</v>
      </c>
      <c r="U1079" t="s">
        <v>41</v>
      </c>
      <c r="V1079" s="2"/>
      <c r="W1079" s="2"/>
      <c r="X1079" t="s">
        <v>4901</v>
      </c>
      <c r="Y1079">
        <v>6.88</v>
      </c>
      <c r="Z1079">
        <v>5771.464</v>
      </c>
      <c r="AA1079" s="2"/>
      <c r="AB1079" s="2"/>
      <c r="AC1079" t="s">
        <v>4902</v>
      </c>
      <c r="AD1079">
        <v>6.78</v>
      </c>
      <c r="AE1079">
        <v>5773.387</v>
      </c>
      <c r="AF1079" s="2">
        <f t="shared" si="61"/>
        <v>-0.0145348837209302</v>
      </c>
      <c r="AG1079" s="2">
        <f t="shared" si="62"/>
        <v>0.000333191023975853</v>
      </c>
      <c r="AH1079" t="s">
        <v>4903</v>
      </c>
      <c r="AI1079" t="s">
        <v>4904</v>
      </c>
      <c r="AJ1079" t="s">
        <v>625</v>
      </c>
    </row>
    <row r="1080" hidden="1" spans="1:36">
      <c r="A1080">
        <v>126006</v>
      </c>
      <c r="B1080" t="s">
        <v>4905</v>
      </c>
      <c r="C1080">
        <v>600548</v>
      </c>
      <c r="D1080" t="s">
        <v>4906</v>
      </c>
      <c r="E1080" t="s">
        <v>4471</v>
      </c>
      <c r="F1080" t="s">
        <v>444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 t="s">
        <v>41</v>
      </c>
      <c r="M1080" t="s">
        <v>41</v>
      </c>
      <c r="N1080" t="s">
        <v>41</v>
      </c>
      <c r="O1080" t="s">
        <v>41</v>
      </c>
      <c r="P1080" t="s">
        <v>41</v>
      </c>
      <c r="Q1080" s="2"/>
      <c r="R1080" s="2"/>
      <c r="S1080" t="s">
        <v>41</v>
      </c>
      <c r="T1080" t="s">
        <v>41</v>
      </c>
      <c r="U1080" t="s">
        <v>41</v>
      </c>
      <c r="V1080" s="2"/>
      <c r="W1080" s="2"/>
      <c r="X1080" t="s">
        <v>4907</v>
      </c>
      <c r="Y1080">
        <v>7.73</v>
      </c>
      <c r="Z1080">
        <v>5715.892</v>
      </c>
      <c r="AA1080" s="2"/>
      <c r="AB1080" s="2"/>
      <c r="AC1080" t="s">
        <v>4908</v>
      </c>
      <c r="AD1080">
        <v>6.46</v>
      </c>
      <c r="AE1080">
        <v>5897.193</v>
      </c>
      <c r="AF1080" s="2">
        <f t="shared" si="61"/>
        <v>-0.164294954721863</v>
      </c>
      <c r="AG1080" s="2">
        <f t="shared" si="62"/>
        <v>0.0317187588568854</v>
      </c>
      <c r="AH1080" t="s">
        <v>41</v>
      </c>
      <c r="AI1080" t="s">
        <v>41</v>
      </c>
      <c r="AJ1080" t="s">
        <v>41</v>
      </c>
    </row>
    <row r="1081" hidden="1" spans="1:36">
      <c r="A1081">
        <v>110971</v>
      </c>
      <c r="B1081" t="s">
        <v>4909</v>
      </c>
      <c r="C1081">
        <v>600971</v>
      </c>
      <c r="D1081" t="s">
        <v>4910</v>
      </c>
      <c r="E1081" t="s">
        <v>4911</v>
      </c>
      <c r="F1081" t="s">
        <v>444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 t="s">
        <v>41</v>
      </c>
      <c r="M1081" t="s">
        <v>41</v>
      </c>
      <c r="N1081" t="s">
        <v>41</v>
      </c>
      <c r="O1081" t="s">
        <v>41</v>
      </c>
      <c r="P1081" t="s">
        <v>41</v>
      </c>
      <c r="Q1081" s="2"/>
      <c r="R1081" s="2"/>
      <c r="S1081" t="s">
        <v>41</v>
      </c>
      <c r="T1081" t="s">
        <v>41</v>
      </c>
      <c r="U1081" t="s">
        <v>41</v>
      </c>
      <c r="V1081" s="2"/>
      <c r="W1081" s="2"/>
      <c r="X1081" t="s">
        <v>4912</v>
      </c>
      <c r="Y1081">
        <v>12.32</v>
      </c>
      <c r="Z1081">
        <v>5485.013</v>
      </c>
      <c r="AA1081" s="2"/>
      <c r="AB1081" s="2"/>
      <c r="AC1081" t="s">
        <v>4913</v>
      </c>
      <c r="AD1081">
        <v>12.06</v>
      </c>
      <c r="AE1081">
        <v>5903.264</v>
      </c>
      <c r="AF1081" s="2">
        <f t="shared" si="61"/>
        <v>-0.0211038961038961</v>
      </c>
      <c r="AG1081" s="2">
        <f t="shared" si="62"/>
        <v>0.0762534200010101</v>
      </c>
      <c r="AH1081" t="s">
        <v>4914</v>
      </c>
      <c r="AI1081" t="s">
        <v>4915</v>
      </c>
      <c r="AJ1081" t="s">
        <v>625</v>
      </c>
    </row>
    <row r="1082" hidden="1" spans="1:36">
      <c r="A1082">
        <v>110567</v>
      </c>
      <c r="B1082" t="s">
        <v>4004</v>
      </c>
      <c r="C1082">
        <v>600567</v>
      </c>
      <c r="D1082" t="s">
        <v>3552</v>
      </c>
      <c r="E1082" t="s">
        <v>4916</v>
      </c>
      <c r="F1082" t="s">
        <v>397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 t="s">
        <v>41</v>
      </c>
      <c r="M1082" t="s">
        <v>41</v>
      </c>
      <c r="N1082" t="s">
        <v>41</v>
      </c>
      <c r="O1082" t="s">
        <v>41</v>
      </c>
      <c r="P1082" t="s">
        <v>41</v>
      </c>
      <c r="Q1082" s="2"/>
      <c r="R1082" s="2"/>
      <c r="S1082" t="s">
        <v>41</v>
      </c>
      <c r="T1082" t="s">
        <v>41</v>
      </c>
      <c r="U1082" t="s">
        <v>41</v>
      </c>
      <c r="V1082" s="2"/>
      <c r="W1082" s="2"/>
      <c r="X1082" t="s">
        <v>4917</v>
      </c>
      <c r="Y1082">
        <v>3.19</v>
      </c>
      <c r="Z1082">
        <v>5310.716</v>
      </c>
      <c r="AA1082" s="2"/>
      <c r="AB1082" s="2"/>
      <c r="AC1082" t="s">
        <v>4918</v>
      </c>
      <c r="AD1082">
        <v>3.42</v>
      </c>
      <c r="AE1082">
        <v>5421.392</v>
      </c>
      <c r="AF1082" s="2">
        <f t="shared" si="61"/>
        <v>0.0721003134796238</v>
      </c>
      <c r="AG1082" s="2">
        <f t="shared" si="62"/>
        <v>0.0208401277718484</v>
      </c>
      <c r="AH1082" t="s">
        <v>4919</v>
      </c>
      <c r="AI1082" t="s">
        <v>4920</v>
      </c>
      <c r="AJ1082" t="s">
        <v>625</v>
      </c>
    </row>
    <row r="1083" hidden="1" spans="1:36">
      <c r="A1083">
        <v>110026</v>
      </c>
      <c r="B1083" t="s">
        <v>4663</v>
      </c>
      <c r="C1083">
        <v>600026</v>
      </c>
      <c r="D1083" t="s">
        <v>4664</v>
      </c>
      <c r="E1083" t="s">
        <v>4679</v>
      </c>
      <c r="F1083" t="s">
        <v>444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 t="s">
        <v>41</v>
      </c>
      <c r="M1083" t="s">
        <v>41</v>
      </c>
      <c r="N1083" t="s">
        <v>41</v>
      </c>
      <c r="O1083" t="s">
        <v>41</v>
      </c>
      <c r="P1083" t="s">
        <v>41</v>
      </c>
      <c r="Q1083" s="2"/>
      <c r="R1083" s="2"/>
      <c r="S1083" t="s">
        <v>41</v>
      </c>
      <c r="T1083" t="s">
        <v>41</v>
      </c>
      <c r="U1083" t="s">
        <v>41</v>
      </c>
      <c r="V1083" s="2"/>
      <c r="W1083" s="2"/>
      <c r="X1083" t="s">
        <v>4921</v>
      </c>
      <c r="Y1083">
        <v>19.9</v>
      </c>
      <c r="Z1083">
        <v>3836.294</v>
      </c>
      <c r="AA1083" s="2"/>
      <c r="AB1083" s="2"/>
      <c r="AC1083" t="s">
        <v>4922</v>
      </c>
      <c r="AD1083">
        <v>19.24</v>
      </c>
      <c r="AE1083">
        <v>3915.991</v>
      </c>
      <c r="AF1083" s="2">
        <f t="shared" si="61"/>
        <v>-0.0331658291457287</v>
      </c>
      <c r="AG1083" s="2">
        <f t="shared" si="62"/>
        <v>0.020774476617277</v>
      </c>
      <c r="AH1083" t="s">
        <v>4923</v>
      </c>
      <c r="AI1083" t="s">
        <v>4924</v>
      </c>
      <c r="AJ1083" t="s">
        <v>625</v>
      </c>
    </row>
    <row r="1084" hidden="1" spans="1:36">
      <c r="A1084">
        <v>125009</v>
      </c>
      <c r="B1084" t="s">
        <v>4925</v>
      </c>
      <c r="C1084">
        <v>9</v>
      </c>
      <c r="D1084" t="s">
        <v>4926</v>
      </c>
      <c r="E1084" t="s">
        <v>4927</v>
      </c>
      <c r="F1084" t="s">
        <v>41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 t="s">
        <v>41</v>
      </c>
      <c r="M1084" t="s">
        <v>41</v>
      </c>
      <c r="N1084" t="s">
        <v>41</v>
      </c>
      <c r="O1084" t="s">
        <v>41</v>
      </c>
      <c r="P1084" t="s">
        <v>41</v>
      </c>
      <c r="Q1084" s="2"/>
      <c r="R1084" s="2"/>
      <c r="S1084" t="s">
        <v>41</v>
      </c>
      <c r="T1084" t="s">
        <v>41</v>
      </c>
      <c r="U1084" t="s">
        <v>41</v>
      </c>
      <c r="V1084" s="2"/>
      <c r="W1084" s="2"/>
      <c r="X1084" t="s">
        <v>4928</v>
      </c>
      <c r="Y1084">
        <v>2.26</v>
      </c>
      <c r="Z1084">
        <v>814.04</v>
      </c>
      <c r="AA1084" s="2"/>
      <c r="AB1084" s="2"/>
      <c r="AC1084" t="s">
        <v>4929</v>
      </c>
      <c r="AD1084">
        <v>3.05</v>
      </c>
      <c r="AE1084">
        <v>1454.46</v>
      </c>
      <c r="AF1084" s="2">
        <f t="shared" si="61"/>
        <v>0.349557522123894</v>
      </c>
      <c r="AG1084" s="2">
        <f t="shared" si="62"/>
        <v>0.786718097390792</v>
      </c>
      <c r="AH1084" t="s">
        <v>4930</v>
      </c>
      <c r="AI1084" t="s">
        <v>4931</v>
      </c>
      <c r="AJ1084" t="s">
        <v>4932</v>
      </c>
    </row>
    <row r="1085" hidden="1" spans="1:36">
      <c r="A1085">
        <v>100001</v>
      </c>
      <c r="B1085" t="s">
        <v>4933</v>
      </c>
      <c r="C1085">
        <v>600301</v>
      </c>
      <c r="D1085" t="s">
        <v>4934</v>
      </c>
      <c r="E1085" t="s">
        <v>4935</v>
      </c>
      <c r="F1085" t="s">
        <v>41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 t="s">
        <v>41</v>
      </c>
      <c r="M1085" t="s">
        <v>41</v>
      </c>
      <c r="N1085" t="s">
        <v>41</v>
      </c>
      <c r="O1085" t="s">
        <v>41</v>
      </c>
      <c r="P1085" t="s">
        <v>41</v>
      </c>
      <c r="Q1085" s="2"/>
      <c r="R1085" s="2"/>
      <c r="S1085" t="s">
        <v>41</v>
      </c>
      <c r="T1085" t="s">
        <v>41</v>
      </c>
      <c r="U1085" t="s">
        <v>41</v>
      </c>
      <c r="V1085" s="2"/>
      <c r="W1085" s="2"/>
      <c r="X1085" t="s">
        <v>4936</v>
      </c>
      <c r="Y1085" t="s">
        <v>41</v>
      </c>
      <c r="Z1085">
        <v>1302.102</v>
      </c>
      <c r="AA1085" s="2"/>
      <c r="AB1085" s="2"/>
      <c r="AC1085" t="s">
        <v>4937</v>
      </c>
      <c r="AD1085" t="s">
        <v>41</v>
      </c>
      <c r="AE1085">
        <v>1136.89</v>
      </c>
      <c r="AF1085" s="2"/>
      <c r="AG1085" s="2">
        <f t="shared" si="62"/>
        <v>-0.126880997034026</v>
      </c>
      <c r="AH1085" t="s">
        <v>4938</v>
      </c>
      <c r="AI1085" t="s">
        <v>4939</v>
      </c>
      <c r="AJ1085" t="s">
        <v>625</v>
      </c>
    </row>
    <row r="1086" hidden="1" spans="1:36">
      <c r="A1086">
        <v>125301</v>
      </c>
      <c r="B1086" t="s">
        <v>4940</v>
      </c>
      <c r="C1086">
        <v>301</v>
      </c>
      <c r="D1086" t="s">
        <v>4941</v>
      </c>
      <c r="E1086" t="s">
        <v>4942</v>
      </c>
      <c r="F1086" t="s">
        <v>41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 t="s">
        <v>41</v>
      </c>
      <c r="M1086" t="s">
        <v>41</v>
      </c>
      <c r="N1086" t="s">
        <v>41</v>
      </c>
      <c r="O1086" t="s">
        <v>41</v>
      </c>
      <c r="P1086" t="s">
        <v>41</v>
      </c>
      <c r="Q1086" s="2"/>
      <c r="R1086" s="2"/>
      <c r="S1086" t="s">
        <v>41</v>
      </c>
      <c r="T1086" t="s">
        <v>41</v>
      </c>
      <c r="U1086" t="s">
        <v>41</v>
      </c>
      <c r="V1086" s="2"/>
      <c r="W1086" s="2"/>
      <c r="X1086" t="s">
        <v>4943</v>
      </c>
      <c r="Y1086" t="s">
        <v>41</v>
      </c>
      <c r="Z1086">
        <v>1129.722</v>
      </c>
      <c r="AA1086" s="2"/>
      <c r="AB1086" s="2"/>
      <c r="AC1086" t="s">
        <v>4944</v>
      </c>
      <c r="AD1086" t="s">
        <v>41</v>
      </c>
      <c r="AE1086">
        <v>1230.126</v>
      </c>
      <c r="AF1086" s="2"/>
      <c r="AG1086" s="2">
        <f t="shared" si="62"/>
        <v>0.088874962158832</v>
      </c>
      <c r="AH1086" t="s">
        <v>4945</v>
      </c>
      <c r="AI1086" t="s">
        <v>4946</v>
      </c>
      <c r="AJ1086" t="s">
        <v>625</v>
      </c>
    </row>
    <row r="1087" hidden="1" spans="1:36">
      <c r="A1087">
        <v>125302</v>
      </c>
      <c r="B1087" t="s">
        <v>4947</v>
      </c>
      <c r="C1087">
        <v>637</v>
      </c>
      <c r="D1087" t="s">
        <v>4948</v>
      </c>
      <c r="E1087" t="s">
        <v>4949</v>
      </c>
      <c r="F1087" t="s">
        <v>41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 t="s">
        <v>41</v>
      </c>
      <c r="M1087" t="s">
        <v>41</v>
      </c>
      <c r="N1087" t="s">
        <v>41</v>
      </c>
      <c r="O1087" t="s">
        <v>41</v>
      </c>
      <c r="P1087" t="s">
        <v>41</v>
      </c>
      <c r="Q1087" s="2"/>
      <c r="R1087" s="2"/>
      <c r="S1087" t="s">
        <v>41</v>
      </c>
      <c r="T1087" t="s">
        <v>41</v>
      </c>
      <c r="U1087" t="s">
        <v>41</v>
      </c>
      <c r="V1087" s="2"/>
      <c r="W1087" s="2"/>
      <c r="X1087" t="s">
        <v>4950</v>
      </c>
      <c r="Y1087">
        <v>1.33</v>
      </c>
      <c r="Z1087">
        <v>1597.199</v>
      </c>
      <c r="AA1087" s="2"/>
      <c r="AB1087" s="2"/>
      <c r="AC1087" t="s">
        <v>4951</v>
      </c>
      <c r="AD1087">
        <v>1.47</v>
      </c>
      <c r="AE1087">
        <v>1576.405</v>
      </c>
      <c r="AF1087" s="2">
        <f t="shared" si="61"/>
        <v>0.105263157894737</v>
      </c>
      <c r="AG1087" s="2">
        <f t="shared" si="62"/>
        <v>-0.013019041459455</v>
      </c>
      <c r="AH1087" t="s">
        <v>4952</v>
      </c>
      <c r="AI1087" t="s">
        <v>4953</v>
      </c>
      <c r="AJ1087" t="s">
        <v>4954</v>
      </c>
    </row>
    <row r="1088" hidden="1" spans="1:36">
      <c r="A1088">
        <v>100009</v>
      </c>
      <c r="B1088" t="s">
        <v>4955</v>
      </c>
      <c r="C1088">
        <v>600009</v>
      </c>
      <c r="D1088" t="s">
        <v>4956</v>
      </c>
      <c r="E1088" t="s">
        <v>4957</v>
      </c>
      <c r="F1088" t="s">
        <v>41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 t="s">
        <v>41</v>
      </c>
      <c r="M1088" t="s">
        <v>41</v>
      </c>
      <c r="N1088" t="s">
        <v>41</v>
      </c>
      <c r="O1088" t="s">
        <v>41</v>
      </c>
      <c r="P1088" t="s">
        <v>41</v>
      </c>
      <c r="Q1088" s="2"/>
      <c r="R1088" s="2"/>
      <c r="S1088" t="s">
        <v>41</v>
      </c>
      <c r="T1088" t="s">
        <v>41</v>
      </c>
      <c r="U1088" t="s">
        <v>41</v>
      </c>
      <c r="V1088" s="2"/>
      <c r="W1088" s="2"/>
      <c r="X1088" t="s">
        <v>4958</v>
      </c>
      <c r="Y1088">
        <v>-0.07</v>
      </c>
      <c r="Z1088">
        <v>1631.576</v>
      </c>
      <c r="AA1088" s="2"/>
      <c r="AB1088" s="2"/>
      <c r="AC1088" t="s">
        <v>4959</v>
      </c>
      <c r="AD1088">
        <v>-0.36</v>
      </c>
      <c r="AE1088">
        <v>1607.527</v>
      </c>
      <c r="AF1088" s="2">
        <f t="shared" si="61"/>
        <v>4.14285714285714</v>
      </c>
      <c r="AG1088" s="2">
        <f t="shared" si="62"/>
        <v>-0.0147397363040398</v>
      </c>
      <c r="AH1088" t="s">
        <v>4960</v>
      </c>
      <c r="AI1088" t="s">
        <v>4961</v>
      </c>
      <c r="AJ1088" t="s">
        <v>625</v>
      </c>
    </row>
    <row r="1089" hidden="1" spans="1:36">
      <c r="A1089">
        <v>125898</v>
      </c>
      <c r="B1089" t="s">
        <v>4962</v>
      </c>
      <c r="C1089">
        <v>898</v>
      </c>
      <c r="D1089" t="s">
        <v>4963</v>
      </c>
      <c r="E1089" t="s">
        <v>4949</v>
      </c>
      <c r="F1089" t="s">
        <v>41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 t="s">
        <v>41</v>
      </c>
      <c r="M1089" t="s">
        <v>41</v>
      </c>
      <c r="N1089" t="s">
        <v>41</v>
      </c>
      <c r="O1089" t="s">
        <v>41</v>
      </c>
      <c r="P1089" t="s">
        <v>41</v>
      </c>
      <c r="Q1089" s="2"/>
      <c r="R1089" s="2"/>
      <c r="S1089" t="s">
        <v>41</v>
      </c>
      <c r="T1089" t="s">
        <v>41</v>
      </c>
      <c r="U1089" t="s">
        <v>41</v>
      </c>
      <c r="V1089" s="2"/>
      <c r="W1089" s="2"/>
      <c r="X1089" t="s">
        <v>4964</v>
      </c>
      <c r="Y1089">
        <v>1.29</v>
      </c>
      <c r="Z1089">
        <v>1681.471</v>
      </c>
      <c r="AA1089" s="2"/>
      <c r="AB1089" s="2"/>
      <c r="AC1089" t="s">
        <v>4965</v>
      </c>
      <c r="AD1089">
        <v>1.7</v>
      </c>
      <c r="AE1089">
        <v>1795.058</v>
      </c>
      <c r="AF1089" s="2">
        <f t="shared" si="61"/>
        <v>0.317829457364341</v>
      </c>
      <c r="AG1089" s="2">
        <f t="shared" si="62"/>
        <v>0.0675521611731632</v>
      </c>
      <c r="AH1089" t="s">
        <v>4966</v>
      </c>
      <c r="AI1089" t="s">
        <v>4967</v>
      </c>
      <c r="AJ1089" t="s">
        <v>625</v>
      </c>
    </row>
    <row r="1090" hidden="1" spans="1:36">
      <c r="A1090">
        <v>100220</v>
      </c>
      <c r="B1090" t="s">
        <v>4968</v>
      </c>
      <c r="C1090">
        <v>600220</v>
      </c>
      <c r="D1090" t="s">
        <v>4969</v>
      </c>
      <c r="E1090" t="s">
        <v>4970</v>
      </c>
      <c r="F1090" t="s">
        <v>41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 t="s">
        <v>41</v>
      </c>
      <c r="M1090" t="s">
        <v>41</v>
      </c>
      <c r="N1090" t="s">
        <v>41</v>
      </c>
      <c r="O1090" t="s">
        <v>41</v>
      </c>
      <c r="P1090" t="s">
        <v>41</v>
      </c>
      <c r="Q1090" s="2"/>
      <c r="R1090" s="2"/>
      <c r="S1090" t="s">
        <v>41</v>
      </c>
      <c r="T1090" t="s">
        <v>41</v>
      </c>
      <c r="U1090" t="s">
        <v>41</v>
      </c>
      <c r="V1090" s="2"/>
      <c r="W1090" s="2"/>
      <c r="X1090" t="s">
        <v>4971</v>
      </c>
      <c r="Y1090">
        <v>2.47</v>
      </c>
      <c r="Z1090">
        <v>1628.137</v>
      </c>
      <c r="AA1090" s="2"/>
      <c r="AB1090" s="2"/>
      <c r="AC1090" t="s">
        <v>4972</v>
      </c>
      <c r="AD1090">
        <v>2.19</v>
      </c>
      <c r="AE1090">
        <v>1549.501</v>
      </c>
      <c r="AF1090" s="2">
        <f t="shared" si="61"/>
        <v>-0.11336032388664</v>
      </c>
      <c r="AG1090" s="2">
        <f t="shared" si="62"/>
        <v>-0.0482981469004144</v>
      </c>
      <c r="AH1090" t="s">
        <v>4973</v>
      </c>
      <c r="AI1090" t="s">
        <v>4974</v>
      </c>
      <c r="AJ1090" t="s">
        <v>4954</v>
      </c>
    </row>
    <row r="1091" hidden="1" spans="1:36">
      <c r="A1091">
        <v>125002</v>
      </c>
      <c r="B1091" t="s">
        <v>4975</v>
      </c>
      <c r="C1091">
        <v>2</v>
      </c>
      <c r="D1091" t="s">
        <v>4976</v>
      </c>
      <c r="E1091" t="s">
        <v>4949</v>
      </c>
      <c r="F1091" t="s">
        <v>41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 t="s">
        <v>41</v>
      </c>
      <c r="M1091" t="s">
        <v>41</v>
      </c>
      <c r="N1091" t="s">
        <v>41</v>
      </c>
      <c r="O1091" t="s">
        <v>41</v>
      </c>
      <c r="P1091" t="s">
        <v>41</v>
      </c>
      <c r="Q1091" s="2"/>
      <c r="R1091" s="2"/>
      <c r="S1091" t="s">
        <v>41</v>
      </c>
      <c r="T1091" t="s">
        <v>41</v>
      </c>
      <c r="U1091" t="s">
        <v>41</v>
      </c>
      <c r="V1091" s="2"/>
      <c r="W1091" s="2"/>
      <c r="X1091" t="s">
        <v>4977</v>
      </c>
      <c r="Y1091">
        <v>-8.03</v>
      </c>
      <c r="Z1091">
        <v>1511.711</v>
      </c>
      <c r="AA1091" s="2"/>
      <c r="AB1091" s="2"/>
      <c r="AC1091" t="s">
        <v>4978</v>
      </c>
      <c r="AD1091">
        <v>-7.87</v>
      </c>
      <c r="AE1091">
        <v>1732.755</v>
      </c>
      <c r="AF1091" s="2">
        <f t="shared" ref="AF1091:AF1134" si="63">(AD1091-Y1091)/Y1091</f>
        <v>-0.0199252801992527</v>
      </c>
      <c r="AG1091" s="2">
        <f t="shared" ref="AG1091:AG1134" si="64">(AE1091-Z1091)/Z1091</f>
        <v>0.146221070032566</v>
      </c>
      <c r="AH1091" t="s">
        <v>4979</v>
      </c>
      <c r="AI1091" t="s">
        <v>4980</v>
      </c>
      <c r="AJ1091" t="s">
        <v>625</v>
      </c>
    </row>
    <row r="1092" hidden="1" spans="1:36">
      <c r="A1092">
        <v>100087</v>
      </c>
      <c r="B1092" t="s">
        <v>4981</v>
      </c>
      <c r="C1092">
        <v>600087</v>
      </c>
      <c r="D1092" t="s">
        <v>4982</v>
      </c>
      <c r="E1092" t="s">
        <v>4983</v>
      </c>
      <c r="F1092" t="s">
        <v>41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 t="s">
        <v>41</v>
      </c>
      <c r="M1092" t="s">
        <v>41</v>
      </c>
      <c r="N1092" t="s">
        <v>41</v>
      </c>
      <c r="O1092" t="s">
        <v>41</v>
      </c>
      <c r="P1092" t="s">
        <v>41</v>
      </c>
      <c r="Q1092" s="2"/>
      <c r="R1092" s="2"/>
      <c r="S1092" t="s">
        <v>41</v>
      </c>
      <c r="T1092" t="s">
        <v>41</v>
      </c>
      <c r="U1092" t="s">
        <v>41</v>
      </c>
      <c r="V1092" s="2"/>
      <c r="W1092" s="2"/>
      <c r="X1092" t="s">
        <v>4984</v>
      </c>
      <c r="Y1092">
        <v>1.47</v>
      </c>
      <c r="Z1092">
        <v>1636.632</v>
      </c>
      <c r="AA1092" s="2"/>
      <c r="AB1092" s="2"/>
      <c r="AC1092" t="s">
        <v>4985</v>
      </c>
      <c r="AD1092">
        <v>1.51</v>
      </c>
      <c r="AE1092">
        <v>1676.77</v>
      </c>
      <c r="AF1092" s="2">
        <f t="shared" si="63"/>
        <v>0.0272108843537415</v>
      </c>
      <c r="AG1092" s="2">
        <f t="shared" si="64"/>
        <v>0.02452475571784</v>
      </c>
      <c r="AH1092" t="s">
        <v>4986</v>
      </c>
      <c r="AI1092" t="s">
        <v>4987</v>
      </c>
      <c r="AJ1092" t="s">
        <v>625</v>
      </c>
    </row>
    <row r="1093" hidden="1" spans="1:36">
      <c r="A1093">
        <v>126301</v>
      </c>
      <c r="B1093" t="s">
        <v>4988</v>
      </c>
      <c r="C1093">
        <v>301</v>
      </c>
      <c r="D1093" t="s">
        <v>2601</v>
      </c>
      <c r="E1093" t="s">
        <v>4989</v>
      </c>
      <c r="F1093" t="s">
        <v>41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 t="s">
        <v>41</v>
      </c>
      <c r="M1093" t="s">
        <v>41</v>
      </c>
      <c r="N1093" t="s">
        <v>41</v>
      </c>
      <c r="O1093" t="s">
        <v>41</v>
      </c>
      <c r="P1093" t="s">
        <v>41</v>
      </c>
      <c r="Q1093" s="2"/>
      <c r="R1093" s="2"/>
      <c r="S1093" t="s">
        <v>41</v>
      </c>
      <c r="T1093" t="s">
        <v>41</v>
      </c>
      <c r="U1093" t="s">
        <v>41</v>
      </c>
      <c r="V1093" s="2"/>
      <c r="W1093" s="2"/>
      <c r="X1093" t="s">
        <v>4990</v>
      </c>
      <c r="Y1093">
        <v>3.48</v>
      </c>
      <c r="Z1093">
        <v>1621.582</v>
      </c>
      <c r="AA1093" s="2"/>
      <c r="AB1093" s="2"/>
      <c r="AC1093" t="s">
        <v>4991</v>
      </c>
      <c r="AD1093">
        <v>3.12</v>
      </c>
      <c r="AE1093">
        <v>1596.732</v>
      </c>
      <c r="AF1093" s="2">
        <f t="shared" si="63"/>
        <v>-0.103448275862069</v>
      </c>
      <c r="AG1093" s="2">
        <f t="shared" si="64"/>
        <v>-0.0153245410962875</v>
      </c>
      <c r="AH1093" t="s">
        <v>4992</v>
      </c>
      <c r="AI1093" t="s">
        <v>4993</v>
      </c>
      <c r="AJ1093" t="s">
        <v>625</v>
      </c>
    </row>
    <row r="1094" hidden="1" spans="1:36">
      <c r="A1094">
        <v>125729</v>
      </c>
      <c r="B1094" t="s">
        <v>4721</v>
      </c>
      <c r="C1094">
        <v>729</v>
      </c>
      <c r="D1094" t="s">
        <v>4722</v>
      </c>
      <c r="E1094" t="s">
        <v>4994</v>
      </c>
      <c r="F1094" t="s">
        <v>41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 t="s">
        <v>41</v>
      </c>
      <c r="M1094" t="s">
        <v>41</v>
      </c>
      <c r="N1094" t="s">
        <v>41</v>
      </c>
      <c r="O1094" t="s">
        <v>41</v>
      </c>
      <c r="P1094" t="s">
        <v>41</v>
      </c>
      <c r="Q1094" s="2"/>
      <c r="R1094" s="2"/>
      <c r="S1094" t="s">
        <v>41</v>
      </c>
      <c r="T1094" t="s">
        <v>41</v>
      </c>
      <c r="U1094" t="s">
        <v>41</v>
      </c>
      <c r="V1094" s="2"/>
      <c r="W1094" s="2"/>
      <c r="X1094" t="s">
        <v>4995</v>
      </c>
      <c r="Y1094">
        <v>1.25</v>
      </c>
      <c r="Z1094">
        <v>1537.388</v>
      </c>
      <c r="AA1094" s="2"/>
      <c r="AB1094" s="2"/>
      <c r="AC1094" t="s">
        <v>4996</v>
      </c>
      <c r="AD1094">
        <v>1.19</v>
      </c>
      <c r="AE1094">
        <v>1507.496</v>
      </c>
      <c r="AF1094" s="2">
        <f t="shared" si="63"/>
        <v>-0.048</v>
      </c>
      <c r="AG1094" s="2">
        <f t="shared" si="64"/>
        <v>-0.0194433675818985</v>
      </c>
      <c r="AH1094" t="s">
        <v>4997</v>
      </c>
      <c r="AI1094" t="s">
        <v>4998</v>
      </c>
      <c r="AJ1094" t="s">
        <v>625</v>
      </c>
    </row>
    <row r="1095" hidden="1" spans="1:36">
      <c r="A1095">
        <v>125629</v>
      </c>
      <c r="B1095" t="s">
        <v>4999</v>
      </c>
      <c r="C1095">
        <v>629</v>
      </c>
      <c r="D1095" t="s">
        <v>5000</v>
      </c>
      <c r="E1095" t="s">
        <v>5001</v>
      </c>
      <c r="F1095" t="s">
        <v>41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 t="s">
        <v>41</v>
      </c>
      <c r="M1095" t="s">
        <v>41</v>
      </c>
      <c r="N1095" t="s">
        <v>41</v>
      </c>
      <c r="O1095" t="s">
        <v>41</v>
      </c>
      <c r="P1095" t="s">
        <v>41</v>
      </c>
      <c r="Q1095" s="2"/>
      <c r="R1095" s="2"/>
      <c r="S1095" t="s">
        <v>41</v>
      </c>
      <c r="T1095" t="s">
        <v>41</v>
      </c>
      <c r="U1095" t="s">
        <v>41</v>
      </c>
      <c r="V1095" s="2"/>
      <c r="W1095" s="2"/>
      <c r="X1095" t="s">
        <v>5002</v>
      </c>
      <c r="Y1095">
        <v>1.04</v>
      </c>
      <c r="Z1095">
        <v>1460.53</v>
      </c>
      <c r="AA1095" s="2"/>
      <c r="AB1095" s="2"/>
      <c r="AC1095" t="s">
        <v>5003</v>
      </c>
      <c r="AD1095">
        <v>1.1</v>
      </c>
      <c r="AE1095">
        <v>1496.523</v>
      </c>
      <c r="AF1095" s="2">
        <f t="shared" si="63"/>
        <v>0.0576923076923077</v>
      </c>
      <c r="AG1095" s="2">
        <f t="shared" si="64"/>
        <v>0.0246437936913312</v>
      </c>
      <c r="AH1095" t="s">
        <v>5004</v>
      </c>
      <c r="AI1095" t="s">
        <v>5005</v>
      </c>
      <c r="AJ1095" t="s">
        <v>625</v>
      </c>
    </row>
    <row r="1096" hidden="1" spans="1:36">
      <c r="A1096">
        <v>100016</v>
      </c>
      <c r="B1096" t="s">
        <v>4612</v>
      </c>
      <c r="C1096">
        <v>600016</v>
      </c>
      <c r="D1096" t="s">
        <v>4613</v>
      </c>
      <c r="E1096" t="s">
        <v>5006</v>
      </c>
      <c r="F1096" t="s">
        <v>41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 t="s">
        <v>41</v>
      </c>
      <c r="M1096" t="s">
        <v>41</v>
      </c>
      <c r="N1096" t="s">
        <v>41</v>
      </c>
      <c r="O1096" t="s">
        <v>41</v>
      </c>
      <c r="P1096" t="s">
        <v>41</v>
      </c>
      <c r="Q1096" s="2"/>
      <c r="R1096" s="2"/>
      <c r="S1096" t="s">
        <v>41</v>
      </c>
      <c r="T1096" t="s">
        <v>41</v>
      </c>
      <c r="U1096" t="s">
        <v>41</v>
      </c>
      <c r="V1096" s="2"/>
      <c r="W1096" s="2"/>
      <c r="X1096" t="s">
        <v>5007</v>
      </c>
      <c r="Y1096">
        <v>-2.32</v>
      </c>
      <c r="Z1096">
        <v>1513.704</v>
      </c>
      <c r="AA1096" s="2"/>
      <c r="AB1096" s="2"/>
      <c r="AC1096" t="s">
        <v>5008</v>
      </c>
      <c r="AD1096">
        <v>-2.36</v>
      </c>
      <c r="AE1096">
        <v>1459.892</v>
      </c>
      <c r="AF1096" s="2">
        <f t="shared" si="63"/>
        <v>0.0172413793103448</v>
      </c>
      <c r="AG1096" s="2">
        <f t="shared" si="64"/>
        <v>-0.0355498829361618</v>
      </c>
      <c r="AH1096" t="s">
        <v>4870</v>
      </c>
      <c r="AI1096" t="s">
        <v>5009</v>
      </c>
      <c r="AJ1096" t="s">
        <v>625</v>
      </c>
    </row>
    <row r="1097" hidden="1" spans="1:36">
      <c r="A1097">
        <v>100177</v>
      </c>
      <c r="B1097" t="s">
        <v>5010</v>
      </c>
      <c r="C1097">
        <v>600016</v>
      </c>
      <c r="D1097" t="s">
        <v>5011</v>
      </c>
      <c r="E1097" t="s">
        <v>5012</v>
      </c>
      <c r="F1097" t="s">
        <v>41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 t="s">
        <v>41</v>
      </c>
      <c r="M1097" t="s">
        <v>41</v>
      </c>
      <c r="N1097" t="s">
        <v>41</v>
      </c>
      <c r="O1097" t="s">
        <v>41</v>
      </c>
      <c r="P1097" t="s">
        <v>41</v>
      </c>
      <c r="Q1097" s="2"/>
      <c r="R1097" s="2"/>
      <c r="S1097" t="s">
        <v>41</v>
      </c>
      <c r="T1097" t="s">
        <v>41</v>
      </c>
      <c r="U1097" t="s">
        <v>41</v>
      </c>
      <c r="V1097" s="2"/>
      <c r="W1097" s="2"/>
      <c r="X1097" t="s">
        <v>5013</v>
      </c>
      <c r="Y1097">
        <v>-2.19</v>
      </c>
      <c r="Z1097">
        <v>1511.729</v>
      </c>
      <c r="AA1097" s="2"/>
      <c r="AB1097" s="2"/>
      <c r="AC1097" t="s">
        <v>5014</v>
      </c>
      <c r="AD1097">
        <v>-1.85</v>
      </c>
      <c r="AE1097">
        <v>1571.714</v>
      </c>
      <c r="AF1097" s="2">
        <f t="shared" si="63"/>
        <v>-0.155251141552511</v>
      </c>
      <c r="AG1097" s="2">
        <f t="shared" si="64"/>
        <v>0.0396797309570696</v>
      </c>
      <c r="AH1097" t="s">
        <v>5015</v>
      </c>
      <c r="AI1097" t="s">
        <v>5015</v>
      </c>
      <c r="AJ1097" t="s">
        <v>5016</v>
      </c>
    </row>
    <row r="1098" hidden="1" spans="1:36">
      <c r="A1098">
        <v>125930</v>
      </c>
      <c r="B1098" t="s">
        <v>5017</v>
      </c>
      <c r="C1098">
        <v>930</v>
      </c>
      <c r="D1098" t="s">
        <v>5018</v>
      </c>
      <c r="E1098" t="s">
        <v>4927</v>
      </c>
      <c r="F1098" t="s">
        <v>41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 t="s">
        <v>41</v>
      </c>
      <c r="M1098" t="s">
        <v>41</v>
      </c>
      <c r="N1098" t="s">
        <v>41</v>
      </c>
      <c r="O1098" t="s">
        <v>41</v>
      </c>
      <c r="P1098" t="s">
        <v>41</v>
      </c>
      <c r="Q1098" s="2"/>
      <c r="R1098" s="2"/>
      <c r="S1098" t="s">
        <v>41</v>
      </c>
      <c r="T1098" t="s">
        <v>41</v>
      </c>
      <c r="U1098" t="s">
        <v>41</v>
      </c>
      <c r="V1098" s="2"/>
      <c r="W1098" s="2"/>
      <c r="X1098" t="s">
        <v>5019</v>
      </c>
      <c r="Y1098">
        <v>2.3</v>
      </c>
      <c r="Z1098">
        <v>1503.59</v>
      </c>
      <c r="AA1098" s="2"/>
      <c r="AB1098" s="2"/>
      <c r="AC1098" t="s">
        <v>5020</v>
      </c>
      <c r="AD1098">
        <v>2.39</v>
      </c>
      <c r="AE1098">
        <v>1535.52</v>
      </c>
      <c r="AF1098" s="2">
        <f t="shared" si="63"/>
        <v>0.0391304347826088</v>
      </c>
      <c r="AG1098" s="2">
        <f t="shared" si="64"/>
        <v>0.0212358422176259</v>
      </c>
      <c r="AH1098" t="s">
        <v>5021</v>
      </c>
      <c r="AI1098" t="s">
        <v>5022</v>
      </c>
      <c r="AJ1098" t="s">
        <v>625</v>
      </c>
    </row>
    <row r="1099" hidden="1" spans="1:36">
      <c r="A1099">
        <v>125630</v>
      </c>
      <c r="B1099" t="s">
        <v>5023</v>
      </c>
      <c r="C1099">
        <v>630</v>
      </c>
      <c r="D1099" t="s">
        <v>4742</v>
      </c>
      <c r="E1099" t="s">
        <v>5024</v>
      </c>
      <c r="F1099" t="s">
        <v>41</v>
      </c>
      <c r="G1099" t="s">
        <v>41</v>
      </c>
      <c r="H1099" t="s">
        <v>41</v>
      </c>
      <c r="I1099" t="s">
        <v>41</v>
      </c>
      <c r="J1099" t="s">
        <v>41</v>
      </c>
      <c r="K1099" t="s">
        <v>41</v>
      </c>
      <c r="L1099" t="s">
        <v>41</v>
      </c>
      <c r="M1099" t="s">
        <v>41</v>
      </c>
      <c r="N1099" t="s">
        <v>41</v>
      </c>
      <c r="O1099" t="s">
        <v>41</v>
      </c>
      <c r="P1099" t="s">
        <v>41</v>
      </c>
      <c r="Q1099" s="2"/>
      <c r="R1099" s="2"/>
      <c r="S1099" t="s">
        <v>41</v>
      </c>
      <c r="T1099" t="s">
        <v>41</v>
      </c>
      <c r="U1099" t="s">
        <v>41</v>
      </c>
      <c r="V1099" s="2"/>
      <c r="W1099" s="2"/>
      <c r="X1099" t="s">
        <v>5025</v>
      </c>
      <c r="Y1099">
        <v>0.15</v>
      </c>
      <c r="Z1099">
        <v>1533.483</v>
      </c>
      <c r="AA1099" s="2"/>
      <c r="AB1099" s="2"/>
      <c r="AC1099" t="s">
        <v>5026</v>
      </c>
      <c r="AD1099">
        <v>0.21</v>
      </c>
      <c r="AE1099">
        <v>1574.111</v>
      </c>
      <c r="AF1099" s="2">
        <f t="shared" si="63"/>
        <v>0.4</v>
      </c>
      <c r="AG1099" s="2">
        <f t="shared" si="64"/>
        <v>0.0264939357006241</v>
      </c>
      <c r="AH1099" t="s">
        <v>5027</v>
      </c>
      <c r="AI1099" t="s">
        <v>5028</v>
      </c>
      <c r="AJ1099" t="s">
        <v>625</v>
      </c>
    </row>
    <row r="1100" hidden="1" spans="1:36">
      <c r="A1100">
        <v>100726</v>
      </c>
      <c r="B1100" t="s">
        <v>5029</v>
      </c>
      <c r="C1100">
        <v>600726</v>
      </c>
      <c r="D1100" t="s">
        <v>5030</v>
      </c>
      <c r="E1100" t="s">
        <v>4989</v>
      </c>
      <c r="F1100" t="s">
        <v>41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 t="s">
        <v>41</v>
      </c>
      <c r="M1100" t="s">
        <v>41</v>
      </c>
      <c r="N1100" t="s">
        <v>41</v>
      </c>
      <c r="O1100" t="s">
        <v>41</v>
      </c>
      <c r="P1100" t="s">
        <v>41</v>
      </c>
      <c r="Q1100" s="2"/>
      <c r="R1100" s="2"/>
      <c r="S1100" t="s">
        <v>41</v>
      </c>
      <c r="T1100" t="s">
        <v>41</v>
      </c>
      <c r="U1100" t="s">
        <v>41</v>
      </c>
      <c r="V1100" s="2"/>
      <c r="W1100" s="2"/>
      <c r="X1100" t="s">
        <v>5031</v>
      </c>
      <c r="Y1100">
        <v>7.64</v>
      </c>
      <c r="Z1100">
        <v>1562.237</v>
      </c>
      <c r="AA1100" s="2"/>
      <c r="AB1100" s="2"/>
      <c r="AC1100" t="s">
        <v>5032</v>
      </c>
      <c r="AD1100">
        <v>7.5</v>
      </c>
      <c r="AE1100">
        <v>1553.877</v>
      </c>
      <c r="AF1100" s="2">
        <f t="shared" si="63"/>
        <v>-0.0183246073298429</v>
      </c>
      <c r="AG1100" s="2">
        <f t="shared" si="64"/>
        <v>-0.00535130073093911</v>
      </c>
      <c r="AH1100" t="s">
        <v>5033</v>
      </c>
      <c r="AI1100" t="s">
        <v>5034</v>
      </c>
      <c r="AJ1100" t="s">
        <v>625</v>
      </c>
    </row>
    <row r="1101" hidden="1" spans="1:36">
      <c r="A1101">
        <v>100567</v>
      </c>
      <c r="B1101" t="s">
        <v>4004</v>
      </c>
      <c r="C1101">
        <v>600567</v>
      </c>
      <c r="D1101" t="s">
        <v>5035</v>
      </c>
      <c r="E1101" t="s">
        <v>5036</v>
      </c>
      <c r="F1101" t="s">
        <v>41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 t="s">
        <v>41</v>
      </c>
      <c r="M1101" t="s">
        <v>41</v>
      </c>
      <c r="N1101" t="s">
        <v>41</v>
      </c>
      <c r="O1101" t="s">
        <v>41</v>
      </c>
      <c r="P1101" t="s">
        <v>41</v>
      </c>
      <c r="Q1101" s="2"/>
      <c r="R1101" s="2"/>
      <c r="S1101" t="s">
        <v>41</v>
      </c>
      <c r="T1101" t="s">
        <v>41</v>
      </c>
      <c r="U1101" t="s">
        <v>41</v>
      </c>
      <c r="V1101" s="2"/>
      <c r="W1101" s="2"/>
      <c r="X1101" t="s">
        <v>5037</v>
      </c>
      <c r="Y1101">
        <v>2.44</v>
      </c>
      <c r="Z1101">
        <v>1559.705</v>
      </c>
      <c r="AA1101" s="2"/>
      <c r="AB1101" s="2"/>
      <c r="AC1101" t="s">
        <v>5038</v>
      </c>
      <c r="AD1101">
        <v>2.16</v>
      </c>
      <c r="AE1101">
        <v>1484.704</v>
      </c>
      <c r="AF1101" s="2">
        <f t="shared" si="63"/>
        <v>-0.114754098360656</v>
      </c>
      <c r="AG1101" s="2">
        <f t="shared" si="64"/>
        <v>-0.04808665741278</v>
      </c>
      <c r="AH1101" t="s">
        <v>5039</v>
      </c>
      <c r="AI1101" t="s">
        <v>5040</v>
      </c>
      <c r="AJ1101" t="s">
        <v>625</v>
      </c>
    </row>
    <row r="1102" hidden="1" spans="1:36">
      <c r="A1102">
        <v>100236</v>
      </c>
      <c r="B1102" t="s">
        <v>5041</v>
      </c>
      <c r="C1102">
        <v>600236</v>
      </c>
      <c r="D1102" t="s">
        <v>5042</v>
      </c>
      <c r="E1102" t="s">
        <v>4989</v>
      </c>
      <c r="F1102" t="s">
        <v>41</v>
      </c>
      <c r="G1102" t="s">
        <v>41</v>
      </c>
      <c r="H1102" t="s">
        <v>41</v>
      </c>
      <c r="I1102" t="s">
        <v>41</v>
      </c>
      <c r="J1102" t="s">
        <v>41</v>
      </c>
      <c r="K1102" t="s">
        <v>41</v>
      </c>
      <c r="L1102" t="s">
        <v>41</v>
      </c>
      <c r="M1102" t="s">
        <v>41</v>
      </c>
      <c r="N1102" t="s">
        <v>41</v>
      </c>
      <c r="O1102" t="s">
        <v>41</v>
      </c>
      <c r="P1102" t="s">
        <v>41</v>
      </c>
      <c r="Q1102" s="2"/>
      <c r="R1102" s="2"/>
      <c r="S1102" t="s">
        <v>41</v>
      </c>
      <c r="T1102" t="s">
        <v>41</v>
      </c>
      <c r="U1102" t="s">
        <v>41</v>
      </c>
      <c r="V1102" s="2"/>
      <c r="W1102" s="2"/>
      <c r="X1102" t="s">
        <v>5043</v>
      </c>
      <c r="Y1102">
        <v>0.63</v>
      </c>
      <c r="Z1102">
        <v>1486.024</v>
      </c>
      <c r="AA1102" s="2"/>
      <c r="AB1102" s="2"/>
      <c r="AC1102" t="s">
        <v>5044</v>
      </c>
      <c r="AD1102">
        <v>0.47</v>
      </c>
      <c r="AE1102">
        <v>1525.439</v>
      </c>
      <c r="AF1102" s="2">
        <f t="shared" si="63"/>
        <v>-0.253968253968254</v>
      </c>
      <c r="AG1102" s="2">
        <f t="shared" si="64"/>
        <v>0.0265237977313961</v>
      </c>
      <c r="AH1102" t="s">
        <v>5045</v>
      </c>
      <c r="AI1102" t="s">
        <v>5046</v>
      </c>
      <c r="AJ1102" t="s">
        <v>5016</v>
      </c>
    </row>
    <row r="1103" hidden="1" spans="1:36">
      <c r="A1103">
        <v>100795</v>
      </c>
      <c r="B1103" t="s">
        <v>4656</v>
      </c>
      <c r="C1103">
        <v>600795</v>
      </c>
      <c r="D1103" t="s">
        <v>4657</v>
      </c>
      <c r="E1103" t="s">
        <v>5047</v>
      </c>
      <c r="F1103" t="s">
        <v>41</v>
      </c>
      <c r="G1103" t="s">
        <v>41</v>
      </c>
      <c r="H1103" t="s">
        <v>41</v>
      </c>
      <c r="I1103" t="s">
        <v>41</v>
      </c>
      <c r="J1103" t="s">
        <v>41</v>
      </c>
      <c r="K1103" t="s">
        <v>41</v>
      </c>
      <c r="L1103" t="s">
        <v>41</v>
      </c>
      <c r="M1103" t="s">
        <v>41</v>
      </c>
      <c r="N1103" t="s">
        <v>41</v>
      </c>
      <c r="O1103" t="s">
        <v>41</v>
      </c>
      <c r="P1103" t="s">
        <v>41</v>
      </c>
      <c r="Q1103" s="2"/>
      <c r="R1103" s="2"/>
      <c r="S1103" t="s">
        <v>41</v>
      </c>
      <c r="T1103" t="s">
        <v>41</v>
      </c>
      <c r="U1103" t="s">
        <v>41</v>
      </c>
      <c r="V1103" s="2"/>
      <c r="W1103" s="2"/>
      <c r="X1103" t="s">
        <v>5048</v>
      </c>
      <c r="Y1103">
        <v>-0.36</v>
      </c>
      <c r="Z1103">
        <v>1507.162</v>
      </c>
      <c r="AA1103" s="2"/>
      <c r="AB1103" s="2"/>
      <c r="AC1103" t="s">
        <v>5049</v>
      </c>
      <c r="AD1103">
        <v>-0.38</v>
      </c>
      <c r="AE1103">
        <v>1476.969</v>
      </c>
      <c r="AF1103" s="2">
        <f t="shared" si="63"/>
        <v>0.0555555555555556</v>
      </c>
      <c r="AG1103" s="2">
        <f t="shared" si="64"/>
        <v>-0.0200330156943978</v>
      </c>
      <c r="AH1103" t="s">
        <v>5050</v>
      </c>
      <c r="AI1103" t="s">
        <v>5051</v>
      </c>
      <c r="AJ1103" t="s">
        <v>625</v>
      </c>
    </row>
    <row r="1104" hidden="1" spans="1:36">
      <c r="A1104">
        <v>100117</v>
      </c>
      <c r="B1104" t="s">
        <v>5052</v>
      </c>
      <c r="C1104">
        <v>600117</v>
      </c>
      <c r="D1104" t="s">
        <v>5053</v>
      </c>
      <c r="E1104" t="s">
        <v>5054</v>
      </c>
      <c r="F1104" t="s">
        <v>41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 t="s">
        <v>41</v>
      </c>
      <c r="M1104" t="s">
        <v>41</v>
      </c>
      <c r="N1104" t="s">
        <v>41</v>
      </c>
      <c r="O1104" t="s">
        <v>41</v>
      </c>
      <c r="P1104" t="s">
        <v>41</v>
      </c>
      <c r="Q1104" s="2"/>
      <c r="R1104" s="2"/>
      <c r="S1104" t="s">
        <v>41</v>
      </c>
      <c r="T1104" t="s">
        <v>41</v>
      </c>
      <c r="U1104" t="s">
        <v>41</v>
      </c>
      <c r="V1104" s="2"/>
      <c r="W1104" s="2"/>
      <c r="X1104" t="s">
        <v>5055</v>
      </c>
      <c r="Y1104">
        <v>4.5</v>
      </c>
      <c r="Z1104">
        <v>1474.413</v>
      </c>
      <c r="AA1104" s="2"/>
      <c r="AB1104" s="2"/>
      <c r="AC1104" t="s">
        <v>5056</v>
      </c>
      <c r="AD1104">
        <v>4.32</v>
      </c>
      <c r="AE1104">
        <v>1425.212</v>
      </c>
      <c r="AF1104" s="2">
        <f t="shared" si="63"/>
        <v>-0.0399999999999999</v>
      </c>
      <c r="AG1104" s="2">
        <f t="shared" si="64"/>
        <v>-0.0333698902546302</v>
      </c>
      <c r="AH1104" t="s">
        <v>5057</v>
      </c>
      <c r="AI1104" t="s">
        <v>5058</v>
      </c>
      <c r="AJ1104" t="s">
        <v>625</v>
      </c>
    </row>
    <row r="1105" hidden="1" spans="1:36">
      <c r="A1105">
        <v>125936</v>
      </c>
      <c r="B1105" t="s">
        <v>5059</v>
      </c>
      <c r="C1105">
        <v>936</v>
      </c>
      <c r="D1105" t="s">
        <v>5060</v>
      </c>
      <c r="E1105" t="s">
        <v>5061</v>
      </c>
      <c r="F1105" t="s">
        <v>41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 t="s">
        <v>41</v>
      </c>
      <c r="M1105" t="s">
        <v>41</v>
      </c>
      <c r="N1105" t="s">
        <v>41</v>
      </c>
      <c r="O1105" t="s">
        <v>41</v>
      </c>
      <c r="P1105" t="s">
        <v>41</v>
      </c>
      <c r="Q1105" s="2"/>
      <c r="R1105" s="2"/>
      <c r="S1105" t="s">
        <v>41</v>
      </c>
      <c r="T1105" t="s">
        <v>41</v>
      </c>
      <c r="U1105" t="s">
        <v>41</v>
      </c>
      <c r="V1105" s="2"/>
      <c r="W1105" s="2"/>
      <c r="X1105" t="s">
        <v>5062</v>
      </c>
      <c r="Y1105">
        <v>2.64</v>
      </c>
      <c r="Z1105">
        <v>1449.816</v>
      </c>
      <c r="AA1105" s="2"/>
      <c r="AB1105" s="2"/>
      <c r="AC1105" t="s">
        <v>5063</v>
      </c>
      <c r="AD1105">
        <v>2.45</v>
      </c>
      <c r="AE1105">
        <v>1406.104</v>
      </c>
      <c r="AF1105" s="2">
        <f t="shared" si="63"/>
        <v>-0.0719696969696969</v>
      </c>
      <c r="AG1105" s="2">
        <f t="shared" si="64"/>
        <v>-0.0301500328317524</v>
      </c>
      <c r="AH1105" t="s">
        <v>5064</v>
      </c>
      <c r="AI1105" t="s">
        <v>5065</v>
      </c>
      <c r="AJ1105" t="s">
        <v>625</v>
      </c>
    </row>
    <row r="1106" hidden="1" spans="1:36">
      <c r="A1106">
        <v>100096</v>
      </c>
      <c r="B1106" t="s">
        <v>5066</v>
      </c>
      <c r="C1106">
        <v>600096</v>
      </c>
      <c r="D1106" t="s">
        <v>5067</v>
      </c>
      <c r="E1106" t="s">
        <v>5068</v>
      </c>
      <c r="F1106" t="s">
        <v>41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 t="s">
        <v>41</v>
      </c>
      <c r="M1106" t="s">
        <v>41</v>
      </c>
      <c r="N1106" t="s">
        <v>41</v>
      </c>
      <c r="O1106" t="s">
        <v>41</v>
      </c>
      <c r="P1106" t="s">
        <v>41</v>
      </c>
      <c r="Q1106" s="2"/>
      <c r="R1106" s="2"/>
      <c r="S1106" t="s">
        <v>41</v>
      </c>
      <c r="T1106" t="s">
        <v>41</v>
      </c>
      <c r="U1106" t="s">
        <v>41</v>
      </c>
      <c r="V1106" s="2"/>
      <c r="W1106" s="2"/>
      <c r="X1106" t="s">
        <v>5069</v>
      </c>
      <c r="Y1106">
        <v>-0.73</v>
      </c>
      <c r="Z1106">
        <v>1423.177</v>
      </c>
      <c r="AA1106" s="2"/>
      <c r="AB1106" s="2"/>
      <c r="AC1106" t="s">
        <v>5070</v>
      </c>
      <c r="AD1106">
        <v>-1.06</v>
      </c>
      <c r="AE1106">
        <v>1376.291</v>
      </c>
      <c r="AF1106" s="2">
        <f t="shared" si="63"/>
        <v>0.452054794520548</v>
      </c>
      <c r="AG1106" s="2">
        <f t="shared" si="64"/>
        <v>-0.0329446021120352</v>
      </c>
      <c r="AH1106" t="s">
        <v>5071</v>
      </c>
      <c r="AI1106" t="s">
        <v>5072</v>
      </c>
      <c r="AJ1106" t="s">
        <v>625</v>
      </c>
    </row>
    <row r="1107" hidden="1" spans="1:36">
      <c r="A1107">
        <v>100196</v>
      </c>
      <c r="B1107" t="s">
        <v>5073</v>
      </c>
      <c r="C1107">
        <v>600196</v>
      </c>
      <c r="D1107" t="s">
        <v>5074</v>
      </c>
      <c r="E1107" t="s">
        <v>5075</v>
      </c>
      <c r="F1107" t="s">
        <v>41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 t="s">
        <v>41</v>
      </c>
      <c r="M1107" t="s">
        <v>41</v>
      </c>
      <c r="N1107" t="s">
        <v>41</v>
      </c>
      <c r="O1107" t="s">
        <v>41</v>
      </c>
      <c r="P1107" t="s">
        <v>41</v>
      </c>
      <c r="Q1107" s="2"/>
      <c r="R1107" s="2"/>
      <c r="S1107" t="s">
        <v>41</v>
      </c>
      <c r="T1107" t="s">
        <v>41</v>
      </c>
      <c r="U1107" t="s">
        <v>41</v>
      </c>
      <c r="V1107" s="2"/>
      <c r="W1107" s="2"/>
      <c r="X1107" t="s">
        <v>5076</v>
      </c>
      <c r="Y1107">
        <v>-2.89</v>
      </c>
      <c r="Z1107">
        <v>1369.325</v>
      </c>
      <c r="AA1107" s="2"/>
      <c r="AB1107" s="2"/>
      <c r="AC1107" t="s">
        <v>5077</v>
      </c>
      <c r="AD1107">
        <v>-2.9</v>
      </c>
      <c r="AE1107">
        <v>1328.103</v>
      </c>
      <c r="AF1107" s="2">
        <f t="shared" si="63"/>
        <v>0.00346020761245667</v>
      </c>
      <c r="AG1107" s="2">
        <f t="shared" si="64"/>
        <v>-0.0301038833001661</v>
      </c>
      <c r="AH1107" t="s">
        <v>5078</v>
      </c>
      <c r="AI1107" t="s">
        <v>5079</v>
      </c>
      <c r="AJ1107" t="s">
        <v>625</v>
      </c>
    </row>
    <row r="1108" hidden="1" spans="1:36">
      <c r="A1108">
        <v>110001</v>
      </c>
      <c r="B1108" t="s">
        <v>5080</v>
      </c>
      <c r="C1108">
        <v>600001</v>
      </c>
      <c r="D1108" t="s">
        <v>5081</v>
      </c>
      <c r="E1108" t="s">
        <v>5047</v>
      </c>
      <c r="F1108" t="s">
        <v>41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 t="s">
        <v>41</v>
      </c>
      <c r="M1108" t="s">
        <v>41</v>
      </c>
      <c r="N1108" t="s">
        <v>41</v>
      </c>
      <c r="O1108" t="s">
        <v>41</v>
      </c>
      <c r="P1108" t="s">
        <v>41</v>
      </c>
      <c r="Q1108" s="2"/>
      <c r="R1108" s="2"/>
      <c r="S1108" t="s">
        <v>41</v>
      </c>
      <c r="T1108" t="s">
        <v>41</v>
      </c>
      <c r="U1108" t="s">
        <v>41</v>
      </c>
      <c r="V1108" s="2"/>
      <c r="W1108" s="2"/>
      <c r="X1108" t="s">
        <v>5082</v>
      </c>
      <c r="Y1108">
        <v>2.72</v>
      </c>
      <c r="Z1108">
        <v>1411.909</v>
      </c>
      <c r="AA1108" s="2"/>
      <c r="AB1108" s="2"/>
      <c r="AC1108" t="s">
        <v>5083</v>
      </c>
      <c r="AD1108">
        <v>2.85</v>
      </c>
      <c r="AE1108">
        <v>1470.023</v>
      </c>
      <c r="AF1108" s="2">
        <f t="shared" si="63"/>
        <v>0.0477941176470588</v>
      </c>
      <c r="AG1108" s="2">
        <f t="shared" si="64"/>
        <v>0.0411598764509609</v>
      </c>
      <c r="AH1108" t="s">
        <v>5084</v>
      </c>
      <c r="AI1108" t="s">
        <v>5085</v>
      </c>
      <c r="AJ1108" t="s">
        <v>625</v>
      </c>
    </row>
    <row r="1109" hidden="1" spans="1:36">
      <c r="A1109">
        <v>125959</v>
      </c>
      <c r="B1109" t="s">
        <v>5086</v>
      </c>
      <c r="C1109">
        <v>959</v>
      </c>
      <c r="D1109" t="s">
        <v>5087</v>
      </c>
      <c r="E1109" t="s">
        <v>5047</v>
      </c>
      <c r="F1109" t="s">
        <v>41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 t="s">
        <v>41</v>
      </c>
      <c r="M1109" t="s">
        <v>41</v>
      </c>
      <c r="N1109" t="s">
        <v>41</v>
      </c>
      <c r="O1109" t="s">
        <v>41</v>
      </c>
      <c r="P1109" t="s">
        <v>41</v>
      </c>
      <c r="Q1109" s="2"/>
      <c r="R1109" s="2"/>
      <c r="S1109" t="s">
        <v>41</v>
      </c>
      <c r="T1109" t="s">
        <v>41</v>
      </c>
      <c r="U1109" t="s">
        <v>41</v>
      </c>
      <c r="V1109" s="2"/>
      <c r="W1109" s="2"/>
      <c r="X1109" t="s">
        <v>5088</v>
      </c>
      <c r="Y1109">
        <v>2.89</v>
      </c>
      <c r="Z1109">
        <v>1466.337</v>
      </c>
      <c r="AA1109" s="2"/>
      <c r="AB1109" s="2"/>
      <c r="AC1109" t="s">
        <v>5089</v>
      </c>
      <c r="AD1109">
        <v>3.13</v>
      </c>
      <c r="AE1109">
        <v>1497.044</v>
      </c>
      <c r="AF1109" s="2">
        <f t="shared" si="63"/>
        <v>0.0830449826989618</v>
      </c>
      <c r="AG1109" s="2">
        <f t="shared" si="64"/>
        <v>0.020941297941742</v>
      </c>
      <c r="AH1109" t="s">
        <v>5090</v>
      </c>
      <c r="AI1109" t="s">
        <v>5091</v>
      </c>
      <c r="AJ1109" t="s">
        <v>625</v>
      </c>
    </row>
    <row r="1110" hidden="1" spans="1:36">
      <c r="A1110">
        <v>125069</v>
      </c>
      <c r="B1110" t="s">
        <v>5092</v>
      </c>
      <c r="C1110">
        <v>69</v>
      </c>
      <c r="D1110" t="s">
        <v>5093</v>
      </c>
      <c r="E1110" t="s">
        <v>5061</v>
      </c>
      <c r="F1110" t="s">
        <v>41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 t="s">
        <v>41</v>
      </c>
      <c r="M1110" t="s">
        <v>41</v>
      </c>
      <c r="N1110" t="s">
        <v>41</v>
      </c>
      <c r="O1110" t="s">
        <v>41</v>
      </c>
      <c r="P1110" t="s">
        <v>41</v>
      </c>
      <c r="Q1110" s="2"/>
      <c r="R1110" s="2"/>
      <c r="S1110" t="s">
        <v>41</v>
      </c>
      <c r="T1110" t="s">
        <v>41</v>
      </c>
      <c r="U1110" t="s">
        <v>41</v>
      </c>
      <c r="V1110" s="2"/>
      <c r="W1110" s="2"/>
      <c r="X1110" t="s">
        <v>5089</v>
      </c>
      <c r="Y1110">
        <v>-0.77</v>
      </c>
      <c r="Z1110">
        <v>1497.044</v>
      </c>
      <c r="AA1110" s="2"/>
      <c r="AB1110" s="2"/>
      <c r="AC1110" t="s">
        <v>5094</v>
      </c>
      <c r="AD1110">
        <v>-0.7</v>
      </c>
      <c r="AE1110">
        <v>1600.425</v>
      </c>
      <c r="AF1110" s="2">
        <f t="shared" si="63"/>
        <v>-0.090909090909091</v>
      </c>
      <c r="AG1110" s="2">
        <f t="shared" si="64"/>
        <v>0.0690567545108894</v>
      </c>
      <c r="AH1110" t="s">
        <v>5095</v>
      </c>
      <c r="AI1110" t="s">
        <v>5096</v>
      </c>
      <c r="AJ1110" t="s">
        <v>625</v>
      </c>
    </row>
    <row r="1111" hidden="1" spans="1:36">
      <c r="A1111">
        <v>110418</v>
      </c>
      <c r="B1111" t="s">
        <v>5097</v>
      </c>
      <c r="C1111">
        <v>600418</v>
      </c>
      <c r="D1111" t="s">
        <v>5098</v>
      </c>
      <c r="E1111" t="s">
        <v>5099</v>
      </c>
      <c r="F1111" t="s">
        <v>41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 t="s">
        <v>41</v>
      </c>
      <c r="M1111" t="s">
        <v>41</v>
      </c>
      <c r="N1111" t="s">
        <v>41</v>
      </c>
      <c r="O1111" t="s">
        <v>41</v>
      </c>
      <c r="P1111" t="s">
        <v>41</v>
      </c>
      <c r="Q1111" s="2"/>
      <c r="R1111" s="2"/>
      <c r="S1111" t="s">
        <v>41</v>
      </c>
      <c r="T1111" t="s">
        <v>41</v>
      </c>
      <c r="U1111" t="s">
        <v>41</v>
      </c>
      <c r="V1111" s="2"/>
      <c r="W1111" s="2"/>
      <c r="X1111" t="s">
        <v>5100</v>
      </c>
      <c r="Y1111">
        <v>1.93</v>
      </c>
      <c r="Z1111">
        <v>1679.076</v>
      </c>
      <c r="AA1111" s="2"/>
      <c r="AB1111" s="2"/>
      <c r="AC1111" t="s">
        <v>5101</v>
      </c>
      <c r="AD1111">
        <v>1.69</v>
      </c>
      <c r="AE1111">
        <v>1579.447</v>
      </c>
      <c r="AF1111" s="2">
        <f t="shared" si="63"/>
        <v>-0.124352331606218</v>
      </c>
      <c r="AG1111" s="2">
        <f t="shared" si="64"/>
        <v>-0.0593356107764033</v>
      </c>
      <c r="AH1111" t="s">
        <v>5102</v>
      </c>
      <c r="AI1111" t="s">
        <v>5103</v>
      </c>
      <c r="AJ1111" t="s">
        <v>625</v>
      </c>
    </row>
    <row r="1112" hidden="1" spans="1:36">
      <c r="A1112">
        <v>110037</v>
      </c>
      <c r="B1112" t="s">
        <v>4715</v>
      </c>
      <c r="C1112">
        <v>600037</v>
      </c>
      <c r="D1112" t="s">
        <v>4716</v>
      </c>
      <c r="E1112" t="s">
        <v>5104</v>
      </c>
      <c r="F1112" t="s">
        <v>41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 t="s">
        <v>41</v>
      </c>
      <c r="M1112" t="s">
        <v>41</v>
      </c>
      <c r="N1112" t="s">
        <v>41</v>
      </c>
      <c r="O1112" t="s">
        <v>41</v>
      </c>
      <c r="P1112" t="s">
        <v>41</v>
      </c>
      <c r="Q1112" s="2"/>
      <c r="R1112" s="2"/>
      <c r="S1112" t="s">
        <v>41</v>
      </c>
      <c r="T1112" t="s">
        <v>41</v>
      </c>
      <c r="U1112" t="s">
        <v>41</v>
      </c>
      <c r="V1112" s="2"/>
      <c r="W1112" s="2"/>
      <c r="X1112" t="s">
        <v>5105</v>
      </c>
      <c r="Y1112">
        <v>5.36</v>
      </c>
      <c r="Z1112">
        <v>1603.768</v>
      </c>
      <c r="AA1112" s="2"/>
      <c r="AB1112" s="2"/>
      <c r="AC1112" t="s">
        <v>5106</v>
      </c>
      <c r="AD1112">
        <v>5.44</v>
      </c>
      <c r="AE1112">
        <v>1548.722</v>
      </c>
      <c r="AF1112" s="2">
        <f t="shared" si="63"/>
        <v>0.0149253731343284</v>
      </c>
      <c r="AG1112" s="2">
        <f t="shared" si="64"/>
        <v>-0.0343229195245198</v>
      </c>
      <c r="AH1112" t="s">
        <v>5107</v>
      </c>
      <c r="AI1112" t="s">
        <v>5108</v>
      </c>
      <c r="AJ1112" t="s">
        <v>625</v>
      </c>
    </row>
    <row r="1113" hidden="1" spans="1:36">
      <c r="A1113">
        <v>110317</v>
      </c>
      <c r="B1113" t="s">
        <v>5109</v>
      </c>
      <c r="C1113">
        <v>600317</v>
      </c>
      <c r="D1113" t="s">
        <v>5110</v>
      </c>
      <c r="E1113" t="s">
        <v>4994</v>
      </c>
      <c r="F1113" t="s">
        <v>41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 t="s">
        <v>41</v>
      </c>
      <c r="M1113" t="s">
        <v>41</v>
      </c>
      <c r="N1113" t="s">
        <v>41</v>
      </c>
      <c r="O1113" t="s">
        <v>41</v>
      </c>
      <c r="P1113" t="s">
        <v>41</v>
      </c>
      <c r="Q1113" s="2"/>
      <c r="R1113" s="2"/>
      <c r="S1113" t="s">
        <v>41</v>
      </c>
      <c r="T1113" t="s">
        <v>41</v>
      </c>
      <c r="U1113" t="s">
        <v>41</v>
      </c>
      <c r="V1113" s="2"/>
      <c r="W1113" s="2"/>
      <c r="X1113" t="s">
        <v>5111</v>
      </c>
      <c r="Y1113">
        <v>0.56</v>
      </c>
      <c r="Z1113">
        <v>1549.061</v>
      </c>
      <c r="AA1113" s="2"/>
      <c r="AB1113" s="2"/>
      <c r="AC1113" t="s">
        <v>5112</v>
      </c>
      <c r="AD1113">
        <v>0.59</v>
      </c>
      <c r="AE1113">
        <v>1543.527</v>
      </c>
      <c r="AF1113" s="2">
        <f t="shared" si="63"/>
        <v>0.0535714285714284</v>
      </c>
      <c r="AG1113" s="2">
        <f t="shared" si="64"/>
        <v>-0.00357248681620664</v>
      </c>
      <c r="AH1113" t="s">
        <v>5113</v>
      </c>
      <c r="AI1113" t="s">
        <v>5114</v>
      </c>
      <c r="AJ1113" t="s">
        <v>625</v>
      </c>
    </row>
    <row r="1114" hidden="1" spans="1:36">
      <c r="A1114">
        <v>110874</v>
      </c>
      <c r="B1114" t="s">
        <v>5115</v>
      </c>
      <c r="C1114">
        <v>600874</v>
      </c>
      <c r="D1114" t="s">
        <v>5116</v>
      </c>
      <c r="E1114" t="s">
        <v>5117</v>
      </c>
      <c r="F1114" t="s">
        <v>41</v>
      </c>
      <c r="G1114" t="s">
        <v>41</v>
      </c>
      <c r="H1114" t="s">
        <v>41</v>
      </c>
      <c r="I1114" t="s">
        <v>41</v>
      </c>
      <c r="J1114" t="s">
        <v>41</v>
      </c>
      <c r="K1114" t="s">
        <v>41</v>
      </c>
      <c r="L1114" t="s">
        <v>41</v>
      </c>
      <c r="M1114" t="s">
        <v>41</v>
      </c>
      <c r="N1114" t="s">
        <v>41</v>
      </c>
      <c r="O1114" t="s">
        <v>41</v>
      </c>
      <c r="P1114" t="s">
        <v>41</v>
      </c>
      <c r="Q1114" s="2"/>
      <c r="R1114" s="2"/>
      <c r="S1114" t="s">
        <v>41</v>
      </c>
      <c r="T1114" t="s">
        <v>41</v>
      </c>
      <c r="U1114" t="s">
        <v>41</v>
      </c>
      <c r="V1114" s="2"/>
      <c r="W1114" s="2"/>
      <c r="X1114" t="s">
        <v>5118</v>
      </c>
      <c r="Y1114">
        <v>5.47</v>
      </c>
      <c r="Z1114">
        <v>1441.068</v>
      </c>
      <c r="AA1114" s="2"/>
      <c r="AB1114" s="2"/>
      <c r="AC1114" t="s">
        <v>5119</v>
      </c>
      <c r="AD1114">
        <v>5.88</v>
      </c>
      <c r="AE1114">
        <v>1457.537</v>
      </c>
      <c r="AF1114" s="2">
        <f t="shared" si="63"/>
        <v>0.0749542961608775</v>
      </c>
      <c r="AG1114" s="2">
        <f t="shared" si="64"/>
        <v>0.0114283295444768</v>
      </c>
      <c r="AH1114" t="s">
        <v>5120</v>
      </c>
      <c r="AI1114" t="s">
        <v>5121</v>
      </c>
      <c r="AJ1114" t="s">
        <v>625</v>
      </c>
    </row>
    <row r="1115" hidden="1" spans="1:36">
      <c r="A1115">
        <v>125932</v>
      </c>
      <c r="B1115" t="s">
        <v>5122</v>
      </c>
      <c r="C1115">
        <v>932</v>
      </c>
      <c r="D1115" t="s">
        <v>5123</v>
      </c>
      <c r="E1115" t="s">
        <v>5047</v>
      </c>
      <c r="F1115" t="s">
        <v>41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 t="s">
        <v>41</v>
      </c>
      <c r="M1115" t="s">
        <v>41</v>
      </c>
      <c r="N1115" t="s">
        <v>41</v>
      </c>
      <c r="O1115" t="s">
        <v>41</v>
      </c>
      <c r="P1115" t="s">
        <v>41</v>
      </c>
      <c r="Q1115" s="2"/>
      <c r="R1115" s="2"/>
      <c r="S1115" t="s">
        <v>41</v>
      </c>
      <c r="T1115" t="s">
        <v>41</v>
      </c>
      <c r="U1115" t="s">
        <v>41</v>
      </c>
      <c r="V1115" s="2"/>
      <c r="W1115" s="2"/>
      <c r="X1115" t="s">
        <v>5124</v>
      </c>
      <c r="Y1115">
        <v>1.82</v>
      </c>
      <c r="Z1115">
        <v>1456.13</v>
      </c>
      <c r="AA1115" s="2"/>
      <c r="AB1115" s="2"/>
      <c r="AC1115" t="s">
        <v>5125</v>
      </c>
      <c r="AD1115">
        <v>1.6</v>
      </c>
      <c r="AE1115">
        <v>1366.258</v>
      </c>
      <c r="AF1115" s="2">
        <f t="shared" si="63"/>
        <v>-0.120879120879121</v>
      </c>
      <c r="AG1115" s="2">
        <f t="shared" si="64"/>
        <v>-0.0617197640320576</v>
      </c>
      <c r="AH1115" t="s">
        <v>5126</v>
      </c>
      <c r="AI1115" t="s">
        <v>5127</v>
      </c>
      <c r="AJ1115" t="s">
        <v>625</v>
      </c>
    </row>
    <row r="1116" hidden="1" spans="1:36">
      <c r="A1116">
        <v>125937</v>
      </c>
      <c r="B1116" t="s">
        <v>5128</v>
      </c>
      <c r="C1116">
        <v>937</v>
      </c>
      <c r="D1116" t="s">
        <v>5129</v>
      </c>
      <c r="E1116" t="s">
        <v>4994</v>
      </c>
      <c r="F1116" t="s">
        <v>41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 t="s">
        <v>41</v>
      </c>
      <c r="M1116" t="s">
        <v>41</v>
      </c>
      <c r="N1116" t="s">
        <v>41</v>
      </c>
      <c r="O1116" t="s">
        <v>41</v>
      </c>
      <c r="P1116" t="s">
        <v>41</v>
      </c>
      <c r="Q1116" s="2"/>
      <c r="R1116" s="2"/>
      <c r="S1116" t="s">
        <v>41</v>
      </c>
      <c r="T1116" t="s">
        <v>41</v>
      </c>
      <c r="U1116" t="s">
        <v>41</v>
      </c>
      <c r="V1116" s="2"/>
      <c r="W1116" s="2"/>
      <c r="X1116" t="s">
        <v>5130</v>
      </c>
      <c r="Y1116">
        <v>-3.06</v>
      </c>
      <c r="Z1116">
        <v>1384.964</v>
      </c>
      <c r="AA1116" s="2"/>
      <c r="AB1116" s="2"/>
      <c r="AC1116" t="s">
        <v>5131</v>
      </c>
      <c r="AD1116">
        <v>-3.14</v>
      </c>
      <c r="AE1116">
        <v>1334.422</v>
      </c>
      <c r="AF1116" s="2">
        <f t="shared" si="63"/>
        <v>0.0261437908496732</v>
      </c>
      <c r="AG1116" s="2">
        <f t="shared" si="64"/>
        <v>-0.0364933673366239</v>
      </c>
      <c r="AH1116" t="s">
        <v>5132</v>
      </c>
      <c r="AI1116" t="s">
        <v>5133</v>
      </c>
      <c r="AJ1116" t="s">
        <v>625</v>
      </c>
    </row>
    <row r="1117" hidden="1" spans="1:36">
      <c r="A1117">
        <v>125822</v>
      </c>
      <c r="B1117" t="s">
        <v>5134</v>
      </c>
      <c r="C1117">
        <v>822</v>
      </c>
      <c r="D1117" t="s">
        <v>5135</v>
      </c>
      <c r="E1117" t="s">
        <v>5136</v>
      </c>
      <c r="F1117" t="s">
        <v>41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 t="s">
        <v>41</v>
      </c>
      <c r="M1117" t="s">
        <v>41</v>
      </c>
      <c r="N1117" t="s">
        <v>41</v>
      </c>
      <c r="O1117" t="s">
        <v>41</v>
      </c>
      <c r="P1117" t="s">
        <v>41</v>
      </c>
      <c r="Q1117" s="2"/>
      <c r="R1117" s="2"/>
      <c r="S1117" t="s">
        <v>41</v>
      </c>
      <c r="T1117" t="s">
        <v>41</v>
      </c>
      <c r="U1117" t="s">
        <v>41</v>
      </c>
      <c r="V1117" s="2"/>
      <c r="W1117" s="2"/>
      <c r="X1117" t="s">
        <v>5137</v>
      </c>
      <c r="Y1117">
        <v>3.34</v>
      </c>
      <c r="Z1117">
        <v>1324.294</v>
      </c>
      <c r="AA1117" s="2"/>
      <c r="AB1117" s="2"/>
      <c r="AC1117" t="s">
        <v>5138</v>
      </c>
      <c r="AD1117">
        <v>4.03</v>
      </c>
      <c r="AE1117">
        <v>1464.779</v>
      </c>
      <c r="AF1117" s="2">
        <f t="shared" si="63"/>
        <v>0.206586826347306</v>
      </c>
      <c r="AG1117" s="2">
        <f t="shared" si="64"/>
        <v>0.106082939286895</v>
      </c>
      <c r="AH1117" t="s">
        <v>5139</v>
      </c>
      <c r="AI1117" t="s">
        <v>5140</v>
      </c>
      <c r="AJ1117" t="s">
        <v>625</v>
      </c>
    </row>
    <row r="1118" hidden="1" spans="1:36">
      <c r="A1118">
        <v>125488</v>
      </c>
      <c r="B1118" t="s">
        <v>5141</v>
      </c>
      <c r="C1118">
        <v>1812</v>
      </c>
      <c r="D1118" t="s">
        <v>5142</v>
      </c>
      <c r="E1118" t="s">
        <v>5047</v>
      </c>
      <c r="F1118" t="s">
        <v>41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 t="s">
        <v>41</v>
      </c>
      <c r="M1118" t="s">
        <v>41</v>
      </c>
      <c r="N1118" t="s">
        <v>41</v>
      </c>
      <c r="O1118" t="s">
        <v>41</v>
      </c>
      <c r="P1118" t="s">
        <v>41</v>
      </c>
      <c r="Q1118" s="2"/>
      <c r="R1118" s="2"/>
      <c r="S1118" t="s">
        <v>41</v>
      </c>
      <c r="T1118" t="s">
        <v>41</v>
      </c>
      <c r="U1118" t="s">
        <v>41</v>
      </c>
      <c r="V1118" s="2"/>
      <c r="W1118" s="2"/>
      <c r="X1118" t="s">
        <v>5143</v>
      </c>
      <c r="Y1118" t="s">
        <v>41</v>
      </c>
      <c r="Z1118">
        <v>1355.226</v>
      </c>
      <c r="AA1118" s="2"/>
      <c r="AB1118" s="2"/>
      <c r="AC1118" t="s">
        <v>5144</v>
      </c>
      <c r="AD1118" t="s">
        <v>41</v>
      </c>
      <c r="AE1118">
        <v>1396.7</v>
      </c>
      <c r="AF1118" s="2"/>
      <c r="AG1118" s="2">
        <f t="shared" si="64"/>
        <v>0.03060301381467</v>
      </c>
      <c r="AH1118" t="s">
        <v>5145</v>
      </c>
      <c r="AI1118" t="s">
        <v>5146</v>
      </c>
      <c r="AJ1118" t="s">
        <v>625</v>
      </c>
    </row>
    <row r="1119" hidden="1" spans="1:36">
      <c r="A1119">
        <v>126002</v>
      </c>
      <c r="B1119" t="s">
        <v>5147</v>
      </c>
      <c r="C1119">
        <v>2</v>
      </c>
      <c r="D1119" t="s">
        <v>4976</v>
      </c>
      <c r="E1119" t="s">
        <v>5148</v>
      </c>
      <c r="F1119" t="s">
        <v>41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 t="s">
        <v>41</v>
      </c>
      <c r="M1119" t="s">
        <v>41</v>
      </c>
      <c r="N1119" t="s">
        <v>41</v>
      </c>
      <c r="O1119" t="s">
        <v>41</v>
      </c>
      <c r="P1119" t="s">
        <v>41</v>
      </c>
      <c r="Q1119" s="2"/>
      <c r="R1119" s="2"/>
      <c r="S1119" t="s">
        <v>41</v>
      </c>
      <c r="T1119" t="s">
        <v>41</v>
      </c>
      <c r="U1119" t="s">
        <v>41</v>
      </c>
      <c r="V1119" s="2"/>
      <c r="W1119" s="2"/>
      <c r="X1119" t="s">
        <v>5149</v>
      </c>
      <c r="Y1119">
        <v>-7.55</v>
      </c>
      <c r="Z1119">
        <v>1435.563</v>
      </c>
      <c r="AA1119" s="2"/>
      <c r="AB1119" s="2"/>
      <c r="AC1119" t="s">
        <v>5150</v>
      </c>
      <c r="AD1119">
        <v>-7.53</v>
      </c>
      <c r="AE1119">
        <v>1335.394</v>
      </c>
      <c r="AF1119" s="2">
        <f t="shared" si="63"/>
        <v>-0.0026490066225165</v>
      </c>
      <c r="AG1119" s="2">
        <f t="shared" si="64"/>
        <v>-0.0697768053370002</v>
      </c>
      <c r="AH1119" t="s">
        <v>5151</v>
      </c>
      <c r="AI1119" t="s">
        <v>5152</v>
      </c>
      <c r="AJ1119" t="s">
        <v>625</v>
      </c>
    </row>
    <row r="1120" hidden="1" spans="1:36">
      <c r="A1120">
        <v>110219</v>
      </c>
      <c r="B1120" t="s">
        <v>4637</v>
      </c>
      <c r="C1120">
        <v>600219</v>
      </c>
      <c r="D1120" t="s">
        <v>4638</v>
      </c>
      <c r="E1120" t="s">
        <v>5153</v>
      </c>
      <c r="F1120" t="s">
        <v>41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s="2"/>
      <c r="R1120" s="2"/>
      <c r="S1120" t="s">
        <v>41</v>
      </c>
      <c r="T1120" t="s">
        <v>41</v>
      </c>
      <c r="U1120" t="s">
        <v>41</v>
      </c>
      <c r="V1120" s="2"/>
      <c r="W1120" s="2"/>
      <c r="X1120" t="s">
        <v>5154</v>
      </c>
      <c r="Y1120">
        <v>0.26</v>
      </c>
      <c r="Z1120">
        <v>1337.618</v>
      </c>
      <c r="AA1120" s="2"/>
      <c r="AB1120" s="2"/>
      <c r="AC1120" t="s">
        <v>5155</v>
      </c>
      <c r="AD1120">
        <v>0.41</v>
      </c>
      <c r="AE1120">
        <v>1326.749</v>
      </c>
      <c r="AF1120" s="2">
        <f t="shared" si="63"/>
        <v>0.576923076923077</v>
      </c>
      <c r="AG1120" s="2">
        <f t="shared" si="64"/>
        <v>-0.00812563826144678</v>
      </c>
      <c r="AH1120" t="s">
        <v>4766</v>
      </c>
      <c r="AI1120" t="s">
        <v>5156</v>
      </c>
      <c r="AJ1120" t="s">
        <v>625</v>
      </c>
    </row>
    <row r="1121" hidden="1" spans="1:36">
      <c r="A1121">
        <v>110010</v>
      </c>
      <c r="B1121" t="s">
        <v>5157</v>
      </c>
      <c r="C1121">
        <v>600010</v>
      </c>
      <c r="D1121" t="s">
        <v>5158</v>
      </c>
      <c r="E1121" t="s">
        <v>5159</v>
      </c>
      <c r="F1121" t="s">
        <v>41</v>
      </c>
      <c r="G1121" t="s">
        <v>41</v>
      </c>
      <c r="H1121" t="s">
        <v>41</v>
      </c>
      <c r="I1121" t="s">
        <v>41</v>
      </c>
      <c r="J1121" t="s">
        <v>41</v>
      </c>
      <c r="K1121" t="s">
        <v>41</v>
      </c>
      <c r="L1121" t="s">
        <v>41</v>
      </c>
      <c r="M1121" t="s">
        <v>41</v>
      </c>
      <c r="N1121" t="s">
        <v>41</v>
      </c>
      <c r="O1121" t="s">
        <v>41</v>
      </c>
      <c r="P1121" t="s">
        <v>41</v>
      </c>
      <c r="Q1121" s="2"/>
      <c r="R1121" s="2"/>
      <c r="S1121" t="s">
        <v>41</v>
      </c>
      <c r="T1121" t="s">
        <v>41</v>
      </c>
      <c r="U1121" t="s">
        <v>41</v>
      </c>
      <c r="V1121" s="2"/>
      <c r="W1121" s="2"/>
      <c r="X1121" t="s">
        <v>5160</v>
      </c>
      <c r="Y1121">
        <v>0.47</v>
      </c>
      <c r="Z1121">
        <v>1354.386</v>
      </c>
      <c r="AA1121" s="2"/>
      <c r="AB1121" s="2"/>
      <c r="AC1121" t="s">
        <v>5161</v>
      </c>
      <c r="AD1121">
        <v>0.46</v>
      </c>
      <c r="AE1121">
        <v>1358.333</v>
      </c>
      <c r="AF1121" s="2">
        <f t="shared" si="63"/>
        <v>-0.0212765957446808</v>
      </c>
      <c r="AG1121" s="2">
        <f t="shared" si="64"/>
        <v>0.00291423567579709</v>
      </c>
      <c r="AH1121" t="s">
        <v>5162</v>
      </c>
      <c r="AI1121" t="s">
        <v>5163</v>
      </c>
      <c r="AJ1121" t="s">
        <v>625</v>
      </c>
    </row>
    <row r="1122" hidden="1" spans="1:36">
      <c r="A1122">
        <v>110036</v>
      </c>
      <c r="B1122" t="s">
        <v>5164</v>
      </c>
      <c r="C1122">
        <v>600036</v>
      </c>
      <c r="D1122" t="s">
        <v>5165</v>
      </c>
      <c r="E1122" t="s">
        <v>5166</v>
      </c>
      <c r="F1122" t="s">
        <v>41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s="2"/>
      <c r="R1122" s="2"/>
      <c r="S1122" t="s">
        <v>41</v>
      </c>
      <c r="T1122" t="s">
        <v>41</v>
      </c>
      <c r="U1122" t="s">
        <v>41</v>
      </c>
      <c r="V1122" s="2"/>
      <c r="W1122" s="2"/>
      <c r="X1122" t="s">
        <v>5160</v>
      </c>
      <c r="Y1122">
        <v>-10.94</v>
      </c>
      <c r="Z1122">
        <v>1354.386</v>
      </c>
      <c r="AA1122" s="2"/>
      <c r="AB1122" s="2"/>
      <c r="AC1122" t="s">
        <v>5167</v>
      </c>
      <c r="AD1122">
        <v>-11.04</v>
      </c>
      <c r="AE1122">
        <v>1337.434</v>
      </c>
      <c r="AF1122" s="2">
        <f t="shared" si="63"/>
        <v>0.00914076782449722</v>
      </c>
      <c r="AG1122" s="2">
        <f t="shared" si="64"/>
        <v>-0.0125163727327365</v>
      </c>
      <c r="AH1122" t="s">
        <v>5168</v>
      </c>
      <c r="AI1122" t="s">
        <v>5169</v>
      </c>
      <c r="AJ1122" t="s">
        <v>625</v>
      </c>
    </row>
    <row r="1123" hidden="1" spans="1:36">
      <c r="A1123">
        <v>110325</v>
      </c>
      <c r="B1123" t="s">
        <v>5170</v>
      </c>
      <c r="C1123">
        <v>600325</v>
      </c>
      <c r="D1123" t="s">
        <v>5171</v>
      </c>
      <c r="E1123" t="s">
        <v>5172</v>
      </c>
      <c r="F1123" t="s">
        <v>41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s="2"/>
      <c r="R1123" s="2"/>
      <c r="S1123" t="s">
        <v>41</v>
      </c>
      <c r="T1123" t="s">
        <v>41</v>
      </c>
      <c r="U1123" t="s">
        <v>41</v>
      </c>
      <c r="V1123" s="2"/>
      <c r="W1123" s="2"/>
      <c r="X1123" t="s">
        <v>5173</v>
      </c>
      <c r="Y1123">
        <v>-0.7</v>
      </c>
      <c r="Z1123">
        <v>1675.168</v>
      </c>
      <c r="AA1123" s="2"/>
      <c r="AB1123" s="2"/>
      <c r="AC1123" t="s">
        <v>5156</v>
      </c>
      <c r="AD1123">
        <v>-0.81</v>
      </c>
      <c r="AE1123">
        <v>1605.926</v>
      </c>
      <c r="AF1123" s="2">
        <f t="shared" si="63"/>
        <v>0.157142857142857</v>
      </c>
      <c r="AG1123" s="2">
        <f t="shared" si="64"/>
        <v>-0.0413343616879023</v>
      </c>
      <c r="AH1123" t="s">
        <v>5174</v>
      </c>
      <c r="AI1123" t="s">
        <v>5175</v>
      </c>
      <c r="AJ1123" t="s">
        <v>625</v>
      </c>
    </row>
    <row r="1124" hidden="1" spans="1:36">
      <c r="A1124">
        <v>110423</v>
      </c>
      <c r="B1124" t="s">
        <v>5176</v>
      </c>
      <c r="C1124">
        <v>600423</v>
      </c>
      <c r="D1124" t="s">
        <v>5177</v>
      </c>
      <c r="E1124" t="s">
        <v>5178</v>
      </c>
      <c r="F1124" t="s">
        <v>41</v>
      </c>
      <c r="G1124" t="s">
        <v>41</v>
      </c>
      <c r="H1124" t="s">
        <v>41</v>
      </c>
      <c r="I1124" t="s">
        <v>41</v>
      </c>
      <c r="J1124" t="s">
        <v>41</v>
      </c>
      <c r="K1124" t="s">
        <v>41</v>
      </c>
      <c r="L1124" t="s">
        <v>41</v>
      </c>
      <c r="M1124" t="s">
        <v>41</v>
      </c>
      <c r="N1124" t="s">
        <v>41</v>
      </c>
      <c r="O1124" t="s">
        <v>41</v>
      </c>
      <c r="P1124" t="s">
        <v>41</v>
      </c>
      <c r="Q1124" s="2"/>
      <c r="R1124" s="2"/>
      <c r="S1124" t="s">
        <v>41</v>
      </c>
      <c r="T1124" t="s">
        <v>41</v>
      </c>
      <c r="U1124" t="s">
        <v>41</v>
      </c>
      <c r="V1124" s="2"/>
      <c r="W1124" s="2"/>
      <c r="X1124" t="s">
        <v>5179</v>
      </c>
      <c r="Y1124">
        <v>5.28</v>
      </c>
      <c r="Z1124">
        <v>1662.031</v>
      </c>
      <c r="AA1124" s="2"/>
      <c r="AB1124" s="2"/>
      <c r="AC1124" t="s">
        <v>5180</v>
      </c>
      <c r="AD1124">
        <v>4.68</v>
      </c>
      <c r="AE1124">
        <v>1606.065</v>
      </c>
      <c r="AF1124" s="2">
        <f t="shared" si="63"/>
        <v>-0.113636363636364</v>
      </c>
      <c r="AG1124" s="2">
        <f t="shared" si="64"/>
        <v>-0.0336732588020319</v>
      </c>
      <c r="AH1124" t="s">
        <v>5181</v>
      </c>
      <c r="AI1124" t="s">
        <v>5175</v>
      </c>
      <c r="AJ1124" t="s">
        <v>625</v>
      </c>
    </row>
    <row r="1125" hidden="1" spans="1:36">
      <c r="A1125">
        <v>110398</v>
      </c>
      <c r="B1125" t="s">
        <v>5182</v>
      </c>
      <c r="C1125">
        <v>600398</v>
      </c>
      <c r="D1125" t="s">
        <v>4118</v>
      </c>
      <c r="E1125" t="s">
        <v>5172</v>
      </c>
      <c r="F1125" t="s">
        <v>41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 t="s">
        <v>41</v>
      </c>
      <c r="M1125" t="s">
        <v>41</v>
      </c>
      <c r="N1125" t="s">
        <v>41</v>
      </c>
      <c r="O1125" t="s">
        <v>41</v>
      </c>
      <c r="P1125" t="s">
        <v>41</v>
      </c>
      <c r="Q1125" s="2"/>
      <c r="R1125" s="2"/>
      <c r="S1125" t="s">
        <v>41</v>
      </c>
      <c r="T1125" t="s">
        <v>41</v>
      </c>
      <c r="U1125" t="s">
        <v>41</v>
      </c>
      <c r="V1125" s="2"/>
      <c r="W1125" s="2"/>
      <c r="X1125" t="s">
        <v>5183</v>
      </c>
      <c r="Y1125">
        <v>-2.65</v>
      </c>
      <c r="Z1125">
        <v>1595.657</v>
      </c>
      <c r="AA1125" s="2"/>
      <c r="AB1125" s="2"/>
      <c r="AC1125" t="s">
        <v>5184</v>
      </c>
      <c r="AD1125">
        <v>-2.57</v>
      </c>
      <c r="AE1125">
        <v>1655.195</v>
      </c>
      <c r="AF1125" s="2">
        <f t="shared" si="63"/>
        <v>-0.030188679245283</v>
      </c>
      <c r="AG1125" s="2">
        <f t="shared" si="64"/>
        <v>0.0373125301991594</v>
      </c>
      <c r="AH1125" t="s">
        <v>5185</v>
      </c>
      <c r="AI1125" t="s">
        <v>4997</v>
      </c>
      <c r="AJ1125" t="s">
        <v>625</v>
      </c>
    </row>
    <row r="1126" hidden="1" spans="1:36">
      <c r="A1126">
        <v>125024</v>
      </c>
      <c r="B1126" t="s">
        <v>5186</v>
      </c>
      <c r="C1126">
        <v>24</v>
      </c>
      <c r="D1126" t="s">
        <v>5187</v>
      </c>
      <c r="E1126" t="s">
        <v>5188</v>
      </c>
      <c r="F1126" t="s">
        <v>41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s="2"/>
      <c r="R1126" s="2"/>
      <c r="S1126" t="s">
        <v>41</v>
      </c>
      <c r="T1126" t="s">
        <v>41</v>
      </c>
      <c r="U1126" t="s">
        <v>41</v>
      </c>
      <c r="V1126" s="2"/>
      <c r="W1126" s="2"/>
      <c r="X1126" t="s">
        <v>5184</v>
      </c>
      <c r="Y1126">
        <v>5.05</v>
      </c>
      <c r="Z1126">
        <v>1655.195</v>
      </c>
      <c r="AA1126" s="2"/>
      <c r="AB1126" s="2"/>
      <c r="AC1126" t="s">
        <v>5189</v>
      </c>
      <c r="AD1126">
        <v>5.03</v>
      </c>
      <c r="AE1126">
        <v>1674.966</v>
      </c>
      <c r="AF1126" s="2">
        <f t="shared" si="63"/>
        <v>-0.00396039603960388</v>
      </c>
      <c r="AG1126" s="2">
        <f t="shared" si="64"/>
        <v>0.011944816169696</v>
      </c>
      <c r="AH1126" t="s">
        <v>5190</v>
      </c>
      <c r="AI1126" t="s">
        <v>5191</v>
      </c>
      <c r="AJ1126" t="s">
        <v>625</v>
      </c>
    </row>
    <row r="1127" hidden="1" spans="1:36">
      <c r="A1127">
        <v>110488</v>
      </c>
      <c r="B1127" t="s">
        <v>5192</v>
      </c>
      <c r="C1127">
        <v>600488</v>
      </c>
      <c r="D1127" t="s">
        <v>5193</v>
      </c>
      <c r="E1127" t="s">
        <v>5194</v>
      </c>
      <c r="F1127" t="s">
        <v>41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s="2"/>
      <c r="R1127" s="2"/>
      <c r="S1127" t="s">
        <v>41</v>
      </c>
      <c r="T1127" t="s">
        <v>41</v>
      </c>
      <c r="U1127" t="s">
        <v>41</v>
      </c>
      <c r="V1127" s="2"/>
      <c r="W1127" s="2"/>
      <c r="X1127" t="s">
        <v>5195</v>
      </c>
      <c r="Y1127">
        <v>2.16</v>
      </c>
      <c r="Z1127">
        <v>1806.646</v>
      </c>
      <c r="AA1127" s="2"/>
      <c r="AB1127" s="2"/>
      <c r="AC1127" t="s">
        <v>5196</v>
      </c>
      <c r="AD1127">
        <v>2.03</v>
      </c>
      <c r="AE1127">
        <v>1883.347</v>
      </c>
      <c r="AF1127" s="2">
        <f t="shared" si="63"/>
        <v>-0.0601851851851853</v>
      </c>
      <c r="AG1127" s="2">
        <f t="shared" si="64"/>
        <v>0.0424549136908946</v>
      </c>
      <c r="AH1127" t="s">
        <v>5197</v>
      </c>
      <c r="AI1127" t="s">
        <v>5198</v>
      </c>
      <c r="AJ1127" t="s">
        <v>625</v>
      </c>
    </row>
    <row r="1128" hidden="1" spans="1:36">
      <c r="A1128">
        <v>110232</v>
      </c>
      <c r="B1128" t="s">
        <v>5199</v>
      </c>
      <c r="C1128">
        <v>600232</v>
      </c>
      <c r="D1128" t="s">
        <v>5200</v>
      </c>
      <c r="E1128" t="s">
        <v>4983</v>
      </c>
      <c r="F1128" t="s">
        <v>41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s="2"/>
      <c r="R1128" s="2"/>
      <c r="S1128" t="s">
        <v>41</v>
      </c>
      <c r="T1128" t="s">
        <v>41</v>
      </c>
      <c r="U1128" t="s">
        <v>41</v>
      </c>
      <c r="V1128" s="2"/>
      <c r="W1128" s="2"/>
      <c r="X1128" t="s">
        <v>5201</v>
      </c>
      <c r="Y1128">
        <v>2.39</v>
      </c>
      <c r="Z1128">
        <v>2017.279</v>
      </c>
      <c r="AA1128" s="2"/>
      <c r="AB1128" s="2"/>
      <c r="AC1128" t="s">
        <v>5202</v>
      </c>
      <c r="AD1128">
        <v>2.52</v>
      </c>
      <c r="AE1128">
        <v>2156.604</v>
      </c>
      <c r="AF1128" s="2">
        <f t="shared" si="63"/>
        <v>0.0543933054393305</v>
      </c>
      <c r="AG1128" s="2">
        <f t="shared" si="64"/>
        <v>0.0690658059693279</v>
      </c>
      <c r="AH1128" t="s">
        <v>5203</v>
      </c>
      <c r="AI1128" t="s">
        <v>5204</v>
      </c>
      <c r="AJ1128" t="s">
        <v>625</v>
      </c>
    </row>
    <row r="1129" hidden="1" spans="1:36">
      <c r="A1129">
        <v>110021</v>
      </c>
      <c r="B1129" t="s">
        <v>5205</v>
      </c>
      <c r="C1129">
        <v>600021</v>
      </c>
      <c r="D1129" t="s">
        <v>5206</v>
      </c>
      <c r="E1129" t="s">
        <v>5136</v>
      </c>
      <c r="F1129" t="s">
        <v>41</v>
      </c>
      <c r="G1129" t="s">
        <v>41</v>
      </c>
      <c r="H1129" t="s">
        <v>41</v>
      </c>
      <c r="I1129" t="s">
        <v>41</v>
      </c>
      <c r="J1129" t="s">
        <v>41</v>
      </c>
      <c r="K1129" t="s">
        <v>41</v>
      </c>
      <c r="L1129" t="s">
        <v>41</v>
      </c>
      <c r="M1129" t="s">
        <v>41</v>
      </c>
      <c r="N1129" t="s">
        <v>41</v>
      </c>
      <c r="O1129" t="s">
        <v>41</v>
      </c>
      <c r="P1129" t="s">
        <v>41</v>
      </c>
      <c r="Q1129" s="2"/>
      <c r="R1129" s="2"/>
      <c r="S1129" t="s">
        <v>41</v>
      </c>
      <c r="T1129" t="s">
        <v>41</v>
      </c>
      <c r="U1129" t="s">
        <v>41</v>
      </c>
      <c r="V1129" s="2"/>
      <c r="W1129" s="2"/>
      <c r="X1129" t="s">
        <v>5207</v>
      </c>
      <c r="Y1129">
        <v>1.2</v>
      </c>
      <c r="Z1129">
        <v>2102.049</v>
      </c>
      <c r="AA1129" s="2"/>
      <c r="AB1129" s="2"/>
      <c r="AC1129" t="s">
        <v>5208</v>
      </c>
      <c r="AD1129">
        <v>1.28</v>
      </c>
      <c r="AE1129">
        <v>2364.177</v>
      </c>
      <c r="AF1129" s="2">
        <f t="shared" si="63"/>
        <v>0.0666666666666667</v>
      </c>
      <c r="AG1129" s="2">
        <f t="shared" si="64"/>
        <v>0.124701184415777</v>
      </c>
      <c r="AH1129" t="s">
        <v>5209</v>
      </c>
      <c r="AI1129" t="s">
        <v>5210</v>
      </c>
      <c r="AJ1129" t="s">
        <v>625</v>
      </c>
    </row>
    <row r="1130" hidden="1" spans="1:36">
      <c r="A1130">
        <v>128031</v>
      </c>
      <c r="B1130" t="s">
        <v>5211</v>
      </c>
      <c r="C1130">
        <v>2031</v>
      </c>
      <c r="D1130" t="s">
        <v>4671</v>
      </c>
      <c r="E1130" t="s">
        <v>4942</v>
      </c>
      <c r="F1130" t="s">
        <v>41</v>
      </c>
      <c r="G1130" t="s">
        <v>41</v>
      </c>
      <c r="H1130" t="s">
        <v>41</v>
      </c>
      <c r="I1130" t="s">
        <v>41</v>
      </c>
      <c r="J1130" t="s">
        <v>41</v>
      </c>
      <c r="K1130" t="s">
        <v>41</v>
      </c>
      <c r="L1130" t="s">
        <v>41</v>
      </c>
      <c r="M1130" t="s">
        <v>41</v>
      </c>
      <c r="N1130" t="s">
        <v>41</v>
      </c>
      <c r="O1130" t="s">
        <v>41</v>
      </c>
      <c r="P1130" t="s">
        <v>41</v>
      </c>
      <c r="Q1130" s="2"/>
      <c r="R1130" s="2"/>
      <c r="S1130" t="s">
        <v>41</v>
      </c>
      <c r="T1130" t="s">
        <v>41</v>
      </c>
      <c r="U1130" t="s">
        <v>41</v>
      </c>
      <c r="V1130" s="2"/>
      <c r="W1130" s="2"/>
      <c r="X1130" t="s">
        <v>5212</v>
      </c>
      <c r="Y1130">
        <v>1.36</v>
      </c>
      <c r="Z1130">
        <v>2707.199</v>
      </c>
      <c r="AA1130" s="2"/>
      <c r="AB1130" s="2"/>
      <c r="AC1130" t="s">
        <v>5213</v>
      </c>
      <c r="AD1130">
        <v>1.61</v>
      </c>
      <c r="AE1130">
        <v>2832.207</v>
      </c>
      <c r="AF1130" s="2">
        <f t="shared" si="63"/>
        <v>0.183823529411765</v>
      </c>
      <c r="AG1130" s="2">
        <f t="shared" si="64"/>
        <v>0.0461761399882313</v>
      </c>
      <c r="AH1130" t="s">
        <v>5214</v>
      </c>
      <c r="AI1130" t="s">
        <v>4797</v>
      </c>
      <c r="AJ1130" t="s">
        <v>625</v>
      </c>
    </row>
    <row r="1131" hidden="1" spans="1:36">
      <c r="A1131">
        <v>125717</v>
      </c>
      <c r="B1131" t="s">
        <v>5215</v>
      </c>
      <c r="C1131">
        <v>717</v>
      </c>
      <c r="D1131" t="s">
        <v>5216</v>
      </c>
      <c r="E1131" t="s">
        <v>5217</v>
      </c>
      <c r="F1131" t="s">
        <v>41</v>
      </c>
      <c r="G1131" t="s">
        <v>41</v>
      </c>
      <c r="H1131" t="s">
        <v>41</v>
      </c>
      <c r="I1131" t="s">
        <v>41</v>
      </c>
      <c r="J1131" t="s">
        <v>41</v>
      </c>
      <c r="K1131" t="s">
        <v>41</v>
      </c>
      <c r="L1131" t="s">
        <v>41</v>
      </c>
      <c r="M1131" t="s">
        <v>41</v>
      </c>
      <c r="N1131" t="s">
        <v>41</v>
      </c>
      <c r="O1131" t="s">
        <v>41</v>
      </c>
      <c r="P1131" t="s">
        <v>41</v>
      </c>
      <c r="Q1131" s="2"/>
      <c r="R1131" s="2"/>
      <c r="S1131" t="s">
        <v>41</v>
      </c>
      <c r="T1131" t="s">
        <v>41</v>
      </c>
      <c r="U1131" t="s">
        <v>41</v>
      </c>
      <c r="V1131" s="2"/>
      <c r="W1131" s="2"/>
      <c r="X1131" t="s">
        <v>5218</v>
      </c>
      <c r="Y1131">
        <v>3.94</v>
      </c>
      <c r="Z1131">
        <v>2675.697</v>
      </c>
      <c r="AA1131" s="2"/>
      <c r="AB1131" s="2"/>
      <c r="AC1131" t="s">
        <v>5085</v>
      </c>
      <c r="AD1131">
        <v>5.35</v>
      </c>
      <c r="AE1131">
        <v>2831.526</v>
      </c>
      <c r="AF1131" s="2">
        <f t="shared" si="63"/>
        <v>0.357868020304568</v>
      </c>
      <c r="AG1131" s="2">
        <f t="shared" si="64"/>
        <v>0.0582386570676724</v>
      </c>
      <c r="AH1131" t="s">
        <v>5219</v>
      </c>
      <c r="AI1131" t="s">
        <v>4907</v>
      </c>
      <c r="AJ1131" t="s">
        <v>625</v>
      </c>
    </row>
    <row r="1132" hidden="1" spans="1:36">
      <c r="A1132">
        <v>110078</v>
      </c>
      <c r="B1132" t="s">
        <v>5220</v>
      </c>
      <c r="C1132">
        <v>600078</v>
      </c>
      <c r="D1132" t="s">
        <v>5221</v>
      </c>
      <c r="E1132" t="s">
        <v>5222</v>
      </c>
      <c r="F1132" t="s">
        <v>41</v>
      </c>
      <c r="G1132" t="s">
        <v>41</v>
      </c>
      <c r="H1132" t="s">
        <v>41</v>
      </c>
      <c r="I1132" t="s">
        <v>41</v>
      </c>
      <c r="J1132" t="s">
        <v>41</v>
      </c>
      <c r="K1132" t="s">
        <v>41</v>
      </c>
      <c r="L1132" t="s">
        <v>41</v>
      </c>
      <c r="M1132" t="s">
        <v>41</v>
      </c>
      <c r="N1132" t="s">
        <v>41</v>
      </c>
      <c r="O1132" t="s">
        <v>41</v>
      </c>
      <c r="P1132" t="s">
        <v>41</v>
      </c>
      <c r="Q1132" s="2"/>
      <c r="R1132" s="2"/>
      <c r="S1132" t="s">
        <v>41</v>
      </c>
      <c r="T1132" t="s">
        <v>41</v>
      </c>
      <c r="U1132" t="s">
        <v>41</v>
      </c>
      <c r="V1132" s="2"/>
      <c r="W1132" s="2"/>
      <c r="X1132" t="s">
        <v>5223</v>
      </c>
      <c r="Y1132">
        <v>10</v>
      </c>
      <c r="Z1132">
        <v>4049.701</v>
      </c>
      <c r="AA1132" s="2"/>
      <c r="AB1132" s="2"/>
      <c r="AC1132" t="s">
        <v>5191</v>
      </c>
      <c r="AD1132">
        <v>10.55</v>
      </c>
      <c r="AE1132">
        <v>4179.776</v>
      </c>
      <c r="AF1132" s="2">
        <f t="shared" si="63"/>
        <v>0.0550000000000001</v>
      </c>
      <c r="AG1132" s="2">
        <f t="shared" si="64"/>
        <v>0.0321196552535606</v>
      </c>
      <c r="AH1132" t="s">
        <v>5224</v>
      </c>
      <c r="AI1132" t="s">
        <v>5225</v>
      </c>
      <c r="AJ1132" t="s">
        <v>3077</v>
      </c>
    </row>
    <row r="1133" hidden="1" spans="1:36">
      <c r="A1133">
        <v>125960</v>
      </c>
      <c r="B1133" t="s">
        <v>5226</v>
      </c>
      <c r="C1133">
        <v>960</v>
      </c>
      <c r="D1133" t="s">
        <v>5227</v>
      </c>
      <c r="E1133" t="s">
        <v>5228</v>
      </c>
      <c r="F1133" t="s">
        <v>41</v>
      </c>
      <c r="G1133" t="s">
        <v>41</v>
      </c>
      <c r="H1133" t="s">
        <v>41</v>
      </c>
      <c r="I1133" t="s">
        <v>41</v>
      </c>
      <c r="J1133" t="s">
        <v>41</v>
      </c>
      <c r="K1133" t="s">
        <v>41</v>
      </c>
      <c r="L1133" t="s">
        <v>41</v>
      </c>
      <c r="M1133" t="s">
        <v>41</v>
      </c>
      <c r="N1133" t="s">
        <v>41</v>
      </c>
      <c r="O1133" t="s">
        <v>41</v>
      </c>
      <c r="P1133" t="s">
        <v>41</v>
      </c>
      <c r="Q1133" s="2"/>
      <c r="R1133" s="2"/>
      <c r="S1133" t="s">
        <v>41</v>
      </c>
      <c r="T1133" t="s">
        <v>41</v>
      </c>
      <c r="U1133" t="s">
        <v>41</v>
      </c>
      <c r="V1133" s="2"/>
      <c r="W1133" s="2"/>
      <c r="X1133" t="s">
        <v>5146</v>
      </c>
      <c r="Y1133">
        <v>18.72</v>
      </c>
      <c r="Z1133">
        <v>4046.392</v>
      </c>
      <c r="AA1133" s="2"/>
      <c r="AB1133" s="2"/>
      <c r="AC1133" t="s">
        <v>5034</v>
      </c>
      <c r="AD1133">
        <v>22.07</v>
      </c>
      <c r="AE1133">
        <v>4334.924</v>
      </c>
      <c r="AF1133" s="2">
        <f t="shared" si="63"/>
        <v>0.178952991452992</v>
      </c>
      <c r="AG1133" s="2">
        <f t="shared" si="64"/>
        <v>0.0713059930921177</v>
      </c>
      <c r="AH1133" t="s">
        <v>5229</v>
      </c>
      <c r="AI1133" t="s">
        <v>5230</v>
      </c>
      <c r="AJ1133" t="s">
        <v>625</v>
      </c>
    </row>
    <row r="1134" hidden="1" spans="1:36">
      <c r="A1134" t="s">
        <v>41</v>
      </c>
      <c r="B1134" t="s">
        <v>41</v>
      </c>
      <c r="C1134">
        <v>603067</v>
      </c>
      <c r="D1134" t="s">
        <v>761</v>
      </c>
      <c r="E1134" t="s">
        <v>5231</v>
      </c>
      <c r="F1134" t="s">
        <v>41</v>
      </c>
      <c r="G1134" t="s">
        <v>270</v>
      </c>
      <c r="H1134" t="s">
        <v>358</v>
      </c>
      <c r="I1134" t="s">
        <v>270</v>
      </c>
      <c r="J1134" t="s">
        <v>41</v>
      </c>
      <c r="K1134" t="s">
        <v>41</v>
      </c>
      <c r="L1134" t="s">
        <v>41</v>
      </c>
      <c r="M1134" t="s">
        <v>41</v>
      </c>
      <c r="N1134" t="s">
        <v>41</v>
      </c>
      <c r="O1134" t="s">
        <v>41</v>
      </c>
      <c r="P1134" t="s">
        <v>41</v>
      </c>
      <c r="Q1134" s="2"/>
      <c r="R1134" s="2"/>
      <c r="S1134" t="s">
        <v>41</v>
      </c>
      <c r="T1134" t="s">
        <v>41</v>
      </c>
      <c r="U1134" t="s">
        <v>41</v>
      </c>
      <c r="V1134" s="2"/>
      <c r="W1134" s="2"/>
      <c r="X1134" t="s">
        <v>41</v>
      </c>
      <c r="Y1134" t="s">
        <v>41</v>
      </c>
      <c r="Z1134" t="s">
        <v>41</v>
      </c>
      <c r="AA1134" s="2"/>
      <c r="AB1134" s="2"/>
      <c r="AC1134" t="s">
        <v>41</v>
      </c>
      <c r="AD1134" t="s">
        <v>41</v>
      </c>
      <c r="AE1134" t="s">
        <v>41</v>
      </c>
      <c r="AF1134" s="2"/>
      <c r="AG1134" s="2"/>
      <c r="AH1134" t="s">
        <v>41</v>
      </c>
      <c r="AI1134" t="s">
        <v>41</v>
      </c>
      <c r="AJ1134" t="s">
        <v>41</v>
      </c>
    </row>
    <row r="1135" spans="1:36">
      <c r="Q1135" s="1">
        <f t="shared" ref="Q1135:W1135" si="65">AVERAGE(Q2:Q1134)</f>
        <v>0.0280802793336419</v>
      </c>
      <c r="R1135" s="1">
        <f t="shared" si="65"/>
        <v>0.0117651961792266</v>
      </c>
      <c r="S1135" s="2">
        <f>Q1135-R1135</f>
        <v>0.0163150831544154</v>
      </c>
      <c r="T1135" s="2"/>
      <c r="U1135" s="2"/>
      <c r="V1135" s="1">
        <f t="shared" si="65"/>
        <v>0.0174381266030939</v>
      </c>
      <c r="W1135" s="1">
        <f t="shared" si="65"/>
        <v>-0.00395588627142446</v>
      </c>
      <c r="X1135" s="2">
        <f>V1135-W1135</f>
        <v>0.0213940128745184</v>
      </c>
      <c r="Y1135" s="2"/>
      <c r="Z1135" s="2"/>
      <c r="AA1135" s="2">
        <f t="shared" ref="AA1135:AG1135" si="66">AVERAGE(AA2:AA1134)</f>
        <v>0.0188256625446623</v>
      </c>
      <c r="AB1135" s="2">
        <f t="shared" si="66"/>
        <v>0.001587283265838</v>
      </c>
      <c r="AC1135" s="2">
        <f>AA1135-AB1135</f>
        <v>0.0172383792788243</v>
      </c>
      <c r="AD1135" s="2"/>
      <c r="AE1135" s="2"/>
      <c r="AF1135" s="2">
        <f t="shared" si="66"/>
        <v>0.0114044396857403</v>
      </c>
      <c r="AG1135" s="2">
        <f t="shared" si="66"/>
        <v>0.00391716832162981</v>
      </c>
      <c r="AH1135" s="2">
        <f>AF1135-AG1135</f>
        <v>0.00748727136411046</v>
      </c>
    </row>
  </sheetData>
  <autoFilter xmlns:etc="http://www.wps.cn/officeDocument/2017/etCustomData" ref="A1:AJ1135" etc:filterBottomFollowUsedRange="0">
    <filterColumn colId="16">
      <filters>
        <filter val="-27.11%"/>
        <filter val="-42.51%"/>
        <filter val="121.51%"/>
        <filter val="-13.90%"/>
        <filter val="-16.90%"/>
        <filter val="-18.90%"/>
        <filter val="-26.10%"/>
        <filter val="-26.50%"/>
        <filter val="-31.90%"/>
        <filter val="9.10%"/>
        <filter val="-2.10%"/>
        <filter val="-3.10%"/>
        <filter val="-5.90%"/>
        <filter val="3.11%"/>
        <filter val="-9.51%"/>
        <filter val="22.11%"/>
        <filter val="28.91%"/>
        <filter val="0.12%"/>
        <filter val="4.12%"/>
        <filter val="8.12%"/>
        <filter val="-10.15%"/>
        <filter val="-11.15%"/>
        <filter val="10.12%"/>
        <filter val="13.52%"/>
        <filter val="115.95%"/>
        <filter val="-27.54%"/>
        <filter val="47.93%"/>
        <filter val="60.53%"/>
        <filter val="7.54%"/>
        <filter val="-10.53%"/>
        <filter val="-16.93%"/>
        <filter val="-23.13%"/>
        <filter val="16.14%"/>
        <filter val="26.94%"/>
        <filter val="69.14%"/>
        <filter val="3.15%"/>
        <filter val="-12.12%"/>
        <filter val="-17.92%"/>
        <filter val="-34.52%"/>
        <filter val="-0.15%"/>
        <filter val="-3.95%"/>
        <filter val="-5.95%"/>
        <filter val="-8.15%"/>
        <filter val="-8.55%"/>
        <filter val="10.15%"/>
        <filter val="11.55%"/>
        <filter val="13.95%"/>
        <filter val="1.96%"/>
        <filter val="4.16%"/>
        <filter val="-10.99%"/>
        <filter val="-20.19%"/>
        <filter val="-20.59%"/>
        <filter val="-0.56%"/>
        <filter val="-2.96%"/>
        <filter val="-3.96%"/>
        <filter val="12.96%"/>
        <filter val="17.56%"/>
        <filter val="18.16%"/>
        <filter val="31.56%"/>
        <filter val="0.57%"/>
        <filter val="-10.18%"/>
        <filter val="-10.58%"/>
        <filter val="-11.98%"/>
        <filter val="-17.18%"/>
        <filter val="-21.98%"/>
        <filter val="-22.18%"/>
        <filter val="-32.18%"/>
        <filter val="-5.97%"/>
        <filter val="13.17%"/>
        <filter val="19.17%"/>
        <filter val="38.57%"/>
        <filter val="41.17%"/>
        <filter val="41.57%"/>
        <filter val="2.58%"/>
        <filter val="3.58%"/>
        <filter val="8.58%"/>
        <filter val="-12.57%"/>
        <filter val="-20.57%"/>
        <filter val="-32.57%"/>
        <filter val="-57.57%"/>
        <filter val="-0.58%"/>
        <filter val="10.18%"/>
        <filter val="17.58%"/>
        <filter val="26.58%"/>
        <filter val="28.18%"/>
        <filter val="1.19%"/>
        <filter val="2.59%"/>
        <filter val="3.59%"/>
        <filter val="-14.96%"/>
        <filter val="-16.96%"/>
        <filter val="-20.96%"/>
        <filter val="-29.96%"/>
        <filter val="-34.56%"/>
        <filter val="-3.19%"/>
        <filter val="-5.59%"/>
        <filter val="26.19%"/>
        <filter val="63.99%"/>
        <filter val="-12.21%"/>
        <filter val="-25.21%"/>
        <filter val="-17.20%"/>
        <filter val="-18.20%"/>
        <filter val="-23.60%"/>
        <filter val="-37.60%"/>
        <filter val="-5.20%"/>
        <filter val="-8.20%"/>
        <filter val="-8.60%"/>
        <filter val="44.20%"/>
        <filter val="45.20%"/>
        <filter val="1.21%"/>
        <filter val="2.61%"/>
        <filter val="-7.21%"/>
        <filter val="12.61%"/>
        <filter val="16.61%"/>
        <filter val="4.62%"/>
        <filter val="-15.25%"/>
        <filter val="-0.62%"/>
        <filter val="-1.62%"/>
        <filter val="-4.22%"/>
        <filter val="-8.22%"/>
        <filter val="12.22%"/>
        <filter val="14.62%"/>
        <filter val="15.22%"/>
        <filter val="104.25%"/>
        <filter val="-10.64%"/>
        <filter val="-5.63%"/>
        <filter val="-8.23%"/>
        <filter val="-9.63%"/>
        <filter val="56.23%"/>
        <filter val="6.24%"/>
        <filter val="-25.23%"/>
        <filter val="-27.63%"/>
        <filter val="-32.63%"/>
        <filter val="-1.64%"/>
        <filter val="-4.24%"/>
        <filter val="-6.64%"/>
        <filter val="12.64%"/>
        <filter val="32.64%"/>
        <filter val="9.65%"/>
        <filter val="-12.22%"/>
        <filter val="-14.22%"/>
        <filter val="-32.22%"/>
        <filter val="-35.22%"/>
        <filter val="-1.25%"/>
        <filter val="11.65%"/>
        <filter val="37.65%"/>
        <filter val="44.65%"/>
        <filter val="11.66%"/>
        <filter val="20.26%"/>
        <filter val="24.26%"/>
        <filter val="46.26%"/>
        <filter val="-15.68%"/>
        <filter val="-17.68%"/>
        <filter val="-3.27%"/>
        <filter val="-6.27%"/>
        <filter val="18.67%"/>
        <filter val="31.27%"/>
        <filter val="-19.27%"/>
        <filter val="-34.67%"/>
        <filter val="-4.68%"/>
        <filter val="-8.68%"/>
        <filter val="29.28%"/>
        <filter val="43.68%"/>
        <filter val="8.69%"/>
        <filter val="-19.26%"/>
        <filter val="-23.26%"/>
        <filter val="-24.26%"/>
        <filter val="-6.29%"/>
        <filter val="21.29%"/>
        <filter val="23.29%"/>
        <filter val="-14.31%"/>
        <filter val="-43.71%"/>
        <filter val="-36.30%"/>
        <filter val="1.70%"/>
        <filter val="7.30%"/>
        <filter val="13.70%"/>
        <filter val="14.30%"/>
        <filter val="69.31%"/>
        <filter val="-13.75%"/>
        <filter val="-21.35%"/>
        <filter val="-24.35%"/>
        <filter val="-24.75%"/>
        <filter val="-25.75%"/>
        <filter val="-5.72%"/>
        <filter val="14.72%"/>
        <filter val="7.33%"/>
        <filter val="8.33%"/>
        <filter val="14.33%"/>
        <filter val="23.73%"/>
        <filter val="34.73%"/>
        <filter val="65.33%"/>
        <filter val="4.74%"/>
        <filter val="6.74%"/>
        <filter val="-14.33%"/>
        <filter val="-20.73%"/>
        <filter val="-23.73%"/>
        <filter val="-26.33%"/>
        <filter val="-0.74%"/>
        <filter val="20.74%"/>
        <filter val="31.74%"/>
        <filter val="-12.72%"/>
        <filter val="-17.72%"/>
        <filter val="-18.32%"/>
        <filter val="-26.72%"/>
        <filter val="-0.35%"/>
        <filter val="-2.75%"/>
        <filter val="-5.75%"/>
        <filter val="25.35%"/>
        <filter val="8.36%"/>
        <filter val="-23.79%"/>
        <filter val="14.36%"/>
        <filter val="7.77%"/>
        <filter val="-15.38%"/>
        <filter val="-7.37%"/>
        <filter val="18.77%"/>
        <filter val="43.37%"/>
        <filter val="48.77%"/>
        <filter val="-11.37%"/>
        <filter val="-14.77%"/>
        <filter val="-24.37%"/>
        <filter val="-28.77%"/>
        <filter val="-3.38%"/>
        <filter val="-3.78%"/>
        <filter val="-6.38%"/>
        <filter val="10.78%"/>
        <filter val="34.78%"/>
        <filter val="43.38%"/>
        <filter val="49.38%"/>
        <filter val="17.39%"/>
        <filter val="25.79%"/>
        <filter val="-10.01%"/>
        <filter val="-13.01%"/>
        <filter val="-19.81%"/>
        <filter val="-20.01%"/>
        <filter val="-24.01%"/>
        <filter val="-34.01%"/>
        <filter val="-19.00%"/>
        <filter val="-23.80%"/>
        <filter val="-32.00%"/>
        <filter val="5.80%"/>
        <filter val="7.00%"/>
        <filter val="8.40%"/>
        <filter val="-4.80%"/>
        <filter val="-7.80%"/>
        <filter val="10.80%"/>
        <filter val="30.00%"/>
        <filter val="50.00%"/>
        <filter val="55.40%"/>
        <filter val="90.80%"/>
        <filter val="0.81%"/>
        <filter val="2.81%"/>
        <filter val="5.81%"/>
        <filter val="18.81%"/>
        <filter val="72.81%"/>
        <filter val="1.02%"/>
        <filter val="9.02%"/>
        <filter val="-10.45%"/>
        <filter val="-15.85%"/>
        <filter val="-25.45%"/>
        <filter val="-38.45%"/>
        <filter val="-49.45%"/>
        <filter val="-2.42%"/>
        <filter val="-6.42%"/>
        <filter val="10.82%"/>
        <filter val="45.42%"/>
        <filter val="2.43%"/>
        <filter val="9.03%"/>
        <filter val="-11.44%"/>
        <filter val="-15.84%"/>
        <filter val="-19.44%"/>
        <filter val="-3.03%"/>
        <filter val="-9.83%"/>
        <filter val="10.83%"/>
        <filter val="13.83%"/>
        <filter val="23.43%"/>
        <filter val="26.43%"/>
        <filter val="0.44%"/>
        <filter val="-2.44%"/>
        <filter val="-6.04%"/>
        <filter val="21.84%"/>
        <filter val="23.84%"/>
        <filter val="1.05%"/>
        <filter val="4.45%"/>
        <filter val="9.45%"/>
        <filter val="-11.42%"/>
        <filter val="-32.42%"/>
        <filter val="10.85%"/>
        <filter val="14.45%"/>
        <filter val="29.45%"/>
        <filter val="53.85%"/>
        <filter val="4.46%"/>
        <filter val="6.06%"/>
        <filter val="-24.89%"/>
        <filter val="-2.86%"/>
        <filter val="-4.86%"/>
        <filter val="13.86%"/>
        <filter val="14.46%"/>
        <filter val="23.46%"/>
        <filter val="30.06%"/>
        <filter val="5.87%"/>
        <filter val="-11.48%"/>
        <filter val="-19.08%"/>
        <filter val="-0.07%"/>
        <filter val="-3.87%"/>
        <filter val="-8.47%"/>
        <filter val="16.07%"/>
        <filter val="18.47%"/>
        <filter val="22.87%"/>
        <filter val="34.47%"/>
        <filter val="35.07%"/>
        <filter val="36.47%"/>
        <filter val="87.47%"/>
        <filter val="6.48%"/>
        <filter val="-22.47%"/>
        <filter val="-27.87%"/>
        <filter val="-9.88%"/>
        <filter val="10.08%"/>
        <filter val="16.88%"/>
        <filter val="57.08%"/>
        <filter val="0.89%"/>
        <filter val="2.89%"/>
        <filter val="-20.46%"/>
        <filter val="-25.46%"/>
        <filter val="-53.46%"/>
        <filter val="-2.49%"/>
        <filter val="-3.49%"/>
        <filter val="-4.49%"/>
        <filter val="-5.89%"/>
        <filter val="15.09%"/>
        <filter val="17.09%"/>
        <filter val="40.89%"/>
        <filter val="56.49%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华</cp:lastModifiedBy>
  <dcterms:created xsi:type="dcterms:W3CDTF">2026-01-05T08:08:00Z</dcterms:created>
  <dcterms:modified xsi:type="dcterms:W3CDTF">2026-01-05T09:03:32Z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6CB691DBB75A4A06AE43696922444EDE_12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