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可转债股票价格数据" sheetId="1" r:id="rId1"/>
  </sheets>
  <definedNames>
    <definedName name="_xlnm._FilterDatabase" localSheetId="0" hidden="1">可转债股票价格数据!$A$1:$AA$296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<sst xmlns="http://schemas.openxmlformats.org/spreadsheetml/2006/main" count="912" uniqueCount="624">
  <si>
    <t>债券代码</t>
  </si>
  <si>
    <t>债券简称</t>
  </si>
  <si>
    <t>申购日期</t>
  </si>
  <si>
    <t>申购代码</t>
  </si>
  <si>
    <t>正股代码</t>
  </si>
  <si>
    <t>正股简称</t>
  </si>
  <si>
    <t>中签率</t>
  </si>
  <si>
    <t>上市时间</t>
  </si>
  <si>
    <t>信用评级</t>
  </si>
  <si>
    <t>上市委通过日期</t>
  </si>
  <si>
    <t>同意注册日期</t>
  </si>
  <si>
    <t>上市委-申购</t>
  </si>
  <si>
    <t>注册-申购</t>
  </si>
  <si>
    <t>上市委通过日期_开盘价</t>
  </si>
  <si>
    <t>上市委通过日期_收盘价</t>
  </si>
  <si>
    <t>同意注册日期_开盘价</t>
  </si>
  <si>
    <t>同意注册日期_收盘价</t>
  </si>
  <si>
    <t>申购日前一交易日_开盘价</t>
  </si>
  <si>
    <t>申购日前一交易日_收盘价</t>
  </si>
  <si>
    <t>配债日-同意注册日</t>
  </si>
  <si>
    <t>配债日-同意注册日（百分比）</t>
  </si>
  <si>
    <t>申购日期_开盘价</t>
  </si>
  <si>
    <t>申购日期_收盘价</t>
  </si>
  <si>
    <t>申购日（T0-T-1）</t>
  </si>
  <si>
    <t>申购日（T0-T-1）百分比</t>
  </si>
  <si>
    <t>上市时间_开盘价</t>
  </si>
  <si>
    <t>上市时间_收盘价</t>
  </si>
  <si>
    <t>微导转债</t>
  </si>
  <si>
    <t>微导纳米</t>
  </si>
  <si>
    <t>AA</t>
  </si>
  <si>
    <t>广核转债</t>
  </si>
  <si>
    <t>中国广核</t>
  </si>
  <si>
    <t>AAA</t>
  </si>
  <si>
    <t>利柏转债</t>
  </si>
  <si>
    <t>利柏特</t>
  </si>
  <si>
    <t>伯25转债</t>
  </si>
  <si>
    <t>伯特利</t>
  </si>
  <si>
    <t>甬矽转债</t>
  </si>
  <si>
    <t>甬矽电子</t>
  </si>
  <si>
    <t>A+</t>
  </si>
  <si>
    <t>华辰转债</t>
  </si>
  <si>
    <t>江苏华辰</t>
  </si>
  <si>
    <t>锡振转债</t>
  </si>
  <si>
    <t>无锡振华</t>
  </si>
  <si>
    <t>AA-</t>
  </si>
  <si>
    <t>安克转债</t>
  </si>
  <si>
    <t>安克创新</t>
  </si>
  <si>
    <t>AA+</t>
  </si>
  <si>
    <t>电化转债</t>
  </si>
  <si>
    <t>湘潭电化</t>
  </si>
  <si>
    <t>路维转债</t>
  </si>
  <si>
    <t>路维光电</t>
  </si>
  <si>
    <t>恒帅转债</t>
  </si>
  <si>
    <t>恒帅股份</t>
  </si>
  <si>
    <t>伟测转债</t>
  </si>
  <si>
    <t>伟测科技</t>
  </si>
  <si>
    <t>清源转债</t>
  </si>
  <si>
    <t>清源股份</t>
  </si>
  <si>
    <t>安集转债</t>
  </si>
  <si>
    <t>安集科技</t>
  </si>
  <si>
    <t>鼎龙转债</t>
  </si>
  <si>
    <t>鼎龙股份</t>
  </si>
  <si>
    <t>太能转债</t>
  </si>
  <si>
    <t>太阳能</t>
  </si>
  <si>
    <t>亿纬转债</t>
  </si>
  <si>
    <t>亿纬锂能</t>
  </si>
  <si>
    <t>志邦转债</t>
  </si>
  <si>
    <t>志邦家居</t>
  </si>
  <si>
    <t>正帆转债</t>
  </si>
  <si>
    <t>正帆科技</t>
  </si>
  <si>
    <t>浩瀚转债</t>
  </si>
  <si>
    <t>浩瀚深度</t>
  </si>
  <si>
    <t>永贵转债</t>
  </si>
  <si>
    <t>永贵电器</t>
  </si>
  <si>
    <t>渝水转债</t>
  </si>
  <si>
    <t>重庆水务</t>
  </si>
  <si>
    <t>银邦转债</t>
  </si>
  <si>
    <t>银邦股份</t>
  </si>
  <si>
    <t>南药转债</t>
  </si>
  <si>
    <t>南京医药</t>
  </si>
  <si>
    <t>华医转债</t>
  </si>
  <si>
    <t>华康洁净</t>
  </si>
  <si>
    <t>皓元转债</t>
  </si>
  <si>
    <t>皓元医药</t>
  </si>
  <si>
    <t>领益转债</t>
  </si>
  <si>
    <t>领益智造</t>
  </si>
  <si>
    <t>嘉益转债</t>
  </si>
  <si>
    <t>嘉益股份</t>
  </si>
  <si>
    <t>保隆转债</t>
  </si>
  <si>
    <t>保隆科技</t>
  </si>
  <si>
    <t>和邦转债</t>
  </si>
  <si>
    <t>和邦生物</t>
  </si>
  <si>
    <t>天润转债</t>
  </si>
  <si>
    <t>天润乳业</t>
  </si>
  <si>
    <t>英搏转债</t>
  </si>
  <si>
    <t>英搏尔</t>
  </si>
  <si>
    <t>豪24转债</t>
  </si>
  <si>
    <t>豪能股份</t>
  </si>
  <si>
    <t>国检转债</t>
  </si>
  <si>
    <t>国检集团</t>
  </si>
  <si>
    <t>洛凯转债</t>
  </si>
  <si>
    <t>洛凯股份</t>
  </si>
  <si>
    <t>航宇转债</t>
  </si>
  <si>
    <t>航宇科技</t>
  </si>
  <si>
    <t>恒辉转债</t>
  </si>
  <si>
    <t>恒辉安防</t>
  </si>
  <si>
    <t>万凯转债</t>
  </si>
  <si>
    <t>万凯新材</t>
  </si>
  <si>
    <t>远信转债</t>
  </si>
  <si>
    <t>远信工业</t>
  </si>
  <si>
    <t>A</t>
  </si>
  <si>
    <t>集智转债</t>
  </si>
  <si>
    <t>集智股份</t>
  </si>
  <si>
    <t>伟隆转债</t>
  </si>
  <si>
    <t>伟隆股份</t>
  </si>
  <si>
    <t>豫光转债</t>
  </si>
  <si>
    <t>豫光金铅</t>
  </si>
  <si>
    <t>汇成转债</t>
  </si>
  <si>
    <t>汇成股份</t>
  </si>
  <si>
    <t>松原转债</t>
  </si>
  <si>
    <t>松原安全</t>
  </si>
  <si>
    <t>奥锐转债</t>
  </si>
  <si>
    <t>奥锐特</t>
  </si>
  <si>
    <t>合顺转债</t>
  </si>
  <si>
    <t>聚合顺</t>
  </si>
  <si>
    <t>振华转债</t>
  </si>
  <si>
    <t>振华股份</t>
  </si>
  <si>
    <t>严牌转债</t>
  </si>
  <si>
    <t>严牌股份</t>
  </si>
  <si>
    <t>赛龙转债</t>
  </si>
  <si>
    <t>聚赛龙</t>
  </si>
  <si>
    <t>欧通转债</t>
  </si>
  <si>
    <t>欧陆通</t>
  </si>
  <si>
    <t>泰瑞转债</t>
  </si>
  <si>
    <t>泰瑞机器</t>
  </si>
  <si>
    <t>利扬转债</t>
  </si>
  <si>
    <t>利扬芯片</t>
  </si>
  <si>
    <t>升24转债</t>
  </si>
  <si>
    <t>旭升集团</t>
  </si>
  <si>
    <t>宏柏转债</t>
  </si>
  <si>
    <t>宏柏新材</t>
  </si>
  <si>
    <t>湘泵转债</t>
  </si>
  <si>
    <t>美湖股份</t>
  </si>
  <si>
    <t>伟24转债</t>
  </si>
  <si>
    <t>伟明环保</t>
  </si>
  <si>
    <t>益丰转债</t>
  </si>
  <si>
    <t>益丰药房</t>
  </si>
  <si>
    <t>龙星转债</t>
  </si>
  <si>
    <t>龙星科技</t>
  </si>
  <si>
    <t>楚天转债</t>
  </si>
  <si>
    <t>楚天科技</t>
  </si>
  <si>
    <t>姚记转债</t>
  </si>
  <si>
    <t>姚记科技</t>
  </si>
  <si>
    <t>锋工转债</t>
  </si>
  <si>
    <t>恒锋工具</t>
  </si>
  <si>
    <t>卡倍转02</t>
  </si>
  <si>
    <t>卡倍亿</t>
  </si>
  <si>
    <t>佳禾转债</t>
  </si>
  <si>
    <t>佳禾智能</t>
  </si>
  <si>
    <t>东南转债</t>
  </si>
  <si>
    <t>东南网架</t>
  </si>
  <si>
    <t>镇洋转债</t>
  </si>
  <si>
    <t>镇洋发展</t>
  </si>
  <si>
    <t>华康转债</t>
  </si>
  <si>
    <t>华康股份</t>
  </si>
  <si>
    <t>浙建转债</t>
  </si>
  <si>
    <t>浙江建投</t>
  </si>
  <si>
    <t>家联转债</t>
  </si>
  <si>
    <t>家联科技</t>
  </si>
  <si>
    <t>博23转债</t>
  </si>
  <si>
    <t>博威合金</t>
  </si>
  <si>
    <t>豪鹏转债</t>
  </si>
  <si>
    <t>豪鹏科技</t>
  </si>
  <si>
    <t>神码转债</t>
  </si>
  <si>
    <t>神州数码</t>
  </si>
  <si>
    <t>亿田转债</t>
  </si>
  <si>
    <t>亿田智能</t>
  </si>
  <si>
    <t>诺泰转债</t>
  </si>
  <si>
    <t>诺泰生物</t>
  </si>
  <si>
    <t>中能转债</t>
  </si>
  <si>
    <t>中能电气</t>
  </si>
  <si>
    <t>盛航转债</t>
  </si>
  <si>
    <t>盛航股份</t>
  </si>
  <si>
    <t>凯盛转债</t>
  </si>
  <si>
    <t>凯盛新材</t>
  </si>
  <si>
    <t>金现转债</t>
  </si>
  <si>
    <t>金现代</t>
  </si>
  <si>
    <t>欧晶转债</t>
  </si>
  <si>
    <t>欧晶科技</t>
  </si>
  <si>
    <t>丽岛转债</t>
  </si>
  <si>
    <t>丽岛新材</t>
  </si>
  <si>
    <t>金钟转债</t>
  </si>
  <si>
    <t>金钟股份</t>
  </si>
  <si>
    <t>信测转债</t>
  </si>
  <si>
    <t>信测标准</t>
  </si>
  <si>
    <t>三羊转债</t>
  </si>
  <si>
    <t>三羊马</t>
  </si>
  <si>
    <t>芯能转债</t>
  </si>
  <si>
    <t>芯能科技</t>
  </si>
  <si>
    <t>艾录转债</t>
  </si>
  <si>
    <t>上海艾录</t>
  </si>
  <si>
    <t>震裕转债</t>
  </si>
  <si>
    <t>震裕科技</t>
  </si>
  <si>
    <t>雅创转债</t>
  </si>
  <si>
    <t>雅创电子</t>
  </si>
  <si>
    <t>中贝转债</t>
  </si>
  <si>
    <t>中贝通信</t>
  </si>
  <si>
    <t>广泰转债</t>
  </si>
  <si>
    <t>威海广泰</t>
  </si>
  <si>
    <t>红墙转债</t>
  </si>
  <si>
    <t>红墙股份</t>
  </si>
  <si>
    <t>章鼓转债</t>
  </si>
  <si>
    <t>山东章鼓</t>
  </si>
  <si>
    <t>中富转债</t>
  </si>
  <si>
    <t>中富电路</t>
  </si>
  <si>
    <t>翔丰转债</t>
  </si>
  <si>
    <t>翔丰华</t>
  </si>
  <si>
    <t>运机转债</t>
  </si>
  <si>
    <t>运机集团</t>
  </si>
  <si>
    <t>宇邦转债</t>
  </si>
  <si>
    <t>宇邦新材</t>
  </si>
  <si>
    <t>九典转02</t>
  </si>
  <si>
    <t>九典制药</t>
  </si>
  <si>
    <t>华懋转债</t>
  </si>
  <si>
    <t>华懋科技</t>
  </si>
  <si>
    <t>盟升转债</t>
  </si>
  <si>
    <t>盟升电子</t>
  </si>
  <si>
    <t>赛特转债</t>
  </si>
  <si>
    <t>赛特新材</t>
  </si>
  <si>
    <t>博俊转债</t>
  </si>
  <si>
    <t>博俊科技</t>
  </si>
  <si>
    <t>力诺转债</t>
  </si>
  <si>
    <t>力诺药包</t>
  </si>
  <si>
    <t>科数转债</t>
  </si>
  <si>
    <t>科华数据</t>
  </si>
  <si>
    <t>荣23转债</t>
  </si>
  <si>
    <t>荣晟环保</t>
  </si>
  <si>
    <t>易瑞转债</t>
  </si>
  <si>
    <t>易瑞生物</t>
  </si>
  <si>
    <t>蓝天转债</t>
  </si>
  <si>
    <t>蓝天燃气</t>
  </si>
  <si>
    <t>福立转债</t>
  </si>
  <si>
    <t>福立旺</t>
  </si>
  <si>
    <t>宇瞳转债</t>
  </si>
  <si>
    <t>宇瞳光学</t>
  </si>
  <si>
    <t>新23转债</t>
  </si>
  <si>
    <t>新泉股份</t>
  </si>
  <si>
    <t>宏昌转债</t>
  </si>
  <si>
    <t>宏昌科技</t>
  </si>
  <si>
    <t>奥维转债</t>
  </si>
  <si>
    <t>奥特维</t>
  </si>
  <si>
    <t>双良转债</t>
  </si>
  <si>
    <t>双良节能</t>
  </si>
  <si>
    <t>富仕转债</t>
  </si>
  <si>
    <t>四会富仕</t>
  </si>
  <si>
    <t>科顺转债</t>
  </si>
  <si>
    <t>科顺股份</t>
  </si>
  <si>
    <t>铭利转债</t>
  </si>
  <si>
    <t>铭利达</t>
  </si>
  <si>
    <t>东宝转债</t>
  </si>
  <si>
    <t>东宝生物</t>
  </si>
  <si>
    <t>星球转债</t>
  </si>
  <si>
    <t>星球石墨</t>
  </si>
  <si>
    <t>天源转债</t>
  </si>
  <si>
    <t>武汉天源</t>
  </si>
  <si>
    <t>金铜转债</t>
  </si>
  <si>
    <t>金田股份</t>
  </si>
  <si>
    <t>阳谷转债</t>
  </si>
  <si>
    <t>阳谷华泰</t>
  </si>
  <si>
    <t>信服转债</t>
  </si>
  <si>
    <t>深信服</t>
  </si>
  <si>
    <t>燃23转债</t>
  </si>
  <si>
    <t>深圳燃气</t>
  </si>
  <si>
    <t>立中转债</t>
  </si>
  <si>
    <t>立中集团</t>
  </si>
  <si>
    <t>聚隆转债</t>
  </si>
  <si>
    <t>南京聚隆</t>
  </si>
  <si>
    <t>宏微转债</t>
  </si>
  <si>
    <t>宏微科技</t>
  </si>
  <si>
    <t>神通转债</t>
  </si>
  <si>
    <t>神通科技</t>
  </si>
  <si>
    <t>孩王转债</t>
  </si>
  <si>
    <t>孩子王</t>
  </si>
  <si>
    <t>兴瑞转债</t>
  </si>
  <si>
    <t>兴瑞科技</t>
  </si>
  <si>
    <t>冠中转债</t>
  </si>
  <si>
    <t>冠中生态</t>
  </si>
  <si>
    <t>A-</t>
  </si>
  <si>
    <t>华设转债</t>
  </si>
  <si>
    <t>华设集团</t>
  </si>
  <si>
    <t>煜邦转债</t>
  </si>
  <si>
    <t>煜邦电力</t>
  </si>
  <si>
    <t>开能转债</t>
  </si>
  <si>
    <t>开能健康</t>
  </si>
  <si>
    <t>众和转债</t>
  </si>
  <si>
    <t>新疆众和</t>
  </si>
  <si>
    <t>晶澳转债</t>
  </si>
  <si>
    <t>晶澳科技</t>
  </si>
  <si>
    <t>福蓉转债</t>
  </si>
  <si>
    <t>福蓉科技</t>
  </si>
  <si>
    <t>岱美转债</t>
  </si>
  <si>
    <t>岱美股份</t>
  </si>
  <si>
    <t>金宏转债</t>
  </si>
  <si>
    <t>金宏气体</t>
  </si>
  <si>
    <t>大叶转债</t>
  </si>
  <si>
    <t>大叶股份</t>
  </si>
  <si>
    <t>金丹转债</t>
  </si>
  <si>
    <t>金丹科技</t>
  </si>
  <si>
    <t>武进转债</t>
  </si>
  <si>
    <t>武进不锈</t>
  </si>
  <si>
    <t>东亚转债</t>
  </si>
  <si>
    <t>东亚药业</t>
  </si>
  <si>
    <t>上声转债</t>
  </si>
  <si>
    <t>上声电子</t>
  </si>
  <si>
    <t>赫达转债</t>
  </si>
  <si>
    <t>山东赫达</t>
  </si>
  <si>
    <t>明电转02</t>
  </si>
  <si>
    <t>明阳电路</t>
  </si>
  <si>
    <t>祥源转债</t>
  </si>
  <si>
    <t>祥源新材</t>
  </si>
  <si>
    <t>力合转债</t>
  </si>
  <si>
    <t>力合微</t>
  </si>
  <si>
    <t>海泰转债</t>
  </si>
  <si>
    <t>海泰科</t>
  </si>
  <si>
    <t>纽泰转债</t>
  </si>
  <si>
    <t>纽泰格</t>
  </si>
  <si>
    <t>李子转债</t>
  </si>
  <si>
    <t>李子园</t>
  </si>
  <si>
    <t>山河转债</t>
  </si>
  <si>
    <t>山河药辅</t>
  </si>
  <si>
    <t>国力转债</t>
  </si>
  <si>
    <t>国力股份</t>
  </si>
  <si>
    <t>恒邦转债</t>
  </si>
  <si>
    <t>恒邦股份</t>
  </si>
  <si>
    <t>金埔转债</t>
  </si>
  <si>
    <t>金埔园林</t>
  </si>
  <si>
    <t>光力转债</t>
  </si>
  <si>
    <t>光力科技</t>
  </si>
  <si>
    <t>晶能转债</t>
  </si>
  <si>
    <t>晶科能源</t>
  </si>
  <si>
    <t>正元转02</t>
  </si>
  <si>
    <t>正元智慧</t>
  </si>
  <si>
    <t>蓝晓转02</t>
  </si>
  <si>
    <t>蓝晓科技</t>
  </si>
  <si>
    <t>百洋转债</t>
  </si>
  <si>
    <t>百洋医药</t>
  </si>
  <si>
    <t>海能转债</t>
  </si>
  <si>
    <t>海能实业</t>
  </si>
  <si>
    <t>科思转债</t>
  </si>
  <si>
    <t>科思股份</t>
  </si>
  <si>
    <t>智尚转债</t>
  </si>
  <si>
    <t>南山智尚</t>
  </si>
  <si>
    <t>道氏转02</t>
  </si>
  <si>
    <t>道氏技术</t>
  </si>
  <si>
    <t>晓鸣转债</t>
  </si>
  <si>
    <t>晓鸣股份</t>
  </si>
  <si>
    <t>超达转债</t>
  </si>
  <si>
    <t>超达装备</t>
  </si>
  <si>
    <t>水羊转债</t>
  </si>
  <si>
    <t>水羊股份</t>
  </si>
  <si>
    <t>能辉转债</t>
  </si>
  <si>
    <t>能辉科技</t>
  </si>
  <si>
    <t>志特转债</t>
  </si>
  <si>
    <t>志特新材</t>
  </si>
  <si>
    <t>海顺转债</t>
  </si>
  <si>
    <t>海顺新材</t>
  </si>
  <si>
    <t>天阳转债</t>
  </si>
  <si>
    <t>天阳科技</t>
  </si>
  <si>
    <t>广联转债</t>
  </si>
  <si>
    <t>广联航空</t>
  </si>
  <si>
    <t>华特转债</t>
  </si>
  <si>
    <t>华特气体</t>
  </si>
  <si>
    <t>浙矿转债</t>
  </si>
  <si>
    <t>浙矿股份</t>
  </si>
  <si>
    <t>建龙转债</t>
  </si>
  <si>
    <t>建龙微纳</t>
  </si>
  <si>
    <t>立高转债</t>
  </si>
  <si>
    <t>立高食品</t>
  </si>
  <si>
    <t>花园转债</t>
  </si>
  <si>
    <t>花园生物</t>
  </si>
  <si>
    <t>测绘转债</t>
  </si>
  <si>
    <t>测绘股份</t>
  </si>
  <si>
    <t>精测转2</t>
  </si>
  <si>
    <t>精测电子</t>
  </si>
  <si>
    <t>百畅转债</t>
  </si>
  <si>
    <t>百川畅银</t>
  </si>
  <si>
    <t>精锻转债</t>
  </si>
  <si>
    <t>精锻科技</t>
  </si>
  <si>
    <t>天23转债</t>
  </si>
  <si>
    <t>天合光能</t>
  </si>
  <si>
    <t>睿创转债</t>
  </si>
  <si>
    <t>睿创微纳</t>
  </si>
  <si>
    <t>恒锋转债</t>
  </si>
  <si>
    <t>恒锋信息</t>
  </si>
  <si>
    <t>富淼转债</t>
  </si>
  <si>
    <t>富淼科技</t>
  </si>
  <si>
    <t>漱玉转债</t>
  </si>
  <si>
    <t>漱玉平民</t>
  </si>
  <si>
    <t>会通转债</t>
  </si>
  <si>
    <t>会通股份</t>
  </si>
  <si>
    <t>共同转债</t>
  </si>
  <si>
    <t>共同药业</t>
  </si>
  <si>
    <t>宏图转债</t>
  </si>
  <si>
    <t>航天宏图</t>
  </si>
  <si>
    <t>BBB+</t>
  </si>
  <si>
    <t>南电转债</t>
  </si>
  <si>
    <t>南大光电</t>
  </si>
  <si>
    <t>惠云转债</t>
  </si>
  <si>
    <t>惠云钛业</t>
  </si>
  <si>
    <t>正海转债</t>
  </si>
  <si>
    <t>正海磁材</t>
  </si>
  <si>
    <t>商络转债</t>
  </si>
  <si>
    <t>商络电子</t>
  </si>
  <si>
    <t>蒙泰转债</t>
  </si>
  <si>
    <t>蒙泰高新</t>
  </si>
  <si>
    <t>回天转债</t>
  </si>
  <si>
    <t>回天新材</t>
  </si>
  <si>
    <t>法本转债</t>
  </si>
  <si>
    <t>法本信息</t>
  </si>
  <si>
    <t>金沃转债</t>
  </si>
  <si>
    <t>金沃股份</t>
  </si>
  <si>
    <t>东杰转债</t>
  </si>
  <si>
    <t>东杰智能</t>
  </si>
  <si>
    <t>强联转债</t>
  </si>
  <si>
    <t>新强联</t>
  </si>
  <si>
    <t>泰福转债</t>
  </si>
  <si>
    <t>泰福泵业</t>
  </si>
  <si>
    <t>新致转债</t>
  </si>
  <si>
    <t>新致软件</t>
  </si>
  <si>
    <t>崧盛转债</t>
  </si>
  <si>
    <t>崧盛股份</t>
  </si>
  <si>
    <t>宙邦转债</t>
  </si>
  <si>
    <t>新宙邦</t>
  </si>
  <si>
    <t>科蓝转债</t>
  </si>
  <si>
    <t>科蓝软件</t>
  </si>
  <si>
    <t>博汇转债</t>
  </si>
  <si>
    <t>博汇股份</t>
  </si>
  <si>
    <t>中陆转债</t>
  </si>
  <si>
    <t>中环海陆</t>
  </si>
  <si>
    <t>深科转债</t>
  </si>
  <si>
    <t>深科达</t>
  </si>
  <si>
    <t>京源转债</t>
  </si>
  <si>
    <t>京源环保</t>
  </si>
  <si>
    <t>芯海转债</t>
  </si>
  <si>
    <t>芯海科技</t>
  </si>
  <si>
    <t>英力转债</t>
  </si>
  <si>
    <t>英力股份</t>
  </si>
  <si>
    <t>润禾转债</t>
  </si>
  <si>
    <t>润禾材料</t>
  </si>
  <si>
    <t>道通转债</t>
  </si>
  <si>
    <t>道通科技</t>
  </si>
  <si>
    <t>微芯转债</t>
  </si>
  <si>
    <t>微芯生物</t>
  </si>
  <si>
    <t>银微转债</t>
  </si>
  <si>
    <t>银河微电</t>
  </si>
  <si>
    <t>康医转债</t>
  </si>
  <si>
    <t>康泰医学</t>
  </si>
  <si>
    <t>九强转债</t>
  </si>
  <si>
    <t>九强生物</t>
  </si>
  <si>
    <t>洁特转债</t>
  </si>
  <si>
    <t>洁特生物</t>
  </si>
  <si>
    <t>华锐转债</t>
  </si>
  <si>
    <t>华锐精密</t>
  </si>
  <si>
    <t>海优转债</t>
  </si>
  <si>
    <t>海优新材</t>
  </si>
  <si>
    <t>通裕转债</t>
  </si>
  <si>
    <t>通裕重工</t>
  </si>
  <si>
    <t>上能转债</t>
  </si>
  <si>
    <t>上能电气</t>
  </si>
  <si>
    <t>中辰转债</t>
  </si>
  <si>
    <t>中辰股份</t>
  </si>
  <si>
    <t>中环转2</t>
  </si>
  <si>
    <t>中环环保</t>
  </si>
  <si>
    <t>药石转债</t>
  </si>
  <si>
    <t>药石科技</t>
  </si>
  <si>
    <t>裕兴转债</t>
  </si>
  <si>
    <t>裕兴股份</t>
  </si>
  <si>
    <t>山石转债</t>
  </si>
  <si>
    <t>山石网科</t>
  </si>
  <si>
    <t>申昊转债</t>
  </si>
  <si>
    <t>申昊科技</t>
  </si>
  <si>
    <t>宏丰转债</t>
  </si>
  <si>
    <t>温州宏丰</t>
  </si>
  <si>
    <t>阿拉转债</t>
  </si>
  <si>
    <t>阿拉丁</t>
  </si>
  <si>
    <t>天地转债</t>
  </si>
  <si>
    <t>天地数码</t>
  </si>
  <si>
    <t>铂科转债</t>
  </si>
  <si>
    <t>铂科新材</t>
  </si>
  <si>
    <t>丝路转债</t>
  </si>
  <si>
    <t>丝路视觉</t>
  </si>
  <si>
    <t>锦浪转债</t>
  </si>
  <si>
    <t>锦浪科技</t>
  </si>
  <si>
    <t>天奈转债</t>
  </si>
  <si>
    <t>天奈科技</t>
  </si>
  <si>
    <t>城市转债</t>
  </si>
  <si>
    <t>新城市</t>
  </si>
  <si>
    <t>博瑞转债</t>
  </si>
  <si>
    <t>博瑞医药</t>
  </si>
  <si>
    <t>泰林转债</t>
  </si>
  <si>
    <t>泰林生物</t>
  </si>
  <si>
    <t>卡倍转债</t>
  </si>
  <si>
    <t>回盛转债</t>
  </si>
  <si>
    <t>回盛生物</t>
  </si>
  <si>
    <t>华兴转债</t>
  </si>
  <si>
    <t>华兴源创</t>
  </si>
  <si>
    <t>设研转债</t>
  </si>
  <si>
    <t>设研院</t>
  </si>
  <si>
    <t>锦鸡转债</t>
  </si>
  <si>
    <t>锦鸡股份</t>
  </si>
  <si>
    <t>首华转债</t>
  </si>
  <si>
    <t>首华燃气</t>
  </si>
  <si>
    <t>瑞丰转债</t>
  </si>
  <si>
    <t>瑞丰高材</t>
  </si>
  <si>
    <t>元力转债</t>
  </si>
  <si>
    <t>元力股份</t>
  </si>
  <si>
    <t>江丰转债</t>
  </si>
  <si>
    <t>江丰电子</t>
  </si>
  <si>
    <t>富瀚转债</t>
  </si>
  <si>
    <t>富瀚微</t>
  </si>
  <si>
    <t>帝尔转债</t>
  </si>
  <si>
    <t>帝尔激光</t>
  </si>
  <si>
    <t>隆华转债</t>
  </si>
  <si>
    <t>隆华科技</t>
  </si>
  <si>
    <t>金博转债</t>
  </si>
  <si>
    <t>金博股份</t>
  </si>
  <si>
    <t>康泰转2</t>
  </si>
  <si>
    <t>康泰生物</t>
  </si>
  <si>
    <t>惠城转债</t>
  </si>
  <si>
    <t>惠城环保</t>
  </si>
  <si>
    <t>健帆转债</t>
  </si>
  <si>
    <t>健帆生物</t>
  </si>
  <si>
    <t>捷捷转债</t>
  </si>
  <si>
    <t>捷捷微电</t>
  </si>
  <si>
    <t>三角转债</t>
  </si>
  <si>
    <t>三角防务</t>
  </si>
  <si>
    <t>仙乐转债</t>
  </si>
  <si>
    <t>仙乐健康</t>
  </si>
  <si>
    <t>东财转3</t>
  </si>
  <si>
    <t>东方财富</t>
  </si>
  <si>
    <t>九典转债</t>
  </si>
  <si>
    <t>昌红转债</t>
  </si>
  <si>
    <t>昌红科技</t>
  </si>
  <si>
    <t>乐普转2</t>
  </si>
  <si>
    <t>乐普医疗</t>
  </si>
  <si>
    <t>温氏转债</t>
  </si>
  <si>
    <t>温氏股份</t>
  </si>
  <si>
    <t>正丹转债</t>
  </si>
  <si>
    <t>正丹股份</t>
  </si>
  <si>
    <t>拓尔转债</t>
  </si>
  <si>
    <t>拓尔思</t>
  </si>
  <si>
    <t>卫宁转债</t>
  </si>
  <si>
    <t>卫宁健康</t>
  </si>
  <si>
    <t>震安转债</t>
  </si>
  <si>
    <t>震安科技</t>
  </si>
  <si>
    <t>华自转债</t>
  </si>
  <si>
    <t>华自科技</t>
  </si>
  <si>
    <t>拓斯转债</t>
  </si>
  <si>
    <t>拓斯达</t>
  </si>
  <si>
    <t>嘉元转债</t>
  </si>
  <si>
    <t>嘉元科技</t>
  </si>
  <si>
    <t>朗科转债</t>
  </si>
  <si>
    <t>朗科智能</t>
  </si>
  <si>
    <t>一品转债</t>
  </si>
  <si>
    <t>一品红</t>
  </si>
  <si>
    <t>美力转债</t>
  </si>
  <si>
    <t>美力科技</t>
  </si>
  <si>
    <t>思创转债</t>
  </si>
  <si>
    <t>思创医惠</t>
  </si>
  <si>
    <t>BB</t>
  </si>
  <si>
    <t>星源转2</t>
  </si>
  <si>
    <t>星源材质</t>
  </si>
  <si>
    <t>金陵转债</t>
  </si>
  <si>
    <t>金陵体育</t>
  </si>
  <si>
    <t>长海转债</t>
  </si>
  <si>
    <t>长海股份</t>
  </si>
  <si>
    <t>三诺转债</t>
  </si>
  <si>
    <t>三诺生物</t>
  </si>
  <si>
    <t>九洲转2</t>
  </si>
  <si>
    <t>九洲集团</t>
  </si>
  <si>
    <t>威唐转债</t>
  </si>
  <si>
    <t>威唐工业</t>
  </si>
  <si>
    <t>海兰转债</t>
  </si>
  <si>
    <t>海兰信</t>
  </si>
  <si>
    <t>万顺转2</t>
  </si>
  <si>
    <t>万顺新材</t>
  </si>
  <si>
    <t>高澜转债</t>
  </si>
  <si>
    <t>高澜股份</t>
  </si>
  <si>
    <t>北陆转债</t>
  </si>
  <si>
    <t>北陆药业</t>
  </si>
  <si>
    <t>海波转债</t>
  </si>
  <si>
    <t>海波重科</t>
  </si>
  <si>
    <t>运达转债</t>
  </si>
  <si>
    <t>运达股份</t>
  </si>
  <si>
    <t>飞凯转债</t>
  </si>
  <si>
    <t>飞凯材料</t>
  </si>
  <si>
    <t>汉得转债</t>
  </si>
  <si>
    <t>汉得信息</t>
  </si>
  <si>
    <t>强力转债</t>
  </si>
  <si>
    <t>强力新材</t>
  </si>
  <si>
    <t>贝斯转债</t>
  </si>
  <si>
    <t>贝斯特</t>
  </si>
  <si>
    <t>隆利转债</t>
  </si>
  <si>
    <t>隆利科技</t>
  </si>
  <si>
    <t>同和转债</t>
  </si>
  <si>
    <t>同和药业</t>
  </si>
  <si>
    <t>天能转债</t>
  </si>
  <si>
    <t>天能重工</t>
  </si>
  <si>
    <t>乐歌转债</t>
  </si>
  <si>
    <t>乐歌股份</t>
  </si>
  <si>
    <t>鹏辉转债</t>
  </si>
  <si>
    <t>鹏辉能源</t>
  </si>
  <si>
    <t>金诺转债</t>
  </si>
  <si>
    <t>川金诺</t>
  </si>
  <si>
    <t>弘信转债</t>
  </si>
  <si>
    <t>弘信电子</t>
  </si>
  <si>
    <t>斯莱转债</t>
  </si>
  <si>
    <t>斯莱克</t>
  </si>
  <si>
    <t>赛意转债</t>
  </si>
  <si>
    <t>赛意信息</t>
  </si>
  <si>
    <t>宝莱转债</t>
  </si>
  <si>
    <t>宝莱特</t>
  </si>
  <si>
    <t>万孚转债</t>
  </si>
  <si>
    <t>万孚生物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</si>
</sst>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10" fontId="0" fillId="3" borderId="0" xfId="3" applyNumberFormat="1" applyFill="1" applyAlignment="1">
      <alignment vertical="center" wrapText="1"/>
    </xf>
    <xf numFmtId="14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0" fontId="0" fillId="2" borderId="0" xfId="0" applyFill="1" applyAlignment="1">
      <alignment vertical="center" wrapText="1"/>
    </xf>
    <xf numFmtId="22" fontId="0" fillId="0" borderId="0" xfId="0" applyNumberFormat="1">
      <alignment vertical="center"/>
    </xf>
    <xf numFmtId="10" fontId="0" fillId="2" borderId="0" xfId="3" applyNumberForma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96"/>
  <sheetViews>
    <sheetView tabSelected="1" zoomScaleSheetLayoutView="60" workbookViewId="0">
      <selection activeCell="P12" sqref="P12"/>
    </sheetView>
  </sheetViews>
  <sheetFormatPr defaultColWidth="9" defaultRowHeight="13.5"/>
  <cols>
    <col min="1" max="1" width="8.875" customWidth="1"/>
    <col min="2" max="2" width="9" customWidth="1"/>
    <col min="3" max="3" width="11.5" customWidth="1"/>
    <col min="4" max="6" width="8.875" customWidth="1"/>
    <col min="7" max="7" width="12.625" customWidth="1"/>
    <col min="8" max="8" width="11.5" customWidth="1"/>
    <col min="9" max="9" width="8.875" customWidth="1"/>
    <col min="10" max="10" width="15" customWidth="1"/>
    <col min="11" max="11" width="17.125" customWidth="1"/>
    <col min="12" max="12" width="12" customWidth="1"/>
    <col min="13" max="19" width="10.125" style="2" customWidth="1"/>
    <col min="20" max="20" width="10.125" style="3" customWidth="1"/>
    <col min="21" max="21" width="10.125" style="4" customWidth="1"/>
    <col min="22" max="23" width="10.125" style="2" customWidth="1"/>
    <col min="24" max="25" width="10.125" style="3" customWidth="1"/>
    <col min="26" max="27" width="10.125" style="2" customWidth="1"/>
  </cols>
  <sheetData>
    <row r="1" ht="51" customHeight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7" t="s">
        <v>19</v>
      </c>
      <c r="U1" s="9" t="s">
        <v>20</v>
      </c>
      <c r="V1" s="2" t="s">
        <v>21</v>
      </c>
      <c r="W1" s="2" t="s">
        <v>22</v>
      </c>
      <c r="X1" s="7" t="s">
        <v>23</v>
      </c>
      <c r="Y1" s="7" t="s">
        <v>24</v>
      </c>
      <c r="Z1" s="2" t="s">
        <v>25</v>
      </c>
      <c r="AA1" s="2" t="s">
        <v>26</v>
      </c>
    </row>
    <row r="2" spans="1:25">
      <c r="A2">
        <v>118058</v>
      </c>
      <c r="B2" t="s">
        <v>27</v>
      </c>
      <c r="C2" s="5">
        <v>45875</v>
      </c>
      <c r="D2">
        <v>718147</v>
      </c>
      <c r="E2">
        <v>688147</v>
      </c>
      <c r="F2" t="s">
        <v>28</v>
      </c>
      <c r="G2">
        <v>0.0014953</v>
      </c>
      <c r="I2" t="s">
        <v>29</v>
      </c>
      <c r="J2" s="5">
        <v>45801</v>
      </c>
      <c r="K2" s="5">
        <v>45853</v>
      </c>
      <c r="L2">
        <v>74</v>
      </c>
      <c r="M2" s="2">
        <v>22</v>
      </c>
      <c r="N2" s="2">
        <v>29.8</v>
      </c>
      <c r="O2" s="2">
        <v>29.6</v>
      </c>
      <c r="P2" s="2">
        <v>30.81</v>
      </c>
      <c r="Q2" s="2">
        <v>31</v>
      </c>
      <c r="R2" s="2">
        <v>34.07</v>
      </c>
      <c r="S2" s="2">
        <v>34.72</v>
      </c>
      <c r="T2" s="3">
        <f>S2-Q2</f>
        <v>3.72</v>
      </c>
      <c r="U2" s="4">
        <f>T2/Q2</f>
        <v>0.12</v>
      </c>
      <c r="V2" s="2">
        <v>33.7</v>
      </c>
      <c r="W2" s="2">
        <v>34.24</v>
      </c>
      <c r="X2" s="3">
        <f>V2-R2</f>
        <v>-0.369999999999997</v>
      </c>
      <c r="Y2" s="4">
        <f>X2/W2</f>
        <v>-0.0108060747663551</v>
      </c>
    </row>
    <row r="3" spans="1:27">
      <c r="A3">
        <v>127110</v>
      </c>
      <c r="B3" t="s">
        <v>30</v>
      </c>
      <c r="C3" s="5">
        <v>45847</v>
      </c>
      <c r="D3">
        <v>73816</v>
      </c>
      <c r="E3">
        <v>3816</v>
      </c>
      <c r="F3" t="s">
        <v>31</v>
      </c>
      <c r="G3">
        <v>0.0186422035</v>
      </c>
      <c r="H3" s="5">
        <v>45863</v>
      </c>
      <c r="I3" t="s">
        <v>32</v>
      </c>
      <c r="J3" s="5">
        <v>45702</v>
      </c>
      <c r="K3" s="5">
        <v>45736</v>
      </c>
      <c r="L3">
        <v>145</v>
      </c>
      <c r="M3" s="2">
        <v>111</v>
      </c>
      <c r="N3" s="2">
        <v>3.69</v>
      </c>
      <c r="O3" s="2">
        <v>3.68</v>
      </c>
      <c r="P3" s="2">
        <v>3.69</v>
      </c>
      <c r="Q3" s="2">
        <v>3.66</v>
      </c>
      <c r="R3" s="2">
        <v>3.73</v>
      </c>
      <c r="S3" s="2">
        <v>3.72</v>
      </c>
      <c r="T3" s="3">
        <f t="shared" ref="T3:T66" si="0">S3-Q3</f>
        <v>0.0600000000000001</v>
      </c>
      <c r="U3" s="4">
        <f t="shared" ref="U3:U66" si="1">T3/Q3</f>
        <v>0.0163934426229508</v>
      </c>
      <c r="V3" s="2">
        <v>3.7</v>
      </c>
      <c r="W3" s="2">
        <v>3.7</v>
      </c>
      <c r="X3" s="3">
        <f t="shared" ref="X3:X66" si="2">V3-R3</f>
        <v>-0.0299999999999998</v>
      </c>
      <c r="Y3" s="4">
        <f t="shared" ref="Y3:Y66" si="3">X3/W3</f>
        <v>-0.00810810810810805</v>
      </c>
      <c r="Z3" s="2">
        <v>3.8</v>
      </c>
      <c r="AA3" s="2">
        <v>3.75</v>
      </c>
    </row>
    <row r="4" spans="1:27">
      <c r="A4">
        <v>111023</v>
      </c>
      <c r="B4" t="s">
        <v>33</v>
      </c>
      <c r="C4" s="5">
        <v>45841</v>
      </c>
      <c r="D4">
        <v>713167</v>
      </c>
      <c r="E4">
        <v>605167</v>
      </c>
      <c r="F4" t="s">
        <v>34</v>
      </c>
      <c r="G4">
        <v>0.00173477</v>
      </c>
      <c r="H4" s="5">
        <v>45860</v>
      </c>
      <c r="I4" t="s">
        <v>29</v>
      </c>
      <c r="J4" s="5">
        <v>45769</v>
      </c>
      <c r="K4" s="5">
        <v>45820</v>
      </c>
      <c r="L4">
        <v>72</v>
      </c>
      <c r="M4" s="2">
        <v>21</v>
      </c>
      <c r="N4" s="2">
        <v>8.94</v>
      </c>
      <c r="O4" s="2">
        <v>8.93</v>
      </c>
      <c r="P4" s="2">
        <v>10.7</v>
      </c>
      <c r="Q4" s="2">
        <v>11.4</v>
      </c>
      <c r="R4" s="2">
        <v>12.38</v>
      </c>
      <c r="S4" s="2">
        <v>12.3</v>
      </c>
      <c r="T4" s="3">
        <f t="shared" si="0"/>
        <v>0.9</v>
      </c>
      <c r="U4" s="4">
        <f t="shared" si="1"/>
        <v>0.0789473684210527</v>
      </c>
      <c r="V4" s="2">
        <v>11.75</v>
      </c>
      <c r="W4" s="2">
        <v>11.83</v>
      </c>
      <c r="X4" s="3">
        <f t="shared" si="2"/>
        <v>-0.630000000000001</v>
      </c>
      <c r="Y4" s="4">
        <f t="shared" si="3"/>
        <v>-0.0532544378698225</v>
      </c>
      <c r="Z4" s="2">
        <v>11.4</v>
      </c>
      <c r="AA4" s="2">
        <v>11.29</v>
      </c>
    </row>
    <row r="5" spans="1:27">
      <c r="A5">
        <v>113696</v>
      </c>
      <c r="B5" t="s">
        <v>35</v>
      </c>
      <c r="C5" s="5">
        <v>45839</v>
      </c>
      <c r="D5">
        <v>754596</v>
      </c>
      <c r="E5">
        <v>603596</v>
      </c>
      <c r="F5" t="s">
        <v>36</v>
      </c>
      <c r="G5">
        <v>0.00894996</v>
      </c>
      <c r="H5" s="5">
        <v>45866</v>
      </c>
      <c r="I5" t="s">
        <v>29</v>
      </c>
      <c r="J5" s="5">
        <v>45713</v>
      </c>
      <c r="K5" s="5">
        <v>45751</v>
      </c>
      <c r="L5">
        <v>126</v>
      </c>
      <c r="M5" s="2">
        <v>88</v>
      </c>
      <c r="N5" s="2">
        <v>58.22</v>
      </c>
      <c r="O5" s="2">
        <v>61</v>
      </c>
      <c r="P5" s="2">
        <v>55.28</v>
      </c>
      <c r="Q5" s="2">
        <v>53.56</v>
      </c>
      <c r="R5" s="2">
        <v>51.59</v>
      </c>
      <c r="S5" s="2">
        <v>52.69</v>
      </c>
      <c r="T5" s="3">
        <f t="shared" si="0"/>
        <v>-0.870000000000005</v>
      </c>
      <c r="U5" s="4">
        <f t="shared" si="1"/>
        <v>-0.0162434652725916</v>
      </c>
      <c r="V5" s="2">
        <v>51.9</v>
      </c>
      <c r="W5" s="2">
        <v>50.66</v>
      </c>
      <c r="X5" s="3">
        <f t="shared" si="2"/>
        <v>0.309999999999995</v>
      </c>
      <c r="Y5" s="4">
        <f t="shared" si="3"/>
        <v>0.00611922621397543</v>
      </c>
      <c r="Z5" s="2">
        <v>50</v>
      </c>
      <c r="AA5" s="2">
        <v>49.7</v>
      </c>
    </row>
    <row r="6" spans="1:27">
      <c r="A6">
        <v>118057</v>
      </c>
      <c r="B6" t="s">
        <v>37</v>
      </c>
      <c r="C6" s="5">
        <v>45834</v>
      </c>
      <c r="D6">
        <v>718362</v>
      </c>
      <c r="E6">
        <v>688362</v>
      </c>
      <c r="F6" t="s">
        <v>38</v>
      </c>
      <c r="G6">
        <v>0.004213</v>
      </c>
      <c r="H6" s="5">
        <v>45854</v>
      </c>
      <c r="I6" t="s">
        <v>39</v>
      </c>
      <c r="J6" s="5">
        <v>45755</v>
      </c>
      <c r="K6" s="5">
        <v>45804</v>
      </c>
      <c r="L6">
        <v>79</v>
      </c>
      <c r="M6" s="2">
        <v>30</v>
      </c>
      <c r="N6" s="2">
        <v>24.87</v>
      </c>
      <c r="O6" s="2">
        <v>24.78</v>
      </c>
      <c r="P6" s="2">
        <v>26</v>
      </c>
      <c r="Q6" s="2">
        <v>25.68</v>
      </c>
      <c r="R6" s="2">
        <v>28.98</v>
      </c>
      <c r="S6" s="2">
        <v>29.46</v>
      </c>
      <c r="T6" s="3">
        <f t="shared" si="0"/>
        <v>3.78</v>
      </c>
      <c r="U6" s="4">
        <f t="shared" si="1"/>
        <v>0.147196261682243</v>
      </c>
      <c r="V6" s="2">
        <v>28.91</v>
      </c>
      <c r="W6" s="2">
        <v>28.43</v>
      </c>
      <c r="X6" s="3">
        <f t="shared" si="2"/>
        <v>-0.0700000000000003</v>
      </c>
      <c r="Y6" s="4">
        <f t="shared" si="3"/>
        <v>-0.00246218782975731</v>
      </c>
      <c r="Z6" s="2">
        <v>28.09</v>
      </c>
      <c r="AA6" s="2">
        <v>27.98</v>
      </c>
    </row>
    <row r="7" spans="1:27">
      <c r="A7">
        <v>113695</v>
      </c>
      <c r="B7" t="s">
        <v>40</v>
      </c>
      <c r="C7" s="5">
        <v>45828</v>
      </c>
      <c r="D7">
        <v>754097</v>
      </c>
      <c r="E7">
        <v>603097</v>
      </c>
      <c r="F7" t="s">
        <v>41</v>
      </c>
      <c r="G7">
        <v>0.0003492</v>
      </c>
      <c r="H7" s="5">
        <v>45848</v>
      </c>
      <c r="I7" t="s">
        <v>39</v>
      </c>
      <c r="J7" s="5">
        <v>45735</v>
      </c>
      <c r="K7" s="5">
        <v>45791</v>
      </c>
      <c r="L7">
        <v>93</v>
      </c>
      <c r="M7" s="2">
        <v>37</v>
      </c>
      <c r="N7" s="2">
        <v>23.66</v>
      </c>
      <c r="O7" s="2">
        <v>23.91</v>
      </c>
      <c r="P7" s="2">
        <v>23.02</v>
      </c>
      <c r="Q7" s="2">
        <v>22.68</v>
      </c>
      <c r="R7" s="2">
        <v>23.77</v>
      </c>
      <c r="S7" s="2">
        <v>23.74</v>
      </c>
      <c r="T7" s="3">
        <f t="shared" si="0"/>
        <v>1.06</v>
      </c>
      <c r="U7" s="4">
        <f t="shared" si="1"/>
        <v>0.04673721340388</v>
      </c>
      <c r="V7" s="2">
        <v>21.5</v>
      </c>
      <c r="W7" s="2">
        <v>21.64</v>
      </c>
      <c r="X7" s="3">
        <f t="shared" si="2"/>
        <v>-2.27</v>
      </c>
      <c r="Y7" s="4">
        <f t="shared" si="3"/>
        <v>-0.104898336414048</v>
      </c>
      <c r="Z7" s="2">
        <v>22.35</v>
      </c>
      <c r="AA7" s="2">
        <v>21.98</v>
      </c>
    </row>
    <row r="8" spans="1:27">
      <c r="A8">
        <v>111022</v>
      </c>
      <c r="B8" t="s">
        <v>42</v>
      </c>
      <c r="C8" s="5">
        <v>45826</v>
      </c>
      <c r="D8">
        <v>713319</v>
      </c>
      <c r="E8">
        <v>605319</v>
      </c>
      <c r="F8" t="s">
        <v>43</v>
      </c>
      <c r="G8">
        <v>0.00091285</v>
      </c>
      <c r="H8" s="5">
        <v>45852</v>
      </c>
      <c r="I8" t="s">
        <v>44</v>
      </c>
      <c r="J8" s="5">
        <v>45743</v>
      </c>
      <c r="K8" s="5">
        <v>45794</v>
      </c>
      <c r="L8">
        <v>83</v>
      </c>
      <c r="M8" s="2">
        <v>32</v>
      </c>
      <c r="N8" s="2">
        <v>32.13</v>
      </c>
      <c r="O8" s="2">
        <v>32.29</v>
      </c>
      <c r="P8" s="2">
        <v>32.88</v>
      </c>
      <c r="Q8" s="2">
        <v>33.65</v>
      </c>
      <c r="R8" s="2">
        <v>33.9</v>
      </c>
      <c r="S8" s="2">
        <v>32.55</v>
      </c>
      <c r="T8" s="3">
        <f t="shared" si="0"/>
        <v>-1.1</v>
      </c>
      <c r="U8" s="4">
        <f t="shared" si="1"/>
        <v>-0.0326894502228827</v>
      </c>
      <c r="V8" s="2">
        <v>31</v>
      </c>
      <c r="W8" s="2">
        <v>32.08</v>
      </c>
      <c r="X8" s="3">
        <f t="shared" si="2"/>
        <v>-2.9</v>
      </c>
      <c r="Y8" s="4">
        <f t="shared" si="3"/>
        <v>-0.0903990024937655</v>
      </c>
      <c r="Z8" s="2">
        <v>31.9</v>
      </c>
      <c r="AA8" s="2">
        <v>31.66</v>
      </c>
    </row>
    <row r="9" spans="1:27">
      <c r="A9">
        <v>123257</v>
      </c>
      <c r="B9" t="s">
        <v>45</v>
      </c>
      <c r="C9" s="5">
        <v>45824</v>
      </c>
      <c r="D9">
        <v>370866</v>
      </c>
      <c r="E9">
        <v>300866</v>
      </c>
      <c r="F9" t="s">
        <v>46</v>
      </c>
      <c r="G9">
        <v>0.0026475779</v>
      </c>
      <c r="H9" s="5">
        <v>45842</v>
      </c>
      <c r="I9" t="s">
        <v>47</v>
      </c>
      <c r="J9" s="5">
        <v>45611</v>
      </c>
      <c r="K9" s="5">
        <v>45694</v>
      </c>
      <c r="L9">
        <v>213</v>
      </c>
      <c r="M9" s="2">
        <v>130</v>
      </c>
      <c r="N9" s="2">
        <v>86.58</v>
      </c>
      <c r="O9" s="2">
        <v>83.12</v>
      </c>
      <c r="P9" s="2">
        <v>112.09</v>
      </c>
      <c r="Q9" s="2">
        <v>111.62</v>
      </c>
      <c r="R9" s="2">
        <v>110.98</v>
      </c>
      <c r="S9" s="2">
        <v>111.28</v>
      </c>
      <c r="T9" s="3">
        <f t="shared" si="0"/>
        <v>-0.340000000000003</v>
      </c>
      <c r="U9" s="4">
        <f t="shared" si="1"/>
        <v>-0.00304604909514427</v>
      </c>
      <c r="V9" s="2">
        <v>110.01</v>
      </c>
      <c r="W9" s="2">
        <v>106.6</v>
      </c>
      <c r="X9" s="3">
        <f t="shared" si="2"/>
        <v>-0.969999999999999</v>
      </c>
      <c r="Y9" s="4">
        <f t="shared" si="3"/>
        <v>-0.00909943714821763</v>
      </c>
      <c r="Z9" s="2">
        <v>117.49</v>
      </c>
      <c r="AA9" s="2">
        <v>115.15</v>
      </c>
    </row>
    <row r="10" spans="1:27">
      <c r="A10">
        <v>127109</v>
      </c>
      <c r="B10" t="s">
        <v>48</v>
      </c>
      <c r="C10" s="5">
        <v>45824</v>
      </c>
      <c r="D10">
        <v>72125</v>
      </c>
      <c r="E10">
        <v>2125</v>
      </c>
      <c r="F10" t="s">
        <v>49</v>
      </c>
      <c r="G10">
        <v>0.0015321157</v>
      </c>
      <c r="H10" s="5">
        <v>45842</v>
      </c>
      <c r="I10" t="s">
        <v>29</v>
      </c>
      <c r="J10" s="5">
        <v>45726</v>
      </c>
      <c r="K10" s="5">
        <v>45777</v>
      </c>
      <c r="L10">
        <v>98</v>
      </c>
      <c r="M10" s="2">
        <v>47</v>
      </c>
      <c r="N10" s="2">
        <v>11.13</v>
      </c>
      <c r="O10" s="2">
        <v>11.01</v>
      </c>
      <c r="P10" s="2">
        <v>9.95</v>
      </c>
      <c r="Q10" s="2">
        <v>9.83</v>
      </c>
      <c r="R10" s="2">
        <v>10.22</v>
      </c>
      <c r="S10" s="2">
        <v>10.37</v>
      </c>
      <c r="T10" s="3">
        <f t="shared" si="0"/>
        <v>0.539999999999999</v>
      </c>
      <c r="U10" s="4">
        <f t="shared" si="1"/>
        <v>0.0549338758901322</v>
      </c>
      <c r="V10" s="2">
        <v>10.09</v>
      </c>
      <c r="W10" s="2">
        <v>10.17</v>
      </c>
      <c r="X10" s="3">
        <f t="shared" si="2"/>
        <v>-0.130000000000001</v>
      </c>
      <c r="Y10" s="4">
        <f t="shared" si="3"/>
        <v>-0.0127826941986235</v>
      </c>
      <c r="Z10" s="2">
        <v>14.11</v>
      </c>
      <c r="AA10" s="2">
        <v>13.59</v>
      </c>
    </row>
    <row r="11" spans="1:27">
      <c r="A11">
        <v>118056</v>
      </c>
      <c r="B11" t="s">
        <v>50</v>
      </c>
      <c r="C11" s="5">
        <v>45819</v>
      </c>
      <c r="D11">
        <v>718401</v>
      </c>
      <c r="E11">
        <v>688401</v>
      </c>
      <c r="F11" t="s">
        <v>51</v>
      </c>
      <c r="G11">
        <v>0.00165975</v>
      </c>
      <c r="H11" s="5">
        <v>45848</v>
      </c>
      <c r="I11" t="s">
        <v>44</v>
      </c>
      <c r="J11" s="5">
        <v>45738</v>
      </c>
      <c r="K11" s="5">
        <v>45786</v>
      </c>
      <c r="L11">
        <v>81</v>
      </c>
      <c r="M11" s="2">
        <v>33</v>
      </c>
      <c r="N11" s="2">
        <v>31.27</v>
      </c>
      <c r="O11" s="2">
        <v>31.13</v>
      </c>
      <c r="P11" s="2">
        <v>34.99</v>
      </c>
      <c r="Q11" s="2">
        <v>33.59</v>
      </c>
      <c r="R11" s="2">
        <v>32.75</v>
      </c>
      <c r="S11" s="2">
        <v>31.9</v>
      </c>
      <c r="T11" s="3">
        <f t="shared" si="0"/>
        <v>-1.69</v>
      </c>
      <c r="U11" s="4">
        <f t="shared" si="1"/>
        <v>-0.0503125930336411</v>
      </c>
      <c r="V11" s="2">
        <v>31.18</v>
      </c>
      <c r="W11" s="2">
        <v>31.3</v>
      </c>
      <c r="X11" s="3">
        <f t="shared" si="2"/>
        <v>-1.57</v>
      </c>
      <c r="Y11" s="4">
        <f t="shared" si="3"/>
        <v>-0.0501597444089457</v>
      </c>
      <c r="Z11" s="2">
        <v>33.72</v>
      </c>
      <c r="AA11" s="2">
        <v>33.8</v>
      </c>
    </row>
    <row r="12" s="1" customFormat="1" spans="1:27">
      <c r="A12" s="1">
        <v>123256</v>
      </c>
      <c r="B12" s="1" t="s">
        <v>52</v>
      </c>
      <c r="C12" s="6">
        <v>45806</v>
      </c>
      <c r="D12" s="1">
        <v>370969</v>
      </c>
      <c r="E12" s="1">
        <v>300969</v>
      </c>
      <c r="F12" s="1" t="s">
        <v>53</v>
      </c>
      <c r="G12" s="1">
        <v>0.0003825294</v>
      </c>
      <c r="H12" s="6">
        <v>45825</v>
      </c>
      <c r="I12" s="1" t="s">
        <v>39</v>
      </c>
      <c r="J12" s="6">
        <v>45628</v>
      </c>
      <c r="K12" s="6">
        <v>45698</v>
      </c>
      <c r="L12" s="1">
        <v>178</v>
      </c>
      <c r="M12" s="7">
        <v>108</v>
      </c>
      <c r="N12" s="7">
        <v>85.18</v>
      </c>
      <c r="O12" s="7">
        <v>88.79</v>
      </c>
      <c r="P12" s="7">
        <v>103.8</v>
      </c>
      <c r="Q12" s="7">
        <v>103.49</v>
      </c>
      <c r="R12" s="7">
        <v>62.02</v>
      </c>
      <c r="S12" s="7">
        <v>62.2</v>
      </c>
      <c r="T12" s="7">
        <f t="shared" si="0"/>
        <v>-41.29</v>
      </c>
      <c r="U12" s="9">
        <f t="shared" si="1"/>
        <v>-0.398975746448932</v>
      </c>
      <c r="V12" s="7">
        <v>58.7</v>
      </c>
      <c r="W12" s="7">
        <v>59.79</v>
      </c>
      <c r="X12" s="7">
        <f t="shared" si="2"/>
        <v>-3.32</v>
      </c>
      <c r="Y12" s="9">
        <f t="shared" si="3"/>
        <v>-0.0555276802140826</v>
      </c>
      <c r="Z12" s="7">
        <v>58.14</v>
      </c>
      <c r="AA12" s="7">
        <v>58.94</v>
      </c>
    </row>
    <row r="13" spans="1:27">
      <c r="A13">
        <v>118055</v>
      </c>
      <c r="B13" t="s">
        <v>54</v>
      </c>
      <c r="C13" s="5">
        <v>45756</v>
      </c>
      <c r="D13">
        <v>718372</v>
      </c>
      <c r="E13">
        <v>688372</v>
      </c>
      <c r="F13" t="s">
        <v>55</v>
      </c>
      <c r="G13">
        <v>0.00471648</v>
      </c>
      <c r="H13" s="5">
        <v>45777</v>
      </c>
      <c r="I13" t="s">
        <v>29</v>
      </c>
      <c r="J13" s="5">
        <v>45636</v>
      </c>
      <c r="K13" s="5">
        <v>45694</v>
      </c>
      <c r="L13">
        <v>120</v>
      </c>
      <c r="M13" s="2">
        <v>62</v>
      </c>
      <c r="N13" s="2">
        <v>62.4</v>
      </c>
      <c r="O13" s="2">
        <v>61.28</v>
      </c>
      <c r="P13" s="2">
        <v>73</v>
      </c>
      <c r="Q13" s="2">
        <v>76.36</v>
      </c>
      <c r="R13" s="2">
        <v>73.8</v>
      </c>
      <c r="S13" s="2">
        <v>72.32</v>
      </c>
      <c r="T13" s="3">
        <f t="shared" si="0"/>
        <v>-4.04000000000001</v>
      </c>
      <c r="U13" s="4">
        <f t="shared" si="1"/>
        <v>-0.0529072812991096</v>
      </c>
      <c r="V13" s="2">
        <v>69.99</v>
      </c>
      <c r="W13" s="2">
        <v>73.42</v>
      </c>
      <c r="X13" s="3">
        <f t="shared" si="2"/>
        <v>-3.81</v>
      </c>
      <c r="Y13" s="4">
        <f t="shared" si="3"/>
        <v>-0.0518932171070553</v>
      </c>
      <c r="Z13" s="2">
        <v>76.33</v>
      </c>
      <c r="AA13" s="2">
        <v>78.94</v>
      </c>
    </row>
    <row r="14" spans="1:27">
      <c r="A14">
        <v>113694</v>
      </c>
      <c r="B14" t="s">
        <v>56</v>
      </c>
      <c r="C14" s="5">
        <v>45755</v>
      </c>
      <c r="D14">
        <v>754628</v>
      </c>
      <c r="E14">
        <v>603628</v>
      </c>
      <c r="F14" t="s">
        <v>57</v>
      </c>
      <c r="G14">
        <v>0.00208787</v>
      </c>
      <c r="H14" s="5">
        <v>45772</v>
      </c>
      <c r="I14" t="s">
        <v>39</v>
      </c>
      <c r="J14" s="5">
        <v>45618</v>
      </c>
      <c r="K14" s="5">
        <v>45694</v>
      </c>
      <c r="L14">
        <v>137</v>
      </c>
      <c r="M14" s="2">
        <v>61</v>
      </c>
      <c r="N14" s="2">
        <v>14.35</v>
      </c>
      <c r="O14" s="2">
        <v>13.77</v>
      </c>
      <c r="P14" s="2">
        <v>12.35</v>
      </c>
      <c r="Q14" s="2">
        <v>12.62</v>
      </c>
      <c r="R14" s="2">
        <v>12.34</v>
      </c>
      <c r="S14" s="2">
        <v>11.56</v>
      </c>
      <c r="T14" s="3">
        <f t="shared" si="0"/>
        <v>-1.06</v>
      </c>
      <c r="U14" s="4">
        <f t="shared" si="1"/>
        <v>-0.0839936608557844</v>
      </c>
      <c r="V14" s="2">
        <v>10.8</v>
      </c>
      <c r="W14" s="2">
        <v>10.95</v>
      </c>
      <c r="X14" s="3">
        <f t="shared" si="2"/>
        <v>-1.54</v>
      </c>
      <c r="Y14" s="4">
        <f t="shared" si="3"/>
        <v>-0.140639269406393</v>
      </c>
      <c r="Z14" s="2">
        <v>11.24</v>
      </c>
      <c r="AA14" s="2">
        <v>11.28</v>
      </c>
    </row>
    <row r="15" spans="1:27">
      <c r="A15">
        <v>118054</v>
      </c>
      <c r="B15" t="s">
        <v>58</v>
      </c>
      <c r="C15" s="5">
        <v>45754</v>
      </c>
      <c r="D15">
        <v>718019</v>
      </c>
      <c r="E15">
        <v>688019</v>
      </c>
      <c r="F15" t="s">
        <v>59</v>
      </c>
      <c r="G15">
        <v>0.00398045</v>
      </c>
      <c r="H15" s="5">
        <v>45772</v>
      </c>
      <c r="I15" t="s">
        <v>44</v>
      </c>
      <c r="J15" s="5">
        <v>45548</v>
      </c>
      <c r="K15" s="5">
        <v>45618</v>
      </c>
      <c r="L15">
        <v>206</v>
      </c>
      <c r="M15" s="2">
        <v>136</v>
      </c>
      <c r="N15" s="2">
        <v>107.53</v>
      </c>
      <c r="O15" s="2">
        <v>103.8</v>
      </c>
      <c r="P15" s="2">
        <v>157</v>
      </c>
      <c r="Q15" s="2">
        <v>149.28</v>
      </c>
      <c r="R15" s="2">
        <v>163.02</v>
      </c>
      <c r="S15" s="2">
        <v>161.5</v>
      </c>
      <c r="T15" s="3">
        <f t="shared" si="0"/>
        <v>12.22</v>
      </c>
      <c r="U15" s="4">
        <f t="shared" si="1"/>
        <v>0.0818595927116827</v>
      </c>
      <c r="V15" s="2">
        <v>146.11</v>
      </c>
      <c r="W15" s="2">
        <v>152</v>
      </c>
      <c r="X15" s="3">
        <f t="shared" si="2"/>
        <v>-16.91</v>
      </c>
      <c r="Y15" s="4">
        <f t="shared" si="3"/>
        <v>-0.11125</v>
      </c>
      <c r="Z15" s="2">
        <v>170.8</v>
      </c>
      <c r="AA15" s="2">
        <v>166.51</v>
      </c>
    </row>
    <row r="16" spans="1:27">
      <c r="A16">
        <v>123255</v>
      </c>
      <c r="B16" t="s">
        <v>60</v>
      </c>
      <c r="C16" s="5">
        <v>45749</v>
      </c>
      <c r="D16">
        <v>370054</v>
      </c>
      <c r="E16">
        <v>300054</v>
      </c>
      <c r="F16" t="s">
        <v>61</v>
      </c>
      <c r="G16">
        <v>0.0032754809</v>
      </c>
      <c r="H16" s="5">
        <v>45770</v>
      </c>
      <c r="I16" t="s">
        <v>29</v>
      </c>
      <c r="J16" s="5">
        <v>45681</v>
      </c>
      <c r="K16" s="5">
        <v>45735</v>
      </c>
      <c r="L16">
        <v>68</v>
      </c>
      <c r="M16" s="2">
        <v>14</v>
      </c>
      <c r="N16" s="2">
        <v>26.65</v>
      </c>
      <c r="O16" s="2">
        <v>26.44</v>
      </c>
      <c r="P16" s="2">
        <v>28.5</v>
      </c>
      <c r="Q16" s="2">
        <v>28.13</v>
      </c>
      <c r="R16" s="2">
        <v>28.59</v>
      </c>
      <c r="S16" s="2">
        <v>29.07</v>
      </c>
      <c r="T16" s="3">
        <f t="shared" si="0"/>
        <v>0.940000000000001</v>
      </c>
      <c r="U16" s="4">
        <f t="shared" si="1"/>
        <v>0.0334162815499467</v>
      </c>
      <c r="V16" s="2">
        <v>28.79</v>
      </c>
      <c r="W16" s="2">
        <v>28.46</v>
      </c>
      <c r="X16" s="3">
        <f t="shared" si="2"/>
        <v>0.199999999999999</v>
      </c>
      <c r="Y16" s="4">
        <f t="shared" si="3"/>
        <v>0.00702740688685872</v>
      </c>
      <c r="Z16" s="2">
        <v>30.41</v>
      </c>
      <c r="AA16" s="2">
        <v>30.27</v>
      </c>
    </row>
    <row r="17" spans="1:27">
      <c r="A17">
        <v>127108</v>
      </c>
      <c r="B17" t="s">
        <v>62</v>
      </c>
      <c r="C17" s="5">
        <v>45744</v>
      </c>
      <c r="D17">
        <v>70591</v>
      </c>
      <c r="E17">
        <v>591</v>
      </c>
      <c r="F17" t="s">
        <v>63</v>
      </c>
      <c r="G17">
        <v>0.0135084085</v>
      </c>
      <c r="H17" s="5">
        <v>45763</v>
      </c>
      <c r="I17" t="s">
        <v>47</v>
      </c>
      <c r="J17" s="5">
        <v>45635</v>
      </c>
      <c r="K17" s="5">
        <v>45674</v>
      </c>
      <c r="L17">
        <v>109</v>
      </c>
      <c r="M17" s="2">
        <v>70</v>
      </c>
      <c r="N17" s="2">
        <v>5.16</v>
      </c>
      <c r="O17" s="2">
        <v>5.13</v>
      </c>
      <c r="P17" s="2">
        <v>4.46</v>
      </c>
      <c r="Q17" s="2">
        <v>4.46</v>
      </c>
      <c r="R17" s="2">
        <v>4.63</v>
      </c>
      <c r="S17" s="2">
        <v>4.56</v>
      </c>
      <c r="T17" s="3">
        <f t="shared" si="0"/>
        <v>0.0999999999999996</v>
      </c>
      <c r="U17" s="4">
        <f t="shared" si="1"/>
        <v>0.022421524663677</v>
      </c>
      <c r="V17" s="2">
        <v>4.51</v>
      </c>
      <c r="W17" s="2">
        <v>4.46</v>
      </c>
      <c r="X17" s="3">
        <f t="shared" si="2"/>
        <v>-0.12</v>
      </c>
      <c r="Y17" s="4">
        <f t="shared" si="3"/>
        <v>-0.0269058295964126</v>
      </c>
      <c r="Z17" s="2">
        <v>4.33</v>
      </c>
      <c r="AA17" s="2">
        <v>4.34</v>
      </c>
    </row>
    <row r="18" spans="1:27">
      <c r="A18">
        <v>123254</v>
      </c>
      <c r="B18" t="s">
        <v>64</v>
      </c>
      <c r="C18" s="5">
        <v>45740</v>
      </c>
      <c r="D18">
        <v>370014</v>
      </c>
      <c r="E18">
        <v>300014</v>
      </c>
      <c r="F18" t="s">
        <v>65</v>
      </c>
      <c r="G18">
        <v>0.0396868603</v>
      </c>
      <c r="H18" s="5">
        <v>45758</v>
      </c>
      <c r="I18" t="s">
        <v>47</v>
      </c>
      <c r="J18" s="5">
        <v>45604</v>
      </c>
      <c r="K18" s="5">
        <v>45653</v>
      </c>
      <c r="L18">
        <v>136</v>
      </c>
      <c r="M18" s="2">
        <v>87</v>
      </c>
      <c r="N18" s="2">
        <v>52.59</v>
      </c>
      <c r="O18" s="2">
        <v>51.47</v>
      </c>
      <c r="P18" s="2">
        <v>47.85</v>
      </c>
      <c r="Q18" s="2">
        <v>47.03</v>
      </c>
      <c r="R18" s="2">
        <v>51.58</v>
      </c>
      <c r="S18" s="2">
        <v>50.96</v>
      </c>
      <c r="T18" s="3">
        <f t="shared" si="0"/>
        <v>3.93</v>
      </c>
      <c r="U18" s="4">
        <f t="shared" si="1"/>
        <v>0.0835636827556878</v>
      </c>
      <c r="V18" s="2">
        <v>50.3</v>
      </c>
      <c r="W18" s="2">
        <v>48.67</v>
      </c>
      <c r="X18" s="3">
        <f t="shared" si="2"/>
        <v>-1.28</v>
      </c>
      <c r="Y18" s="4">
        <f t="shared" si="3"/>
        <v>-0.0262995685227039</v>
      </c>
      <c r="Z18" s="2">
        <v>40</v>
      </c>
      <c r="AA18" s="2">
        <v>41.36</v>
      </c>
    </row>
    <row r="19" spans="1:27">
      <c r="A19">
        <v>113693</v>
      </c>
      <c r="B19" t="s">
        <v>66</v>
      </c>
      <c r="C19" s="5">
        <v>45734</v>
      </c>
      <c r="D19">
        <v>754801</v>
      </c>
      <c r="E19">
        <v>603801</v>
      </c>
      <c r="F19" t="s">
        <v>67</v>
      </c>
      <c r="G19">
        <v>0.00171145</v>
      </c>
      <c r="H19" s="5">
        <v>45755</v>
      </c>
      <c r="I19" t="s">
        <v>29</v>
      </c>
      <c r="J19" s="5">
        <v>45652</v>
      </c>
      <c r="K19" s="5">
        <v>45706</v>
      </c>
      <c r="L19">
        <v>82</v>
      </c>
      <c r="M19" s="2">
        <v>28</v>
      </c>
      <c r="N19" s="2">
        <v>13.04</v>
      </c>
      <c r="O19" s="2">
        <v>13.08</v>
      </c>
      <c r="P19" s="2">
        <v>12.02</v>
      </c>
      <c r="Q19" s="2">
        <v>11.75</v>
      </c>
      <c r="R19" s="2">
        <v>12.66</v>
      </c>
      <c r="S19" s="2">
        <v>13.07</v>
      </c>
      <c r="T19" s="3">
        <f t="shared" si="0"/>
        <v>1.32</v>
      </c>
      <c r="U19" s="4">
        <f t="shared" si="1"/>
        <v>0.112340425531915</v>
      </c>
      <c r="V19" s="2">
        <v>12.58</v>
      </c>
      <c r="W19" s="2">
        <v>13.01</v>
      </c>
      <c r="X19" s="3">
        <f t="shared" si="2"/>
        <v>-0.0800000000000001</v>
      </c>
      <c r="Y19" s="4">
        <f t="shared" si="3"/>
        <v>-0.00614911606456572</v>
      </c>
      <c r="Z19" s="2">
        <v>10.35</v>
      </c>
      <c r="AA19" s="2">
        <v>10.99</v>
      </c>
    </row>
    <row r="20" spans="1:27">
      <c r="A20">
        <v>118053</v>
      </c>
      <c r="B20" t="s">
        <v>68</v>
      </c>
      <c r="C20" s="5">
        <v>45734</v>
      </c>
      <c r="D20">
        <v>718596</v>
      </c>
      <c r="E20">
        <v>688596</v>
      </c>
      <c r="F20" t="s">
        <v>69</v>
      </c>
      <c r="G20">
        <v>0.00392766</v>
      </c>
      <c r="H20" s="5">
        <v>45750</v>
      </c>
      <c r="I20" t="s">
        <v>29</v>
      </c>
      <c r="J20" s="5">
        <v>45668</v>
      </c>
      <c r="K20" s="8">
        <v>45723</v>
      </c>
      <c r="L20">
        <v>66</v>
      </c>
      <c r="M20" s="2">
        <v>11</v>
      </c>
      <c r="N20" s="2">
        <v>33.53</v>
      </c>
      <c r="O20" s="2">
        <v>34.11</v>
      </c>
      <c r="P20" s="2">
        <v>40.14</v>
      </c>
      <c r="Q20" s="2">
        <v>39.82</v>
      </c>
      <c r="R20" s="2">
        <v>39.12</v>
      </c>
      <c r="S20" s="2">
        <v>38.88</v>
      </c>
      <c r="T20" s="3">
        <f t="shared" si="0"/>
        <v>-0.939999999999998</v>
      </c>
      <c r="U20" s="4">
        <f t="shared" si="1"/>
        <v>-0.0236062280261175</v>
      </c>
      <c r="V20" s="2">
        <v>38.32</v>
      </c>
      <c r="W20" s="2">
        <v>38.41</v>
      </c>
      <c r="X20" s="3">
        <f t="shared" si="2"/>
        <v>-0.799999999999997</v>
      </c>
      <c r="Y20" s="4">
        <f t="shared" si="3"/>
        <v>-0.020827909398594</v>
      </c>
      <c r="Z20" s="2">
        <v>39.53</v>
      </c>
      <c r="AA20" s="2">
        <v>38.91</v>
      </c>
    </row>
    <row r="21" spans="1:27">
      <c r="A21">
        <v>118052</v>
      </c>
      <c r="B21" t="s">
        <v>70</v>
      </c>
      <c r="C21" s="5">
        <v>45729</v>
      </c>
      <c r="D21">
        <v>718292</v>
      </c>
      <c r="E21">
        <v>688292</v>
      </c>
      <c r="F21" t="s">
        <v>71</v>
      </c>
      <c r="G21">
        <v>0.0012572</v>
      </c>
      <c r="H21" s="5">
        <v>45754</v>
      </c>
      <c r="I21" t="s">
        <v>39</v>
      </c>
      <c r="J21" s="5">
        <v>45609</v>
      </c>
      <c r="K21" s="5">
        <v>45681</v>
      </c>
      <c r="L21">
        <v>120</v>
      </c>
      <c r="M21" s="2">
        <v>48</v>
      </c>
      <c r="N21" s="2">
        <v>24.8</v>
      </c>
      <c r="O21" s="2">
        <v>25</v>
      </c>
      <c r="P21" s="2">
        <v>19.31</v>
      </c>
      <c r="Q21" s="2">
        <v>20.53</v>
      </c>
      <c r="R21" s="2">
        <v>24.51</v>
      </c>
      <c r="S21" s="2">
        <v>24.5</v>
      </c>
      <c r="T21" s="3">
        <f t="shared" si="0"/>
        <v>3.97</v>
      </c>
      <c r="U21" s="4">
        <f t="shared" si="1"/>
        <v>0.193375547978568</v>
      </c>
      <c r="V21" s="2">
        <v>23.67</v>
      </c>
      <c r="W21" s="2">
        <v>23.8</v>
      </c>
      <c r="X21" s="3">
        <f t="shared" si="2"/>
        <v>-0.84</v>
      </c>
      <c r="Y21" s="4">
        <f t="shared" si="3"/>
        <v>-0.0352941176470588</v>
      </c>
      <c r="Z21" s="2">
        <v>20.7</v>
      </c>
      <c r="AA21" s="2">
        <v>17.89</v>
      </c>
    </row>
    <row r="22" spans="1:27">
      <c r="A22">
        <v>123253</v>
      </c>
      <c r="B22" t="s">
        <v>72</v>
      </c>
      <c r="C22" s="5">
        <v>45729</v>
      </c>
      <c r="D22">
        <v>370351</v>
      </c>
      <c r="E22">
        <v>300351</v>
      </c>
      <c r="F22" t="s">
        <v>73</v>
      </c>
      <c r="G22">
        <v>0.0031973118</v>
      </c>
      <c r="H22" s="5">
        <v>45744</v>
      </c>
      <c r="I22" t="s">
        <v>44</v>
      </c>
      <c r="J22" s="5">
        <v>45632</v>
      </c>
      <c r="K22" s="5">
        <v>45700</v>
      </c>
      <c r="L22">
        <v>97</v>
      </c>
      <c r="M22" s="2">
        <v>29</v>
      </c>
      <c r="N22" s="2">
        <v>19.19</v>
      </c>
      <c r="O22" s="2">
        <v>18.93</v>
      </c>
      <c r="P22" s="2">
        <v>17.71</v>
      </c>
      <c r="Q22" s="2">
        <v>18.17</v>
      </c>
      <c r="R22" s="2">
        <v>20.5</v>
      </c>
      <c r="S22" s="2">
        <v>18.97</v>
      </c>
      <c r="T22" s="3">
        <f t="shared" si="0"/>
        <v>0.799999999999997</v>
      </c>
      <c r="U22" s="4">
        <f t="shared" si="1"/>
        <v>0.0440286186020912</v>
      </c>
      <c r="V22" s="2">
        <v>18.68</v>
      </c>
      <c r="W22" s="2">
        <v>18.29</v>
      </c>
      <c r="X22" s="3">
        <f t="shared" si="2"/>
        <v>-1.82</v>
      </c>
      <c r="Y22" s="4">
        <f t="shared" si="3"/>
        <v>-0.099507927829415</v>
      </c>
      <c r="Z22" s="2">
        <v>18.21</v>
      </c>
      <c r="AA22" s="2">
        <v>17.69</v>
      </c>
    </row>
    <row r="23" spans="1:27">
      <c r="A23">
        <v>113070</v>
      </c>
      <c r="B23" t="s">
        <v>74</v>
      </c>
      <c r="C23" s="5">
        <v>45666</v>
      </c>
      <c r="D23">
        <v>783158</v>
      </c>
      <c r="E23">
        <v>601158</v>
      </c>
      <c r="F23" t="s">
        <v>75</v>
      </c>
      <c r="G23">
        <v>0.01357232</v>
      </c>
      <c r="H23" s="5">
        <v>45701</v>
      </c>
      <c r="I23" t="s">
        <v>32</v>
      </c>
      <c r="J23" s="5">
        <v>45465</v>
      </c>
      <c r="K23" s="5">
        <v>45561</v>
      </c>
      <c r="L23">
        <v>201</v>
      </c>
      <c r="M23" s="2">
        <v>105</v>
      </c>
      <c r="N23" s="2">
        <v>4.82</v>
      </c>
      <c r="O23" s="2">
        <v>4.77</v>
      </c>
      <c r="P23" s="2">
        <v>4.46</v>
      </c>
      <c r="Q23" s="2">
        <v>4.57</v>
      </c>
      <c r="R23" s="2">
        <v>4.76</v>
      </c>
      <c r="S23" s="2">
        <v>4.81</v>
      </c>
      <c r="T23" s="3">
        <f t="shared" si="0"/>
        <v>0.239999999999999</v>
      </c>
      <c r="U23" s="4">
        <f t="shared" si="1"/>
        <v>0.0525164113785557</v>
      </c>
      <c r="V23" s="2">
        <v>4.71</v>
      </c>
      <c r="W23" s="2">
        <v>4.65</v>
      </c>
      <c r="X23" s="3">
        <f t="shared" si="2"/>
        <v>-0.0499999999999998</v>
      </c>
      <c r="Y23" s="4">
        <f t="shared" si="3"/>
        <v>-0.010752688172043</v>
      </c>
      <c r="Z23" s="2">
        <v>4.71</v>
      </c>
      <c r="AA23" s="2">
        <v>4.7</v>
      </c>
    </row>
    <row r="24" spans="1:27">
      <c r="A24">
        <v>123252</v>
      </c>
      <c r="B24" t="s">
        <v>76</v>
      </c>
      <c r="C24" s="5">
        <v>45664</v>
      </c>
      <c r="D24">
        <v>370337</v>
      </c>
      <c r="E24">
        <v>300337</v>
      </c>
      <c r="F24" t="s">
        <v>77</v>
      </c>
      <c r="G24">
        <v>0.0051516331</v>
      </c>
      <c r="H24" s="5">
        <v>45681</v>
      </c>
      <c r="I24" t="s">
        <v>44</v>
      </c>
      <c r="J24" s="5">
        <v>45590</v>
      </c>
      <c r="K24" s="5">
        <v>45629</v>
      </c>
      <c r="L24">
        <v>74</v>
      </c>
      <c r="M24" s="2">
        <v>35</v>
      </c>
      <c r="N24" s="2">
        <v>16.05</v>
      </c>
      <c r="O24" s="2">
        <v>16.66</v>
      </c>
      <c r="P24" s="2">
        <v>13.41</v>
      </c>
      <c r="Q24" s="2">
        <v>13.31</v>
      </c>
      <c r="R24" s="2">
        <v>10.4</v>
      </c>
      <c r="S24" s="2">
        <v>10.47</v>
      </c>
      <c r="T24" s="3">
        <f t="shared" si="0"/>
        <v>-2.84</v>
      </c>
      <c r="U24" s="4">
        <f t="shared" si="1"/>
        <v>-0.213373403456048</v>
      </c>
      <c r="V24" s="2">
        <v>10.37</v>
      </c>
      <c r="W24" s="2">
        <v>10.65</v>
      </c>
      <c r="X24" s="3">
        <f t="shared" si="2"/>
        <v>-0.0300000000000011</v>
      </c>
      <c r="Y24" s="4">
        <f t="shared" si="3"/>
        <v>-0.00281690140845081</v>
      </c>
      <c r="Z24" s="2">
        <v>11.33</v>
      </c>
      <c r="AA24" s="2">
        <v>11.49</v>
      </c>
    </row>
    <row r="25" spans="1:27">
      <c r="A25">
        <v>110098</v>
      </c>
      <c r="B25" t="s">
        <v>78</v>
      </c>
      <c r="C25" s="5">
        <v>45651</v>
      </c>
      <c r="D25">
        <v>733713</v>
      </c>
      <c r="E25">
        <v>600713</v>
      </c>
      <c r="F25" t="s">
        <v>79</v>
      </c>
      <c r="G25">
        <v>0.00494045</v>
      </c>
      <c r="H25" s="5">
        <v>45677</v>
      </c>
      <c r="I25" t="s">
        <v>47</v>
      </c>
      <c r="J25" s="5">
        <v>45582</v>
      </c>
      <c r="K25" s="5">
        <v>45631</v>
      </c>
      <c r="L25">
        <v>69</v>
      </c>
      <c r="M25" s="2">
        <v>20</v>
      </c>
      <c r="N25" s="2">
        <v>4.73</v>
      </c>
      <c r="O25" s="2">
        <v>4.65</v>
      </c>
      <c r="P25" s="2">
        <v>5.16</v>
      </c>
      <c r="Q25" s="2">
        <v>5.17</v>
      </c>
      <c r="R25" s="2">
        <v>5.13</v>
      </c>
      <c r="S25" s="2">
        <v>5.19</v>
      </c>
      <c r="T25" s="3">
        <f t="shared" si="0"/>
        <v>0.0200000000000005</v>
      </c>
      <c r="U25" s="4">
        <f t="shared" si="1"/>
        <v>0.00386847195357843</v>
      </c>
      <c r="V25" s="2">
        <v>5.07</v>
      </c>
      <c r="W25" s="2">
        <v>5.04</v>
      </c>
      <c r="X25" s="3">
        <f t="shared" si="2"/>
        <v>-0.0599999999999996</v>
      </c>
      <c r="Y25" s="4">
        <f t="shared" si="3"/>
        <v>-0.0119047619047618</v>
      </c>
      <c r="Z25" s="2">
        <v>4.83</v>
      </c>
      <c r="AA25" s="2">
        <v>4.83</v>
      </c>
    </row>
    <row r="26" spans="1:27">
      <c r="A26">
        <v>123251</v>
      </c>
      <c r="B26" t="s">
        <v>80</v>
      </c>
      <c r="C26" s="5">
        <v>45649</v>
      </c>
      <c r="D26">
        <v>371235</v>
      </c>
      <c r="E26">
        <v>301235</v>
      </c>
      <c r="F26" t="s">
        <v>81</v>
      </c>
      <c r="G26">
        <v>0.0027141027</v>
      </c>
      <c r="H26" s="5">
        <v>45666</v>
      </c>
      <c r="I26" t="s">
        <v>39</v>
      </c>
      <c r="J26" s="5">
        <v>45268</v>
      </c>
      <c r="K26" s="8">
        <v>45329</v>
      </c>
      <c r="L26">
        <v>381</v>
      </c>
      <c r="M26" s="2">
        <v>320</v>
      </c>
      <c r="N26" s="2">
        <v>25.56</v>
      </c>
      <c r="O26" s="2">
        <v>25.27</v>
      </c>
      <c r="P26" s="2">
        <v>16.29</v>
      </c>
      <c r="Q26" s="2">
        <v>14.92</v>
      </c>
      <c r="R26" s="2">
        <v>21.65</v>
      </c>
      <c r="S26" s="2">
        <v>21.68</v>
      </c>
      <c r="T26" s="3">
        <f t="shared" si="0"/>
        <v>6.76</v>
      </c>
      <c r="U26" s="4">
        <f t="shared" si="1"/>
        <v>0.453083109919571</v>
      </c>
      <c r="V26" s="2">
        <v>20.33</v>
      </c>
      <c r="W26" s="2">
        <v>20.12</v>
      </c>
      <c r="X26" s="3">
        <f t="shared" si="2"/>
        <v>-1.32</v>
      </c>
      <c r="Y26" s="4">
        <f t="shared" si="3"/>
        <v>-0.0656063618290258</v>
      </c>
      <c r="Z26" s="2">
        <v>18.28</v>
      </c>
      <c r="AA26" s="2">
        <v>18.54</v>
      </c>
    </row>
    <row r="27" spans="1:27">
      <c r="A27">
        <v>118051</v>
      </c>
      <c r="B27" t="s">
        <v>82</v>
      </c>
      <c r="C27" s="5">
        <v>45624</v>
      </c>
      <c r="D27">
        <v>718131</v>
      </c>
      <c r="E27">
        <v>688131</v>
      </c>
      <c r="F27" t="s">
        <v>83</v>
      </c>
      <c r="G27">
        <v>0.00341</v>
      </c>
      <c r="H27" s="5">
        <v>45645</v>
      </c>
      <c r="I27" t="s">
        <v>44</v>
      </c>
      <c r="J27" s="5">
        <v>45518</v>
      </c>
      <c r="K27" s="8">
        <v>45559</v>
      </c>
      <c r="L27">
        <v>106</v>
      </c>
      <c r="M27" s="2">
        <v>65</v>
      </c>
      <c r="N27" s="2">
        <v>21.7</v>
      </c>
      <c r="O27" s="2">
        <v>20.91</v>
      </c>
      <c r="P27" s="2">
        <v>24</v>
      </c>
      <c r="Q27" s="2">
        <v>24.76</v>
      </c>
      <c r="R27" s="2">
        <v>37.95</v>
      </c>
      <c r="S27" s="2">
        <v>37.71</v>
      </c>
      <c r="T27" s="3">
        <f t="shared" si="0"/>
        <v>12.95</v>
      </c>
      <c r="U27" s="4">
        <f t="shared" si="1"/>
        <v>0.523021001615509</v>
      </c>
      <c r="V27" s="2">
        <v>37.01</v>
      </c>
      <c r="W27" s="2">
        <v>36.35</v>
      </c>
      <c r="X27" s="3">
        <f t="shared" si="2"/>
        <v>-0.940000000000005</v>
      </c>
      <c r="Y27" s="4">
        <f t="shared" si="3"/>
        <v>-0.0258596973865201</v>
      </c>
      <c r="Z27" s="2">
        <v>36.75</v>
      </c>
      <c r="AA27" s="2">
        <v>36.91</v>
      </c>
    </row>
    <row r="28" spans="1:27">
      <c r="A28">
        <v>127107</v>
      </c>
      <c r="B28" t="s">
        <v>84</v>
      </c>
      <c r="C28" s="5">
        <v>45614</v>
      </c>
      <c r="D28">
        <v>72600</v>
      </c>
      <c r="E28">
        <v>2600</v>
      </c>
      <c r="F28" t="s">
        <v>85</v>
      </c>
      <c r="G28">
        <v>0.005752783</v>
      </c>
      <c r="H28" s="5">
        <v>45632</v>
      </c>
      <c r="I28" t="s">
        <v>47</v>
      </c>
      <c r="J28" s="5">
        <v>45318</v>
      </c>
      <c r="K28" s="5">
        <v>45591</v>
      </c>
      <c r="L28">
        <v>296</v>
      </c>
      <c r="M28" s="2">
        <v>23</v>
      </c>
      <c r="N28" s="2">
        <v>5.21</v>
      </c>
      <c r="O28" s="2">
        <v>5.05</v>
      </c>
      <c r="P28" s="2">
        <v>8.62</v>
      </c>
      <c r="Q28" s="2">
        <v>8.73</v>
      </c>
      <c r="R28" s="2">
        <v>8.97</v>
      </c>
      <c r="S28" s="2">
        <v>8.94</v>
      </c>
      <c r="T28" s="3">
        <f t="shared" si="0"/>
        <v>0.209999999999999</v>
      </c>
      <c r="U28" s="4">
        <f t="shared" si="1"/>
        <v>0.0240549828178693</v>
      </c>
      <c r="V28" s="2">
        <v>8.94</v>
      </c>
      <c r="W28" s="2">
        <v>8.15</v>
      </c>
      <c r="X28" s="3">
        <f t="shared" si="2"/>
        <v>-0.0300000000000011</v>
      </c>
      <c r="Y28" s="4">
        <f t="shared" si="3"/>
        <v>-0.00368098159509216</v>
      </c>
      <c r="Z28" s="2">
        <v>8.75</v>
      </c>
      <c r="AA28" s="2">
        <v>8.92</v>
      </c>
    </row>
    <row r="29" spans="1:27">
      <c r="A29">
        <v>123250</v>
      </c>
      <c r="B29" t="s">
        <v>86</v>
      </c>
      <c r="C29" s="5">
        <v>45603</v>
      </c>
      <c r="D29">
        <v>371004</v>
      </c>
      <c r="E29">
        <v>301004</v>
      </c>
      <c r="F29" t="s">
        <v>87</v>
      </c>
      <c r="G29">
        <v>0.0032254984</v>
      </c>
      <c r="H29" s="5">
        <v>45622</v>
      </c>
      <c r="I29" t="s">
        <v>39</v>
      </c>
      <c r="J29" s="5">
        <v>45219</v>
      </c>
      <c r="K29" s="5">
        <v>45278</v>
      </c>
      <c r="L29">
        <v>384</v>
      </c>
      <c r="M29" s="2">
        <v>325</v>
      </c>
      <c r="N29" s="2">
        <v>43.43</v>
      </c>
      <c r="O29" s="2">
        <v>43</v>
      </c>
      <c r="P29" s="2">
        <v>43.77</v>
      </c>
      <c r="Q29" s="2">
        <v>43.49</v>
      </c>
      <c r="R29" s="2">
        <v>115.68</v>
      </c>
      <c r="S29" s="2">
        <v>116.42</v>
      </c>
      <c r="T29" s="3">
        <f t="shared" si="0"/>
        <v>72.93</v>
      </c>
      <c r="U29" s="4">
        <f t="shared" si="1"/>
        <v>1.67693722694872</v>
      </c>
      <c r="V29" s="2">
        <v>111</v>
      </c>
      <c r="W29" s="2">
        <v>107.56</v>
      </c>
      <c r="X29" s="3">
        <f t="shared" si="2"/>
        <v>-4.68000000000001</v>
      </c>
      <c r="Y29" s="4">
        <f t="shared" si="3"/>
        <v>-0.0435105987355895</v>
      </c>
      <c r="Z29" s="2">
        <v>98.16</v>
      </c>
      <c r="AA29" s="2">
        <v>99</v>
      </c>
    </row>
    <row r="30" spans="1:27">
      <c r="A30">
        <v>113692</v>
      </c>
      <c r="B30" t="s">
        <v>88</v>
      </c>
      <c r="C30" s="5">
        <v>45596</v>
      </c>
      <c r="D30">
        <v>754197</v>
      </c>
      <c r="E30">
        <v>603197</v>
      </c>
      <c r="F30" t="s">
        <v>89</v>
      </c>
      <c r="G30">
        <v>0.00558023</v>
      </c>
      <c r="H30" s="5">
        <v>45623</v>
      </c>
      <c r="I30" t="s">
        <v>29</v>
      </c>
      <c r="J30" s="5">
        <v>45430</v>
      </c>
      <c r="K30" s="5">
        <v>45535</v>
      </c>
      <c r="L30">
        <v>166</v>
      </c>
      <c r="M30" s="2">
        <v>61</v>
      </c>
      <c r="N30" s="2">
        <v>42.04</v>
      </c>
      <c r="O30" s="2">
        <v>41.98</v>
      </c>
      <c r="P30" s="2">
        <v>29.98</v>
      </c>
      <c r="Q30" s="2">
        <v>28.88</v>
      </c>
      <c r="R30" s="2">
        <v>38.93</v>
      </c>
      <c r="S30" s="2">
        <v>38.79</v>
      </c>
      <c r="T30" s="3">
        <f t="shared" si="0"/>
        <v>9.91</v>
      </c>
      <c r="U30" s="4">
        <f t="shared" si="1"/>
        <v>0.34314404432133</v>
      </c>
      <c r="V30" s="2">
        <v>38</v>
      </c>
      <c r="W30" s="2">
        <v>38.32</v>
      </c>
      <c r="X30" s="3">
        <f t="shared" si="2"/>
        <v>-0.93</v>
      </c>
      <c r="Y30" s="4">
        <f t="shared" si="3"/>
        <v>-0.0242693110647182</v>
      </c>
      <c r="Z30" s="2">
        <v>38.5</v>
      </c>
      <c r="AA30" s="2">
        <v>38.28</v>
      </c>
    </row>
    <row r="31" spans="1:27">
      <c r="A31">
        <v>113691</v>
      </c>
      <c r="B31" t="s">
        <v>90</v>
      </c>
      <c r="C31" s="5">
        <v>45593</v>
      </c>
      <c r="D31">
        <v>754077</v>
      </c>
      <c r="E31">
        <v>603077</v>
      </c>
      <c r="F31" t="s">
        <v>91</v>
      </c>
      <c r="G31">
        <v>0.02407311</v>
      </c>
      <c r="H31" s="5">
        <v>45615</v>
      </c>
      <c r="I31" t="s">
        <v>29</v>
      </c>
      <c r="J31" s="5">
        <v>45098</v>
      </c>
      <c r="K31" s="5">
        <v>45544</v>
      </c>
      <c r="L31">
        <v>495</v>
      </c>
      <c r="M31" s="2">
        <v>49</v>
      </c>
      <c r="N31" s="2">
        <v>2.37</v>
      </c>
      <c r="O31" s="2">
        <v>2.34</v>
      </c>
      <c r="P31" s="2">
        <v>1.68</v>
      </c>
      <c r="Q31" s="2">
        <v>1.69</v>
      </c>
      <c r="R31" s="2">
        <v>2</v>
      </c>
      <c r="S31" s="2">
        <v>2.09</v>
      </c>
      <c r="T31" s="3">
        <f t="shared" si="0"/>
        <v>0.4</v>
      </c>
      <c r="U31" s="4">
        <f t="shared" si="1"/>
        <v>0.236686390532544</v>
      </c>
      <c r="V31" s="2">
        <v>2.08</v>
      </c>
      <c r="W31" s="2">
        <v>2.11</v>
      </c>
      <c r="X31" s="3">
        <f t="shared" si="2"/>
        <v>0.0800000000000001</v>
      </c>
      <c r="Y31" s="4">
        <f t="shared" si="3"/>
        <v>0.037914691943128</v>
      </c>
      <c r="Z31" s="2">
        <v>2.08</v>
      </c>
      <c r="AA31" s="2">
        <v>2.07</v>
      </c>
    </row>
    <row r="32" spans="1:27">
      <c r="A32">
        <v>110097</v>
      </c>
      <c r="B32" t="s">
        <v>92</v>
      </c>
      <c r="C32" s="5">
        <v>45589</v>
      </c>
      <c r="D32">
        <v>733419</v>
      </c>
      <c r="E32">
        <v>600419</v>
      </c>
      <c r="F32" t="s">
        <v>93</v>
      </c>
      <c r="G32">
        <v>0.00442529</v>
      </c>
      <c r="H32" s="5">
        <v>45611</v>
      </c>
      <c r="I32" t="s">
        <v>29</v>
      </c>
      <c r="J32" s="5">
        <v>45266</v>
      </c>
      <c r="K32" s="5">
        <v>45455</v>
      </c>
      <c r="L32">
        <v>323</v>
      </c>
      <c r="M32" s="2">
        <v>134</v>
      </c>
      <c r="N32" s="2">
        <v>12.85</v>
      </c>
      <c r="O32" s="2">
        <v>12.9</v>
      </c>
      <c r="P32" s="2">
        <v>8.85</v>
      </c>
      <c r="Q32" s="2">
        <v>8.88</v>
      </c>
      <c r="R32" s="2">
        <v>8.53</v>
      </c>
      <c r="S32" s="2">
        <v>8.49</v>
      </c>
      <c r="T32" s="3">
        <f t="shared" si="0"/>
        <v>-0.390000000000001</v>
      </c>
      <c r="U32" s="4">
        <f t="shared" si="1"/>
        <v>-0.043918918918919</v>
      </c>
      <c r="V32" s="2">
        <v>8.15</v>
      </c>
      <c r="W32" s="2">
        <v>8.13</v>
      </c>
      <c r="X32" s="3">
        <f t="shared" si="2"/>
        <v>-0.379999999999999</v>
      </c>
      <c r="Y32" s="4">
        <f t="shared" si="3"/>
        <v>-0.0467404674046739</v>
      </c>
      <c r="Z32" s="2">
        <v>9.45</v>
      </c>
      <c r="AA32" s="2">
        <v>9.5</v>
      </c>
    </row>
    <row r="33" spans="1:27">
      <c r="A33">
        <v>123249</v>
      </c>
      <c r="B33" t="s">
        <v>94</v>
      </c>
      <c r="C33" s="5">
        <v>45589</v>
      </c>
      <c r="D33">
        <v>370681</v>
      </c>
      <c r="E33">
        <v>300681</v>
      </c>
      <c r="F33" t="s">
        <v>95</v>
      </c>
      <c r="G33">
        <v>0.0034318708</v>
      </c>
      <c r="H33" s="5">
        <v>45607</v>
      </c>
      <c r="I33" t="s">
        <v>29</v>
      </c>
      <c r="J33" s="5">
        <v>45511</v>
      </c>
      <c r="K33" s="5">
        <v>45540</v>
      </c>
      <c r="L33">
        <v>78</v>
      </c>
      <c r="M33" s="2">
        <v>49</v>
      </c>
      <c r="N33" s="2">
        <v>12.42</v>
      </c>
      <c r="O33" s="2">
        <v>12.51</v>
      </c>
      <c r="P33" s="2">
        <v>13.58</v>
      </c>
      <c r="Q33" s="2">
        <v>13.54</v>
      </c>
      <c r="R33" s="2">
        <v>17.65</v>
      </c>
      <c r="S33" s="2">
        <v>17.8</v>
      </c>
      <c r="T33" s="3">
        <f t="shared" si="0"/>
        <v>4.26</v>
      </c>
      <c r="U33" s="4">
        <f t="shared" si="1"/>
        <v>0.314623338257016</v>
      </c>
      <c r="V33" s="2">
        <v>17.42</v>
      </c>
      <c r="W33" s="2">
        <v>17.58</v>
      </c>
      <c r="X33" s="3">
        <f t="shared" si="2"/>
        <v>-0.229999999999997</v>
      </c>
      <c r="Y33" s="4">
        <f t="shared" si="3"/>
        <v>-0.0130830489192262</v>
      </c>
      <c r="Z33" s="2">
        <v>24.38</v>
      </c>
      <c r="AA33" s="2">
        <v>26.45</v>
      </c>
    </row>
    <row r="34" spans="1:27">
      <c r="A34">
        <v>113690</v>
      </c>
      <c r="B34" t="s">
        <v>96</v>
      </c>
      <c r="C34" s="5">
        <v>45588</v>
      </c>
      <c r="D34">
        <v>754809</v>
      </c>
      <c r="E34">
        <v>603809</v>
      </c>
      <c r="F34" t="s">
        <v>97</v>
      </c>
      <c r="G34">
        <v>0.00131908</v>
      </c>
      <c r="H34" s="5">
        <v>45616</v>
      </c>
      <c r="I34" t="s">
        <v>44</v>
      </c>
      <c r="J34" s="5">
        <v>45262</v>
      </c>
      <c r="K34" s="8">
        <v>45365</v>
      </c>
      <c r="L34">
        <v>326</v>
      </c>
      <c r="M34" s="2">
        <v>223</v>
      </c>
      <c r="N34" s="2">
        <v>12.22</v>
      </c>
      <c r="O34" s="2">
        <v>12.08</v>
      </c>
      <c r="P34" s="2">
        <v>9.68</v>
      </c>
      <c r="Q34" s="2">
        <v>9.58</v>
      </c>
      <c r="R34" s="2">
        <v>8.55</v>
      </c>
      <c r="S34" s="2">
        <v>8.46</v>
      </c>
      <c r="T34" s="3">
        <f t="shared" si="0"/>
        <v>-1.12</v>
      </c>
      <c r="U34" s="4">
        <f t="shared" si="1"/>
        <v>-0.116910229645094</v>
      </c>
      <c r="V34" s="2">
        <v>8.24</v>
      </c>
      <c r="W34" s="2">
        <v>8.79</v>
      </c>
      <c r="X34" s="3">
        <f t="shared" si="2"/>
        <v>-0.31</v>
      </c>
      <c r="Y34" s="4">
        <f t="shared" si="3"/>
        <v>-0.0352673492605234</v>
      </c>
      <c r="Z34" s="2">
        <v>12.17</v>
      </c>
      <c r="AA34" s="2">
        <v>12.56</v>
      </c>
    </row>
    <row r="35" spans="1:27">
      <c r="A35">
        <v>113688</v>
      </c>
      <c r="B35" t="s">
        <v>98</v>
      </c>
      <c r="C35" s="5">
        <v>45582</v>
      </c>
      <c r="D35">
        <v>754060</v>
      </c>
      <c r="E35">
        <v>603060</v>
      </c>
      <c r="F35" t="s">
        <v>99</v>
      </c>
      <c r="G35">
        <v>0.00202207</v>
      </c>
      <c r="H35" s="5">
        <v>45608</v>
      </c>
      <c r="I35" t="s">
        <v>47</v>
      </c>
      <c r="J35" s="5">
        <v>45209</v>
      </c>
      <c r="K35" s="5">
        <v>45540</v>
      </c>
      <c r="L35">
        <v>373</v>
      </c>
      <c r="M35" s="2">
        <v>42</v>
      </c>
      <c r="N35" s="2">
        <v>10.66</v>
      </c>
      <c r="O35" s="2">
        <v>10.66</v>
      </c>
      <c r="P35" s="2">
        <v>6.13</v>
      </c>
      <c r="Q35" s="2">
        <v>6.12</v>
      </c>
      <c r="R35" s="2">
        <v>6.74</v>
      </c>
      <c r="S35" s="2">
        <v>7.04</v>
      </c>
      <c r="T35" s="3">
        <f t="shared" si="0"/>
        <v>0.92</v>
      </c>
      <c r="U35" s="4">
        <f t="shared" si="1"/>
        <v>0.150326797385621</v>
      </c>
      <c r="V35" s="2">
        <v>6.82</v>
      </c>
      <c r="W35" s="2">
        <v>6.5</v>
      </c>
      <c r="X35" s="3">
        <f t="shared" si="2"/>
        <v>0.0800000000000001</v>
      </c>
      <c r="Y35" s="4">
        <f t="shared" si="3"/>
        <v>0.0123076923076923</v>
      </c>
      <c r="Z35" s="2">
        <v>7.36</v>
      </c>
      <c r="AA35" s="2">
        <v>7.33</v>
      </c>
    </row>
    <row r="36" spans="1:27">
      <c r="A36">
        <v>113689</v>
      </c>
      <c r="B36" t="s">
        <v>100</v>
      </c>
      <c r="C36" s="5">
        <v>45582</v>
      </c>
      <c r="D36">
        <v>754829</v>
      </c>
      <c r="E36">
        <v>603829</v>
      </c>
      <c r="F36" t="s">
        <v>101</v>
      </c>
      <c r="G36">
        <v>0.00053307</v>
      </c>
      <c r="H36" s="5">
        <v>45607</v>
      </c>
      <c r="I36" t="s">
        <v>44</v>
      </c>
      <c r="J36" s="5">
        <v>45311</v>
      </c>
      <c r="K36" s="5">
        <v>45534</v>
      </c>
      <c r="L36">
        <v>271</v>
      </c>
      <c r="M36" s="2">
        <v>48</v>
      </c>
      <c r="N36" s="2">
        <v>15.37</v>
      </c>
      <c r="O36" s="2">
        <v>14.45</v>
      </c>
      <c r="P36" s="2">
        <v>12.07</v>
      </c>
      <c r="Q36" s="2">
        <v>12.26</v>
      </c>
      <c r="R36" s="2">
        <v>16.45</v>
      </c>
      <c r="S36" s="2">
        <v>16.48</v>
      </c>
      <c r="T36" s="3">
        <f t="shared" si="0"/>
        <v>4.22</v>
      </c>
      <c r="U36" s="4">
        <f t="shared" si="1"/>
        <v>0.3442088091354</v>
      </c>
      <c r="V36" s="2">
        <v>14.83</v>
      </c>
      <c r="W36" s="2">
        <v>14.83</v>
      </c>
      <c r="X36" s="3">
        <f t="shared" si="2"/>
        <v>-1.62</v>
      </c>
      <c r="Y36" s="4">
        <f t="shared" si="3"/>
        <v>-0.109238031018206</v>
      </c>
      <c r="Z36" s="2">
        <v>14.7</v>
      </c>
      <c r="AA36" s="2">
        <v>15.17</v>
      </c>
    </row>
    <row r="37" spans="1:27">
      <c r="A37">
        <v>118050</v>
      </c>
      <c r="B37" t="s">
        <v>102</v>
      </c>
      <c r="C37" s="5">
        <v>45525</v>
      </c>
      <c r="D37">
        <v>718239</v>
      </c>
      <c r="E37">
        <v>688239</v>
      </c>
      <c r="F37" t="s">
        <v>103</v>
      </c>
      <c r="G37">
        <v>0.00327929</v>
      </c>
      <c r="H37" s="5">
        <v>45545</v>
      </c>
      <c r="I37" t="s">
        <v>44</v>
      </c>
      <c r="J37" s="5">
        <v>45451</v>
      </c>
      <c r="K37" s="5">
        <v>45506</v>
      </c>
      <c r="L37">
        <v>74</v>
      </c>
      <c r="M37" s="2">
        <v>19</v>
      </c>
      <c r="N37" s="2">
        <v>37.6</v>
      </c>
      <c r="O37" s="2">
        <v>40.02</v>
      </c>
      <c r="P37" s="2">
        <v>36.05</v>
      </c>
      <c r="Q37" s="2">
        <v>34.88</v>
      </c>
      <c r="R37" s="2">
        <v>29.41</v>
      </c>
      <c r="S37" s="2">
        <v>28.28</v>
      </c>
      <c r="T37" s="3">
        <f t="shared" si="0"/>
        <v>-6.6</v>
      </c>
      <c r="U37" s="4">
        <f t="shared" si="1"/>
        <v>-0.189220183486239</v>
      </c>
      <c r="V37" s="2">
        <v>27.71</v>
      </c>
      <c r="W37" s="2">
        <v>28</v>
      </c>
      <c r="X37" s="3">
        <f t="shared" si="2"/>
        <v>-1.7</v>
      </c>
      <c r="Y37" s="4">
        <f t="shared" si="3"/>
        <v>-0.0607142857142857</v>
      </c>
      <c r="Z37" s="2">
        <v>27.8</v>
      </c>
      <c r="AA37" s="2">
        <v>27.9</v>
      </c>
    </row>
    <row r="38" spans="1:27">
      <c r="A38">
        <v>123248</v>
      </c>
      <c r="B38" t="s">
        <v>104</v>
      </c>
      <c r="C38" s="5">
        <v>45525</v>
      </c>
      <c r="D38">
        <v>370952</v>
      </c>
      <c r="E38">
        <v>300952</v>
      </c>
      <c r="F38" t="s">
        <v>105</v>
      </c>
      <c r="G38">
        <v>0.000912737</v>
      </c>
      <c r="H38" s="5">
        <v>45547</v>
      </c>
      <c r="I38" t="s">
        <v>44</v>
      </c>
      <c r="J38" s="5">
        <v>45458</v>
      </c>
      <c r="K38" s="5">
        <v>45507</v>
      </c>
      <c r="L38">
        <v>67</v>
      </c>
      <c r="M38" s="2">
        <v>18</v>
      </c>
      <c r="N38" s="2">
        <v>17.98</v>
      </c>
      <c r="O38" s="2">
        <v>18.4</v>
      </c>
      <c r="P38" s="2">
        <v>16.92</v>
      </c>
      <c r="Q38" s="2">
        <v>16.36</v>
      </c>
      <c r="R38" s="2">
        <v>18.08</v>
      </c>
      <c r="S38" s="2">
        <v>17.59</v>
      </c>
      <c r="T38" s="3">
        <f t="shared" si="0"/>
        <v>1.23</v>
      </c>
      <c r="U38" s="4">
        <f t="shared" si="1"/>
        <v>0.0751833740831296</v>
      </c>
      <c r="V38" s="2">
        <v>16.56</v>
      </c>
      <c r="W38" s="2">
        <v>16.87</v>
      </c>
      <c r="X38" s="3">
        <f t="shared" si="2"/>
        <v>-1.52</v>
      </c>
      <c r="Y38" s="4">
        <f t="shared" si="3"/>
        <v>-0.0901007705986959</v>
      </c>
      <c r="Z38" s="2">
        <v>16.51</v>
      </c>
      <c r="AA38" s="2">
        <v>16.46</v>
      </c>
    </row>
    <row r="39" spans="1:27">
      <c r="A39">
        <v>123247</v>
      </c>
      <c r="B39" t="s">
        <v>106</v>
      </c>
      <c r="C39" s="5">
        <v>45520</v>
      </c>
      <c r="D39">
        <v>371216</v>
      </c>
      <c r="E39">
        <v>301216</v>
      </c>
      <c r="F39" t="s">
        <v>107</v>
      </c>
      <c r="G39">
        <v>0.0219868882</v>
      </c>
      <c r="H39" s="5">
        <v>45540</v>
      </c>
      <c r="I39" t="s">
        <v>29</v>
      </c>
      <c r="J39" s="5">
        <v>45157</v>
      </c>
      <c r="K39" s="5">
        <v>45468</v>
      </c>
      <c r="L39">
        <v>363</v>
      </c>
      <c r="M39" s="2">
        <v>52</v>
      </c>
      <c r="N39" s="2">
        <v>15.35</v>
      </c>
      <c r="O39" s="2">
        <v>15.22</v>
      </c>
      <c r="P39" s="2">
        <v>11.12</v>
      </c>
      <c r="Q39" s="2">
        <v>11.2</v>
      </c>
      <c r="R39" s="2">
        <v>10.99</v>
      </c>
      <c r="S39" s="2">
        <v>10.93</v>
      </c>
      <c r="T39" s="3">
        <f t="shared" si="0"/>
        <v>-0.27</v>
      </c>
      <c r="U39" s="4">
        <f t="shared" si="1"/>
        <v>-0.0241071428571428</v>
      </c>
      <c r="V39" s="2">
        <v>10.39</v>
      </c>
      <c r="W39" s="2">
        <v>10.28</v>
      </c>
      <c r="X39" s="3">
        <f t="shared" si="2"/>
        <v>-0.6</v>
      </c>
      <c r="Y39" s="4">
        <f t="shared" si="3"/>
        <v>-0.0583657587548638</v>
      </c>
      <c r="Z39" s="2">
        <v>9.98</v>
      </c>
      <c r="AA39" s="2">
        <v>9.95</v>
      </c>
    </row>
    <row r="40" spans="1:27">
      <c r="A40">
        <v>123246</v>
      </c>
      <c r="B40" t="s">
        <v>108</v>
      </c>
      <c r="C40" s="5">
        <v>45520</v>
      </c>
      <c r="D40">
        <v>371053</v>
      </c>
      <c r="E40">
        <v>301053</v>
      </c>
      <c r="F40" t="s">
        <v>109</v>
      </c>
      <c r="G40">
        <v>0.0003409553</v>
      </c>
      <c r="H40" s="5">
        <v>45538</v>
      </c>
      <c r="I40" t="s">
        <v>110</v>
      </c>
      <c r="J40" s="5">
        <v>45247</v>
      </c>
      <c r="K40" s="8">
        <v>45282</v>
      </c>
      <c r="L40">
        <v>273</v>
      </c>
      <c r="M40" s="2">
        <v>238</v>
      </c>
      <c r="N40" s="2">
        <v>26.31</v>
      </c>
      <c r="O40" s="2">
        <v>26.88</v>
      </c>
      <c r="P40" s="2">
        <v>26.78</v>
      </c>
      <c r="Q40" s="2">
        <v>26.59</v>
      </c>
      <c r="R40" s="2">
        <v>23.98</v>
      </c>
      <c r="S40" s="2">
        <v>23.72</v>
      </c>
      <c r="T40" s="3">
        <f t="shared" si="0"/>
        <v>-2.87</v>
      </c>
      <c r="U40" s="4">
        <f t="shared" si="1"/>
        <v>-0.10793531402783</v>
      </c>
      <c r="V40" s="2">
        <v>20.04</v>
      </c>
      <c r="W40" s="2">
        <v>19.52</v>
      </c>
      <c r="X40" s="3">
        <f t="shared" si="2"/>
        <v>-3.94</v>
      </c>
      <c r="Y40" s="4">
        <f t="shared" si="3"/>
        <v>-0.201844262295082</v>
      </c>
      <c r="Z40" s="2">
        <v>18</v>
      </c>
      <c r="AA40" s="2">
        <v>18.18</v>
      </c>
    </row>
    <row r="41" spans="1:27">
      <c r="A41">
        <v>123245</v>
      </c>
      <c r="B41" t="s">
        <v>111</v>
      </c>
      <c r="C41" s="5">
        <v>45518</v>
      </c>
      <c r="D41">
        <v>370553</v>
      </c>
      <c r="E41">
        <v>300553</v>
      </c>
      <c r="F41" t="s">
        <v>112</v>
      </c>
      <c r="G41">
        <v>0.0012028753</v>
      </c>
      <c r="H41" s="5">
        <v>45532</v>
      </c>
      <c r="I41" t="s">
        <v>110</v>
      </c>
      <c r="J41" s="5">
        <v>45163</v>
      </c>
      <c r="K41" s="5">
        <v>45226</v>
      </c>
      <c r="L41">
        <v>355</v>
      </c>
      <c r="M41" s="2">
        <v>292</v>
      </c>
      <c r="N41" s="2">
        <v>46.72</v>
      </c>
      <c r="O41" s="2">
        <v>45.87</v>
      </c>
      <c r="P41" s="2">
        <v>41.86</v>
      </c>
      <c r="Q41" s="2">
        <v>40.57</v>
      </c>
      <c r="R41" s="2">
        <v>24.06</v>
      </c>
      <c r="S41" s="2">
        <v>23.57</v>
      </c>
      <c r="T41" s="3">
        <f t="shared" si="0"/>
        <v>-17</v>
      </c>
      <c r="U41" s="4">
        <f t="shared" si="1"/>
        <v>-0.419028839043628</v>
      </c>
      <c r="V41" s="2">
        <v>21</v>
      </c>
      <c r="W41" s="2">
        <v>21.06</v>
      </c>
      <c r="X41" s="3">
        <f t="shared" si="2"/>
        <v>-3.06</v>
      </c>
      <c r="Y41" s="4">
        <f t="shared" si="3"/>
        <v>-0.145299145299145</v>
      </c>
      <c r="Z41" s="2">
        <v>19.09</v>
      </c>
      <c r="AA41" s="2">
        <v>19.23</v>
      </c>
    </row>
    <row r="42" spans="1:27">
      <c r="A42">
        <v>127106</v>
      </c>
      <c r="B42" t="s">
        <v>113</v>
      </c>
      <c r="C42" s="5">
        <v>45517</v>
      </c>
      <c r="D42">
        <v>72871</v>
      </c>
      <c r="E42">
        <v>2871</v>
      </c>
      <c r="F42" t="s">
        <v>114</v>
      </c>
      <c r="G42">
        <v>0.0004217956</v>
      </c>
      <c r="H42" s="5">
        <v>45532</v>
      </c>
      <c r="I42" t="s">
        <v>110</v>
      </c>
      <c r="J42" s="5">
        <v>45444</v>
      </c>
      <c r="K42" s="5">
        <v>45484</v>
      </c>
      <c r="L42">
        <v>73</v>
      </c>
      <c r="M42" s="2">
        <v>33</v>
      </c>
      <c r="N42" s="2">
        <v>8.72</v>
      </c>
      <c r="O42" s="2">
        <v>8.45</v>
      </c>
      <c r="P42" s="2">
        <v>8.01</v>
      </c>
      <c r="Q42" s="2">
        <v>8.05</v>
      </c>
      <c r="R42" s="2">
        <v>9.6</v>
      </c>
      <c r="S42" s="2">
        <v>10.1</v>
      </c>
      <c r="T42" s="3">
        <f t="shared" si="0"/>
        <v>2.05</v>
      </c>
      <c r="U42" s="4">
        <f t="shared" si="1"/>
        <v>0.254658385093168</v>
      </c>
      <c r="V42" s="2">
        <v>9.09</v>
      </c>
      <c r="W42" s="2">
        <v>9.09</v>
      </c>
      <c r="X42" s="3">
        <f t="shared" si="2"/>
        <v>-0.51</v>
      </c>
      <c r="Y42" s="4">
        <f t="shared" si="3"/>
        <v>-0.0561056105610561</v>
      </c>
      <c r="Z42" s="2">
        <v>7.66</v>
      </c>
      <c r="AA42" s="2">
        <v>7.68</v>
      </c>
    </row>
    <row r="43" spans="1:27">
      <c r="A43">
        <v>110096</v>
      </c>
      <c r="B43" t="s">
        <v>115</v>
      </c>
      <c r="C43" s="5">
        <v>45516</v>
      </c>
      <c r="D43">
        <v>733531</v>
      </c>
      <c r="E43">
        <v>600531</v>
      </c>
      <c r="F43" t="s">
        <v>116</v>
      </c>
      <c r="G43">
        <v>0.00408851</v>
      </c>
      <c r="H43" s="5">
        <v>45538</v>
      </c>
      <c r="I43" t="s">
        <v>29</v>
      </c>
      <c r="J43" s="5">
        <v>45322</v>
      </c>
      <c r="K43" s="5">
        <v>45477</v>
      </c>
      <c r="L43">
        <v>194</v>
      </c>
      <c r="M43" s="2">
        <v>39</v>
      </c>
      <c r="N43" s="2">
        <v>5.51</v>
      </c>
      <c r="O43" s="2">
        <v>5.34</v>
      </c>
      <c r="P43" s="2">
        <v>6.69</v>
      </c>
      <c r="Q43" s="2">
        <v>6.46</v>
      </c>
      <c r="R43" s="2">
        <v>5.65</v>
      </c>
      <c r="S43" s="2">
        <v>5.63</v>
      </c>
      <c r="T43" s="3">
        <f t="shared" si="0"/>
        <v>-0.83</v>
      </c>
      <c r="U43" s="4">
        <f t="shared" si="1"/>
        <v>-0.128482972136223</v>
      </c>
      <c r="V43" s="2">
        <v>5.49</v>
      </c>
      <c r="W43" s="2">
        <v>5.53</v>
      </c>
      <c r="X43" s="3">
        <f t="shared" si="2"/>
        <v>-0.16</v>
      </c>
      <c r="Y43" s="4">
        <f t="shared" si="3"/>
        <v>-0.0289330922242315</v>
      </c>
      <c r="Z43" s="2">
        <v>5.63</v>
      </c>
      <c r="AA43" s="2">
        <v>5.66</v>
      </c>
    </row>
    <row r="44" spans="1:27">
      <c r="A44">
        <v>118049</v>
      </c>
      <c r="B44" t="s">
        <v>117</v>
      </c>
      <c r="C44" s="5">
        <v>45511</v>
      </c>
      <c r="D44">
        <v>718403</v>
      </c>
      <c r="E44">
        <v>688403</v>
      </c>
      <c r="F44" t="s">
        <v>118</v>
      </c>
      <c r="G44">
        <v>0.00606009</v>
      </c>
      <c r="H44" s="5">
        <v>45537</v>
      </c>
      <c r="I44" t="s">
        <v>44</v>
      </c>
      <c r="J44" s="5">
        <v>45314</v>
      </c>
      <c r="K44" s="5">
        <v>45451</v>
      </c>
      <c r="L44">
        <v>197</v>
      </c>
      <c r="M44" s="2">
        <v>60</v>
      </c>
      <c r="N44" s="2">
        <v>8.22</v>
      </c>
      <c r="O44" s="2">
        <v>8.29</v>
      </c>
      <c r="P44" s="2">
        <v>8.38</v>
      </c>
      <c r="Q44" s="2">
        <v>8.93</v>
      </c>
      <c r="R44" s="2">
        <v>7.41</v>
      </c>
      <c r="S44" s="2">
        <v>7.47</v>
      </c>
      <c r="T44" s="3">
        <f t="shared" si="0"/>
        <v>-1.46</v>
      </c>
      <c r="U44" s="4">
        <f t="shared" si="1"/>
        <v>-0.163493840985442</v>
      </c>
      <c r="V44" s="2">
        <v>7.27</v>
      </c>
      <c r="W44" s="2">
        <v>7.13</v>
      </c>
      <c r="X44" s="3">
        <f t="shared" si="2"/>
        <v>-0.140000000000001</v>
      </c>
      <c r="Y44" s="4">
        <f t="shared" si="3"/>
        <v>-0.0196353436185134</v>
      </c>
      <c r="Z44" s="2">
        <v>7.04</v>
      </c>
      <c r="AA44" s="2">
        <v>6.77</v>
      </c>
    </row>
    <row r="45" spans="1:27">
      <c r="A45">
        <v>123244</v>
      </c>
      <c r="B45" t="s">
        <v>119</v>
      </c>
      <c r="C45" s="5">
        <v>45505</v>
      </c>
      <c r="D45">
        <v>370893</v>
      </c>
      <c r="E45">
        <v>300893</v>
      </c>
      <c r="F45" t="s">
        <v>120</v>
      </c>
      <c r="G45">
        <v>0.0006162684</v>
      </c>
      <c r="H45" s="5">
        <v>45526</v>
      </c>
      <c r="I45" t="s">
        <v>39</v>
      </c>
      <c r="J45" s="5">
        <v>45159</v>
      </c>
      <c r="K45" s="8">
        <v>45261</v>
      </c>
      <c r="L45">
        <v>346</v>
      </c>
      <c r="M45" s="2">
        <v>244</v>
      </c>
      <c r="N45" s="2">
        <v>22.12</v>
      </c>
      <c r="O45" s="2">
        <v>22.28</v>
      </c>
      <c r="P45" s="2">
        <v>29.6</v>
      </c>
      <c r="Q45" s="2">
        <v>29.1</v>
      </c>
      <c r="R45" s="2">
        <v>28.03</v>
      </c>
      <c r="S45" s="2">
        <v>28.83</v>
      </c>
      <c r="T45" s="3">
        <f t="shared" si="0"/>
        <v>-0.270000000000003</v>
      </c>
      <c r="U45" s="4">
        <f t="shared" si="1"/>
        <v>-0.00927835051546403</v>
      </c>
      <c r="V45" s="2">
        <v>27.08</v>
      </c>
      <c r="W45" s="2">
        <v>27.4</v>
      </c>
      <c r="X45" s="3">
        <f t="shared" si="2"/>
        <v>-0.950000000000003</v>
      </c>
      <c r="Y45" s="4">
        <f t="shared" si="3"/>
        <v>-0.0346715328467154</v>
      </c>
      <c r="Z45" s="2">
        <v>25.36</v>
      </c>
      <c r="AA45" s="2">
        <v>25.02</v>
      </c>
    </row>
    <row r="46" spans="1:27">
      <c r="A46">
        <v>111021</v>
      </c>
      <c r="B46" t="s">
        <v>121</v>
      </c>
      <c r="C46" s="5">
        <v>45499</v>
      </c>
      <c r="D46">
        <v>713116</v>
      </c>
      <c r="E46">
        <v>605116</v>
      </c>
      <c r="F46" t="s">
        <v>122</v>
      </c>
      <c r="G46">
        <v>0.00154693</v>
      </c>
      <c r="H46" s="5">
        <v>45519</v>
      </c>
      <c r="I46" t="s">
        <v>44</v>
      </c>
      <c r="J46" s="5">
        <v>45315</v>
      </c>
      <c r="K46" s="5">
        <v>45468</v>
      </c>
      <c r="L46">
        <v>184</v>
      </c>
      <c r="M46" s="2">
        <v>31</v>
      </c>
      <c r="N46" s="2">
        <v>22.87</v>
      </c>
      <c r="O46" s="2">
        <v>22.43</v>
      </c>
      <c r="P46" s="2">
        <v>22.81</v>
      </c>
      <c r="Q46" s="2">
        <v>22.16</v>
      </c>
      <c r="R46" s="2">
        <v>23.78</v>
      </c>
      <c r="S46" s="2">
        <v>23.25</v>
      </c>
      <c r="T46" s="3">
        <f t="shared" si="0"/>
        <v>1.09</v>
      </c>
      <c r="U46" s="4">
        <f t="shared" si="1"/>
        <v>0.0491877256317689</v>
      </c>
      <c r="V46" s="2">
        <v>22.39</v>
      </c>
      <c r="W46" s="2">
        <v>22.5</v>
      </c>
      <c r="X46" s="3">
        <f t="shared" si="2"/>
        <v>-1.39</v>
      </c>
      <c r="Y46" s="4">
        <f t="shared" si="3"/>
        <v>-0.0617777777777778</v>
      </c>
      <c r="Z46" s="2">
        <v>22.8</v>
      </c>
      <c r="AA46" s="2">
        <v>22.95</v>
      </c>
    </row>
    <row r="47" spans="1:27">
      <c r="A47">
        <v>111020</v>
      </c>
      <c r="B47" t="s">
        <v>123</v>
      </c>
      <c r="C47" s="5">
        <v>45495</v>
      </c>
      <c r="D47">
        <v>713166</v>
      </c>
      <c r="E47">
        <v>605166</v>
      </c>
      <c r="F47" t="s">
        <v>124</v>
      </c>
      <c r="G47">
        <v>0.00085277</v>
      </c>
      <c r="H47" s="5">
        <v>45519</v>
      </c>
      <c r="I47" t="s">
        <v>44</v>
      </c>
      <c r="J47" s="5">
        <v>45323</v>
      </c>
      <c r="K47" s="5">
        <v>45450</v>
      </c>
      <c r="L47">
        <v>172</v>
      </c>
      <c r="M47" s="2">
        <v>45</v>
      </c>
      <c r="N47" s="2">
        <v>7.83</v>
      </c>
      <c r="O47" s="2">
        <v>7.6</v>
      </c>
      <c r="P47" s="2">
        <v>10.92</v>
      </c>
      <c r="Q47" s="2">
        <v>11.12</v>
      </c>
      <c r="R47" s="2">
        <v>10.6</v>
      </c>
      <c r="S47" s="2">
        <v>10.56</v>
      </c>
      <c r="T47" s="3">
        <f t="shared" si="0"/>
        <v>-0.559999999999999</v>
      </c>
      <c r="U47" s="4">
        <f t="shared" si="1"/>
        <v>-0.0503597122302157</v>
      </c>
      <c r="V47" s="2">
        <v>9.83</v>
      </c>
      <c r="W47" s="2">
        <v>9.94</v>
      </c>
      <c r="X47" s="3">
        <f t="shared" si="2"/>
        <v>-0.77</v>
      </c>
      <c r="Y47" s="4">
        <f t="shared" si="3"/>
        <v>-0.0774647887323943</v>
      </c>
      <c r="Z47" s="2">
        <v>9.22</v>
      </c>
      <c r="AA47" s="2">
        <v>9.13</v>
      </c>
    </row>
    <row r="48" spans="1:27">
      <c r="A48">
        <v>113687</v>
      </c>
      <c r="B48" t="s">
        <v>125</v>
      </c>
      <c r="C48" s="5">
        <v>45485</v>
      </c>
      <c r="D48">
        <v>754067</v>
      </c>
      <c r="E48">
        <v>603067</v>
      </c>
      <c r="F48" t="s">
        <v>126</v>
      </c>
      <c r="G48">
        <v>0.00133007</v>
      </c>
      <c r="H48" s="5">
        <v>45506</v>
      </c>
      <c r="I48" t="s">
        <v>29</v>
      </c>
      <c r="J48" s="5">
        <v>45316</v>
      </c>
      <c r="K48" s="5">
        <v>45456</v>
      </c>
      <c r="L48">
        <v>169</v>
      </c>
      <c r="M48" s="2">
        <v>29</v>
      </c>
      <c r="N48" s="2">
        <v>8.95</v>
      </c>
      <c r="O48" s="2">
        <v>9.12</v>
      </c>
      <c r="P48" s="2">
        <v>10.6</v>
      </c>
      <c r="Q48" s="2">
        <v>10.56</v>
      </c>
      <c r="R48" s="2">
        <v>11.7</v>
      </c>
      <c r="S48" s="2">
        <v>12.08</v>
      </c>
      <c r="T48" s="3">
        <f t="shared" si="0"/>
        <v>1.52</v>
      </c>
      <c r="U48" s="4">
        <f t="shared" si="1"/>
        <v>0.143939393939394</v>
      </c>
      <c r="V48" s="2">
        <v>11.76</v>
      </c>
      <c r="W48" s="2">
        <v>11.57</v>
      </c>
      <c r="X48" s="3">
        <f t="shared" si="2"/>
        <v>0.0600000000000005</v>
      </c>
      <c r="Y48" s="4">
        <f t="shared" si="3"/>
        <v>0.00518582541054455</v>
      </c>
      <c r="Z48" s="2">
        <v>11.87</v>
      </c>
      <c r="AA48" s="2">
        <v>12</v>
      </c>
    </row>
    <row r="49" spans="1:27">
      <c r="A49">
        <v>123243</v>
      </c>
      <c r="B49" t="s">
        <v>127</v>
      </c>
      <c r="C49" s="5">
        <v>45483</v>
      </c>
      <c r="D49">
        <v>371081</v>
      </c>
      <c r="E49">
        <v>301081</v>
      </c>
      <c r="F49" t="s">
        <v>128</v>
      </c>
      <c r="G49">
        <v>0.0010868486</v>
      </c>
      <c r="H49" s="5">
        <v>45499</v>
      </c>
      <c r="I49" t="s">
        <v>39</v>
      </c>
      <c r="J49" s="5">
        <v>45261</v>
      </c>
      <c r="K49" s="5">
        <v>45306</v>
      </c>
      <c r="L49">
        <v>222</v>
      </c>
      <c r="M49" s="2">
        <v>177</v>
      </c>
      <c r="N49" s="2">
        <v>11.16</v>
      </c>
      <c r="O49" s="2">
        <v>11.36</v>
      </c>
      <c r="P49" s="2">
        <v>11</v>
      </c>
      <c r="Q49" s="2">
        <v>10.98</v>
      </c>
      <c r="R49" s="2">
        <v>7.67</v>
      </c>
      <c r="S49" s="2">
        <v>7.8</v>
      </c>
      <c r="T49" s="3">
        <f t="shared" si="0"/>
        <v>-3.18</v>
      </c>
      <c r="U49" s="4">
        <f t="shared" si="1"/>
        <v>-0.289617486338798</v>
      </c>
      <c r="V49" s="2">
        <v>7.05</v>
      </c>
      <c r="W49" s="2">
        <v>6.96</v>
      </c>
      <c r="X49" s="3">
        <f t="shared" si="2"/>
        <v>-0.62</v>
      </c>
      <c r="Y49" s="4">
        <f t="shared" si="3"/>
        <v>-0.089080459770115</v>
      </c>
      <c r="Z49" s="2">
        <v>6.9</v>
      </c>
      <c r="AA49" s="2">
        <v>6.99</v>
      </c>
    </row>
    <row r="50" spans="1:27">
      <c r="A50">
        <v>123242</v>
      </c>
      <c r="B50" t="s">
        <v>129</v>
      </c>
      <c r="C50" s="5">
        <v>45481</v>
      </c>
      <c r="D50">
        <v>371131</v>
      </c>
      <c r="E50">
        <v>301131</v>
      </c>
      <c r="F50" t="s">
        <v>130</v>
      </c>
      <c r="G50">
        <v>0.0008402282</v>
      </c>
      <c r="H50" s="5">
        <v>45502</v>
      </c>
      <c r="I50" t="s">
        <v>39</v>
      </c>
      <c r="J50" s="5">
        <v>45289</v>
      </c>
      <c r="K50" s="5">
        <v>45328</v>
      </c>
      <c r="L50">
        <v>192</v>
      </c>
      <c r="M50" s="2">
        <v>153</v>
      </c>
      <c r="N50" s="2">
        <v>48.54</v>
      </c>
      <c r="O50" s="2">
        <v>50.5</v>
      </c>
      <c r="P50" s="2">
        <v>28.26</v>
      </c>
      <c r="Q50" s="2">
        <v>28.88</v>
      </c>
      <c r="R50" s="2">
        <v>38.69</v>
      </c>
      <c r="S50" s="2">
        <v>39.85</v>
      </c>
      <c r="T50" s="3">
        <f t="shared" si="0"/>
        <v>10.97</v>
      </c>
      <c r="U50" s="4">
        <f t="shared" si="1"/>
        <v>0.379847645429363</v>
      </c>
      <c r="V50" s="2">
        <v>35.66</v>
      </c>
      <c r="W50" s="2">
        <v>33.34</v>
      </c>
      <c r="X50" s="3">
        <f t="shared" si="2"/>
        <v>-3.03</v>
      </c>
      <c r="Y50" s="4">
        <f t="shared" si="3"/>
        <v>-0.090881823635273</v>
      </c>
      <c r="Z50" s="2">
        <v>34.19</v>
      </c>
      <c r="AA50" s="2">
        <v>33.95</v>
      </c>
    </row>
    <row r="51" spans="1:27">
      <c r="A51">
        <v>123241</v>
      </c>
      <c r="B51" t="s">
        <v>131</v>
      </c>
      <c r="C51" s="5">
        <v>45478</v>
      </c>
      <c r="D51">
        <v>370870</v>
      </c>
      <c r="E51">
        <v>300870</v>
      </c>
      <c r="F51" t="s">
        <v>132</v>
      </c>
      <c r="G51">
        <v>0.0026145421</v>
      </c>
      <c r="H51" s="5">
        <v>45499</v>
      </c>
      <c r="I51" t="s">
        <v>44</v>
      </c>
      <c r="J51" s="5">
        <v>45289</v>
      </c>
      <c r="K51" s="5">
        <v>45329</v>
      </c>
      <c r="L51">
        <v>189</v>
      </c>
      <c r="M51" s="2">
        <v>149</v>
      </c>
      <c r="N51" s="2">
        <v>43.21</v>
      </c>
      <c r="O51" s="2">
        <v>44.27</v>
      </c>
      <c r="P51" s="2">
        <v>28.22</v>
      </c>
      <c r="Q51" s="2">
        <v>27.48</v>
      </c>
      <c r="R51" s="2">
        <v>40.56</v>
      </c>
      <c r="S51" s="2">
        <v>39.56</v>
      </c>
      <c r="T51" s="3">
        <f t="shared" si="0"/>
        <v>12.08</v>
      </c>
      <c r="U51" s="4">
        <f t="shared" si="1"/>
        <v>0.439592430858806</v>
      </c>
      <c r="V51" s="2">
        <v>38.4</v>
      </c>
      <c r="W51" s="2">
        <v>39.51</v>
      </c>
      <c r="X51" s="3">
        <f t="shared" si="2"/>
        <v>-2.16</v>
      </c>
      <c r="Y51" s="4">
        <f t="shared" si="3"/>
        <v>-0.0546697038724375</v>
      </c>
      <c r="Z51" s="2">
        <v>37.32</v>
      </c>
      <c r="AA51" s="2">
        <v>38.21</v>
      </c>
    </row>
    <row r="52" spans="1:27">
      <c r="A52">
        <v>113686</v>
      </c>
      <c r="B52" t="s">
        <v>133</v>
      </c>
      <c r="C52" s="5">
        <v>45475</v>
      </c>
      <c r="D52">
        <v>754289</v>
      </c>
      <c r="E52">
        <v>603289</v>
      </c>
      <c r="F52" t="s">
        <v>134</v>
      </c>
      <c r="G52">
        <v>0.00058458</v>
      </c>
      <c r="H52" s="5">
        <v>45497</v>
      </c>
      <c r="I52" t="s">
        <v>44</v>
      </c>
      <c r="J52" s="5">
        <v>45325</v>
      </c>
      <c r="K52" s="5">
        <v>45433</v>
      </c>
      <c r="L52">
        <v>150</v>
      </c>
      <c r="M52" s="2">
        <v>42</v>
      </c>
      <c r="N52" s="2">
        <v>7.2</v>
      </c>
      <c r="O52" s="2">
        <v>6.51</v>
      </c>
      <c r="P52" s="2">
        <v>9.45</v>
      </c>
      <c r="Q52" s="2">
        <v>9.26</v>
      </c>
      <c r="R52" s="2">
        <v>8.84</v>
      </c>
      <c r="S52" s="2">
        <v>9.33</v>
      </c>
      <c r="T52" s="3">
        <f t="shared" si="0"/>
        <v>0.0700000000000003</v>
      </c>
      <c r="U52" s="4">
        <f t="shared" si="1"/>
        <v>0.00755939524838016</v>
      </c>
      <c r="V52" s="2">
        <v>8.42</v>
      </c>
      <c r="W52" s="2">
        <v>8.61</v>
      </c>
      <c r="X52" s="3">
        <f t="shared" si="2"/>
        <v>-0.42</v>
      </c>
      <c r="Y52" s="4">
        <f t="shared" si="3"/>
        <v>-0.048780487804878</v>
      </c>
      <c r="Z52" s="2">
        <v>7.84</v>
      </c>
      <c r="AA52" s="2">
        <v>7.63</v>
      </c>
    </row>
    <row r="53" spans="1:27">
      <c r="A53">
        <v>118048</v>
      </c>
      <c r="B53" t="s">
        <v>135</v>
      </c>
      <c r="C53" s="5">
        <v>45475</v>
      </c>
      <c r="D53">
        <v>718135</v>
      </c>
      <c r="E53">
        <v>688135</v>
      </c>
      <c r="F53" t="s">
        <v>136</v>
      </c>
      <c r="G53">
        <v>0.00446186</v>
      </c>
      <c r="H53" s="5">
        <v>45492</v>
      </c>
      <c r="I53" t="s">
        <v>39</v>
      </c>
      <c r="J53" s="5">
        <v>45275</v>
      </c>
      <c r="K53" s="5">
        <v>45352</v>
      </c>
      <c r="L53">
        <v>200</v>
      </c>
      <c r="M53" s="2">
        <v>123</v>
      </c>
      <c r="N53" s="2">
        <v>22.34</v>
      </c>
      <c r="O53" s="2">
        <v>22.46</v>
      </c>
      <c r="P53" s="2">
        <v>18.1</v>
      </c>
      <c r="Q53" s="2">
        <v>18.02</v>
      </c>
      <c r="R53" s="2">
        <v>16.11</v>
      </c>
      <c r="S53" s="2">
        <v>15.72</v>
      </c>
      <c r="T53" s="3">
        <f t="shared" si="0"/>
        <v>-2.3</v>
      </c>
      <c r="U53" s="4">
        <f t="shared" si="1"/>
        <v>-0.127635960044395</v>
      </c>
      <c r="V53" s="2">
        <v>15.01</v>
      </c>
      <c r="W53" s="2">
        <v>14.79</v>
      </c>
      <c r="X53" s="3">
        <f t="shared" si="2"/>
        <v>-1.1</v>
      </c>
      <c r="Y53" s="4">
        <f t="shared" si="3"/>
        <v>-0.0743745774171738</v>
      </c>
      <c r="Z53" s="2">
        <v>14.65</v>
      </c>
      <c r="AA53" s="2">
        <v>15.78</v>
      </c>
    </row>
    <row r="54" spans="1:27">
      <c r="A54">
        <v>113685</v>
      </c>
      <c r="B54" t="s">
        <v>137</v>
      </c>
      <c r="C54" s="5">
        <v>45457</v>
      </c>
      <c r="D54">
        <v>754305</v>
      </c>
      <c r="E54">
        <v>603305</v>
      </c>
      <c r="F54" t="s">
        <v>138</v>
      </c>
      <c r="G54">
        <v>0.03292173</v>
      </c>
      <c r="H54" s="5">
        <v>45483</v>
      </c>
      <c r="I54" t="s">
        <v>44</v>
      </c>
      <c r="J54" s="5">
        <v>45127</v>
      </c>
      <c r="K54" s="5">
        <v>45427</v>
      </c>
      <c r="L54">
        <v>330</v>
      </c>
      <c r="M54" s="2">
        <v>30</v>
      </c>
      <c r="N54" s="2">
        <v>26.73</v>
      </c>
      <c r="O54" s="2">
        <v>25.66</v>
      </c>
      <c r="P54" s="2">
        <v>13.85</v>
      </c>
      <c r="Q54" s="2">
        <v>13.53</v>
      </c>
      <c r="R54" s="2">
        <v>12.43</v>
      </c>
      <c r="S54" s="2">
        <v>12.56</v>
      </c>
      <c r="T54" s="3">
        <f t="shared" si="0"/>
        <v>-0.969999999999999</v>
      </c>
      <c r="U54" s="4">
        <f t="shared" si="1"/>
        <v>-0.0716925351071692</v>
      </c>
      <c r="V54" s="2">
        <v>12.05</v>
      </c>
      <c r="W54" s="2">
        <v>12.21</v>
      </c>
      <c r="X54" s="3">
        <f t="shared" si="2"/>
        <v>-0.379999999999999</v>
      </c>
      <c r="Y54" s="4">
        <f t="shared" si="3"/>
        <v>-0.031122031122031</v>
      </c>
      <c r="Z54" s="2">
        <v>10.16</v>
      </c>
      <c r="AA54" s="2">
        <v>10.37</v>
      </c>
    </row>
    <row r="55" spans="1:27">
      <c r="A55">
        <v>111019</v>
      </c>
      <c r="B55" t="s">
        <v>139</v>
      </c>
      <c r="C55" s="5">
        <v>45399</v>
      </c>
      <c r="D55">
        <v>713366</v>
      </c>
      <c r="E55">
        <v>605366</v>
      </c>
      <c r="F55" t="s">
        <v>140</v>
      </c>
      <c r="G55">
        <v>0.00419888</v>
      </c>
      <c r="H55" s="5">
        <v>45426</v>
      </c>
      <c r="I55" t="s">
        <v>44</v>
      </c>
      <c r="J55" s="5">
        <v>45209</v>
      </c>
      <c r="K55" s="5">
        <v>45315</v>
      </c>
      <c r="L55">
        <v>190</v>
      </c>
      <c r="M55" s="2">
        <v>84</v>
      </c>
      <c r="N55" s="2">
        <v>8.19</v>
      </c>
      <c r="O55" s="2">
        <v>8.14</v>
      </c>
      <c r="P55" s="2">
        <v>8.71</v>
      </c>
      <c r="Q55" s="2">
        <v>8.95</v>
      </c>
      <c r="R55" s="2">
        <v>7.07</v>
      </c>
      <c r="S55" s="2">
        <v>6.89</v>
      </c>
      <c r="T55" s="3">
        <f t="shared" si="0"/>
        <v>-2.06</v>
      </c>
      <c r="U55" s="4">
        <f t="shared" si="1"/>
        <v>-0.230167597765363</v>
      </c>
      <c r="V55" s="2">
        <v>6.6</v>
      </c>
      <c r="W55" s="2">
        <v>6.88</v>
      </c>
      <c r="X55" s="3">
        <f t="shared" si="2"/>
        <v>-0.470000000000001</v>
      </c>
      <c r="Y55" s="4">
        <f t="shared" si="3"/>
        <v>-0.0683139534883722</v>
      </c>
      <c r="Z55" s="2">
        <v>7.12</v>
      </c>
      <c r="AA55" s="2">
        <v>7.12</v>
      </c>
    </row>
    <row r="56" spans="1:27">
      <c r="A56">
        <v>113684</v>
      </c>
      <c r="B56" t="s">
        <v>141</v>
      </c>
      <c r="C56" s="5">
        <v>45383</v>
      </c>
      <c r="D56">
        <v>754319</v>
      </c>
      <c r="E56">
        <v>603319</v>
      </c>
      <c r="F56" t="s">
        <v>142</v>
      </c>
      <c r="G56">
        <v>0.00159843</v>
      </c>
      <c r="H56" s="5">
        <v>45411</v>
      </c>
      <c r="I56" t="s">
        <v>44</v>
      </c>
      <c r="J56" s="5">
        <v>45157</v>
      </c>
      <c r="K56" s="8">
        <v>45261</v>
      </c>
      <c r="L56">
        <v>226</v>
      </c>
      <c r="M56" s="2">
        <v>122</v>
      </c>
      <c r="N56" s="2">
        <v>16.34</v>
      </c>
      <c r="O56" s="2">
        <v>16.44</v>
      </c>
      <c r="P56" s="2">
        <v>19.14</v>
      </c>
      <c r="Q56" s="2">
        <v>18.99</v>
      </c>
      <c r="R56" s="2">
        <v>17.88</v>
      </c>
      <c r="S56" s="2">
        <v>17.85</v>
      </c>
      <c r="T56" s="3">
        <f t="shared" si="0"/>
        <v>-1.14</v>
      </c>
      <c r="U56" s="4">
        <f t="shared" si="1"/>
        <v>-0.0600315955766191</v>
      </c>
      <c r="V56" s="2">
        <v>17.14</v>
      </c>
      <c r="W56" s="2">
        <v>17.62</v>
      </c>
      <c r="X56" s="3">
        <f t="shared" si="2"/>
        <v>-0.739999999999998</v>
      </c>
      <c r="Y56" s="4">
        <f t="shared" si="3"/>
        <v>-0.0419977298524403</v>
      </c>
      <c r="Z56" s="2">
        <v>18</v>
      </c>
      <c r="AA56" s="2">
        <v>18.05</v>
      </c>
    </row>
    <row r="57" spans="1:27">
      <c r="A57">
        <v>113683</v>
      </c>
      <c r="B57" t="s">
        <v>143</v>
      </c>
      <c r="C57" s="5">
        <v>45379</v>
      </c>
      <c r="D57">
        <v>754568</v>
      </c>
      <c r="E57">
        <v>603568</v>
      </c>
      <c r="F57" t="s">
        <v>144</v>
      </c>
      <c r="G57">
        <v>0.00033243</v>
      </c>
      <c r="H57" s="5">
        <v>45404</v>
      </c>
      <c r="I57" t="s">
        <v>29</v>
      </c>
      <c r="J57" s="5">
        <v>45274</v>
      </c>
      <c r="K57" s="5">
        <v>45352</v>
      </c>
      <c r="L57">
        <v>105</v>
      </c>
      <c r="M57" s="2">
        <v>27</v>
      </c>
      <c r="N57" s="2">
        <v>17.2</v>
      </c>
      <c r="O57" s="2">
        <v>17.35</v>
      </c>
      <c r="P57" s="2">
        <v>18</v>
      </c>
      <c r="Q57" s="2">
        <v>18.1</v>
      </c>
      <c r="R57" s="2">
        <v>18.37</v>
      </c>
      <c r="S57" s="2">
        <v>18.32</v>
      </c>
      <c r="T57" s="3">
        <f t="shared" si="0"/>
        <v>0.219999999999999</v>
      </c>
      <c r="U57" s="4">
        <f t="shared" si="1"/>
        <v>0.0121546961325966</v>
      </c>
      <c r="V57" s="2">
        <v>18.04</v>
      </c>
      <c r="W57" s="2">
        <v>18.23</v>
      </c>
      <c r="X57" s="3">
        <f t="shared" si="2"/>
        <v>-0.330000000000002</v>
      </c>
      <c r="Y57" s="4">
        <f t="shared" si="3"/>
        <v>-0.0181020296215031</v>
      </c>
      <c r="Z57" s="2">
        <v>20.3</v>
      </c>
      <c r="AA57" s="2">
        <v>20.08</v>
      </c>
    </row>
    <row r="58" spans="1:27">
      <c r="A58">
        <v>113682</v>
      </c>
      <c r="B58" t="s">
        <v>145</v>
      </c>
      <c r="C58" s="5">
        <v>45355</v>
      </c>
      <c r="D58">
        <v>754939</v>
      </c>
      <c r="E58">
        <v>603939</v>
      </c>
      <c r="F58" t="s">
        <v>146</v>
      </c>
      <c r="G58">
        <v>0.01059669</v>
      </c>
      <c r="H58" s="5">
        <v>45378</v>
      </c>
      <c r="I58" t="s">
        <v>29</v>
      </c>
      <c r="J58" s="5">
        <v>45248</v>
      </c>
      <c r="K58" s="8">
        <v>45315</v>
      </c>
      <c r="L58">
        <v>107</v>
      </c>
      <c r="M58" s="2">
        <v>40</v>
      </c>
      <c r="N58" s="2">
        <v>37.66</v>
      </c>
      <c r="O58" s="2">
        <v>37.72</v>
      </c>
      <c r="P58" s="2">
        <v>38.51</v>
      </c>
      <c r="Q58" s="2">
        <v>38.7</v>
      </c>
      <c r="R58" s="2">
        <v>39.48</v>
      </c>
      <c r="S58" s="2">
        <v>39.55</v>
      </c>
      <c r="T58" s="3">
        <f t="shared" si="0"/>
        <v>0.849999999999994</v>
      </c>
      <c r="U58" s="4">
        <f t="shared" si="1"/>
        <v>0.0219638242894055</v>
      </c>
      <c r="V58" s="2">
        <v>39.18</v>
      </c>
      <c r="W58" s="2">
        <v>38.93</v>
      </c>
      <c r="X58" s="3">
        <f t="shared" si="2"/>
        <v>-0.299999999999997</v>
      </c>
      <c r="Y58" s="4">
        <f t="shared" si="3"/>
        <v>-0.00770613922424858</v>
      </c>
      <c r="Z58" s="2">
        <v>39.16</v>
      </c>
      <c r="AA58" s="2">
        <v>39.8</v>
      </c>
    </row>
    <row r="59" spans="1:27">
      <c r="A59">
        <v>127105</v>
      </c>
      <c r="B59" t="s">
        <v>147</v>
      </c>
      <c r="C59" s="5">
        <v>45323</v>
      </c>
      <c r="D59">
        <v>72442</v>
      </c>
      <c r="E59">
        <v>2442</v>
      </c>
      <c r="F59" t="s">
        <v>148</v>
      </c>
      <c r="G59">
        <v>0.0054914743</v>
      </c>
      <c r="H59" s="5">
        <v>45357</v>
      </c>
      <c r="I59" t="s">
        <v>44</v>
      </c>
      <c r="J59" s="5">
        <v>45248</v>
      </c>
      <c r="K59" s="8">
        <v>45293</v>
      </c>
      <c r="L59">
        <v>75</v>
      </c>
      <c r="M59" s="2">
        <v>30</v>
      </c>
      <c r="N59" s="2">
        <v>5.71</v>
      </c>
      <c r="O59" s="2">
        <v>5.69</v>
      </c>
      <c r="P59" s="2">
        <v>6.52</v>
      </c>
      <c r="Q59" s="2">
        <v>6.66</v>
      </c>
      <c r="R59" s="2">
        <v>5</v>
      </c>
      <c r="S59" s="2">
        <v>4.71</v>
      </c>
      <c r="T59" s="3">
        <f t="shared" si="0"/>
        <v>-1.95</v>
      </c>
      <c r="U59" s="4">
        <f t="shared" si="1"/>
        <v>-0.292792792792793</v>
      </c>
      <c r="V59" s="2">
        <v>4.45</v>
      </c>
      <c r="W59" s="2">
        <v>4.38</v>
      </c>
      <c r="X59" s="3">
        <f t="shared" si="2"/>
        <v>-0.55</v>
      </c>
      <c r="Y59" s="4">
        <f t="shared" si="3"/>
        <v>-0.125570776255708</v>
      </c>
      <c r="Z59" s="2">
        <v>4.31</v>
      </c>
      <c r="AA59" s="2">
        <v>4.39</v>
      </c>
    </row>
    <row r="60" spans="1:27">
      <c r="A60">
        <v>123240</v>
      </c>
      <c r="B60" t="s">
        <v>149</v>
      </c>
      <c r="C60" s="5">
        <v>45322</v>
      </c>
      <c r="D60">
        <v>370358</v>
      </c>
      <c r="E60">
        <v>300358</v>
      </c>
      <c r="F60" t="s">
        <v>150</v>
      </c>
      <c r="G60">
        <v>0.0043068188</v>
      </c>
      <c r="H60" s="5">
        <v>45351</v>
      </c>
      <c r="I60" t="s">
        <v>29</v>
      </c>
      <c r="J60" s="5">
        <v>45253</v>
      </c>
      <c r="K60" s="5">
        <v>45293</v>
      </c>
      <c r="L60">
        <v>69</v>
      </c>
      <c r="M60" s="2">
        <v>29</v>
      </c>
      <c r="N60" s="2">
        <v>11.83</v>
      </c>
      <c r="O60" s="2">
        <v>11.94</v>
      </c>
      <c r="P60" s="2">
        <v>10.8</v>
      </c>
      <c r="Q60" s="2">
        <v>10.69</v>
      </c>
      <c r="R60" s="2">
        <v>9</v>
      </c>
      <c r="S60" s="2">
        <v>8.64</v>
      </c>
      <c r="T60" s="3">
        <f t="shared" si="0"/>
        <v>-2.05</v>
      </c>
      <c r="U60" s="4">
        <f t="shared" si="1"/>
        <v>-0.191768007483629</v>
      </c>
      <c r="V60" s="2">
        <v>8.37</v>
      </c>
      <c r="W60" s="2">
        <v>8.12</v>
      </c>
      <c r="X60" s="3">
        <f t="shared" si="2"/>
        <v>-0.630000000000001</v>
      </c>
      <c r="Y60" s="4">
        <f t="shared" si="3"/>
        <v>-0.0775862068965518</v>
      </c>
      <c r="Z60" s="2">
        <v>8.82</v>
      </c>
      <c r="AA60" s="2">
        <v>9.08</v>
      </c>
    </row>
    <row r="61" spans="1:27">
      <c r="A61">
        <v>127104</v>
      </c>
      <c r="B61" t="s">
        <v>151</v>
      </c>
      <c r="C61" s="5">
        <v>45316</v>
      </c>
      <c r="D61">
        <v>72605</v>
      </c>
      <c r="E61">
        <v>2605</v>
      </c>
      <c r="F61" t="s">
        <v>152</v>
      </c>
      <c r="G61">
        <v>0.0018660693</v>
      </c>
      <c r="H61" s="5">
        <v>45348</v>
      </c>
      <c r="I61" t="s">
        <v>39</v>
      </c>
      <c r="J61" s="5">
        <v>45029</v>
      </c>
      <c r="K61" s="5">
        <v>45071</v>
      </c>
      <c r="L61">
        <v>287</v>
      </c>
      <c r="M61" s="2">
        <v>245</v>
      </c>
      <c r="N61" s="2">
        <v>35.94</v>
      </c>
      <c r="O61" s="2">
        <v>37.1</v>
      </c>
      <c r="P61" s="2">
        <v>30.6</v>
      </c>
      <c r="Q61" s="2">
        <v>29.84</v>
      </c>
      <c r="R61" s="2">
        <v>22.78</v>
      </c>
      <c r="S61" s="2">
        <v>23.27</v>
      </c>
      <c r="T61" s="3">
        <f t="shared" si="0"/>
        <v>-6.57</v>
      </c>
      <c r="U61" s="4">
        <f t="shared" si="1"/>
        <v>-0.220174262734584</v>
      </c>
      <c r="V61" s="2">
        <v>23.46</v>
      </c>
      <c r="W61" s="2">
        <v>23.87</v>
      </c>
      <c r="X61" s="3">
        <f t="shared" si="2"/>
        <v>0.68</v>
      </c>
      <c r="Y61" s="4">
        <f t="shared" si="3"/>
        <v>0.0284876413908672</v>
      </c>
      <c r="Z61" s="2">
        <v>24.3</v>
      </c>
      <c r="AA61" s="2">
        <v>24.04</v>
      </c>
    </row>
    <row r="62" spans="1:27">
      <c r="A62">
        <v>123239</v>
      </c>
      <c r="B62" t="s">
        <v>153</v>
      </c>
      <c r="C62" s="5">
        <v>45310</v>
      </c>
      <c r="D62">
        <v>370488</v>
      </c>
      <c r="E62">
        <v>300488</v>
      </c>
      <c r="F62" t="s">
        <v>154</v>
      </c>
      <c r="G62">
        <v>0.0007342904</v>
      </c>
      <c r="H62" s="5">
        <v>45344</v>
      </c>
      <c r="I62" t="s">
        <v>39</v>
      </c>
      <c r="J62" s="5">
        <v>45254</v>
      </c>
      <c r="K62" s="5">
        <v>45282</v>
      </c>
      <c r="L62">
        <v>56</v>
      </c>
      <c r="M62" s="2">
        <v>28</v>
      </c>
      <c r="N62" s="2">
        <v>25.1</v>
      </c>
      <c r="O62" s="2">
        <v>24.39</v>
      </c>
      <c r="P62" s="2">
        <v>24.3</v>
      </c>
      <c r="Q62" s="2">
        <v>24.17</v>
      </c>
      <c r="R62" s="2">
        <v>23.52</v>
      </c>
      <c r="S62" s="2">
        <v>23.3</v>
      </c>
      <c r="T62" s="3">
        <f t="shared" si="0"/>
        <v>-0.870000000000001</v>
      </c>
      <c r="U62" s="4">
        <f t="shared" si="1"/>
        <v>-0.0359950351675631</v>
      </c>
      <c r="V62" s="2">
        <v>22.3</v>
      </c>
      <c r="W62" s="2">
        <v>21.48</v>
      </c>
      <c r="X62" s="3">
        <f t="shared" si="2"/>
        <v>-1.22</v>
      </c>
      <c r="Y62" s="4">
        <f t="shared" si="3"/>
        <v>-0.0567970204841713</v>
      </c>
      <c r="Z62" s="2">
        <v>19.5</v>
      </c>
      <c r="AA62" s="2">
        <v>19.98</v>
      </c>
    </row>
    <row r="63" spans="1:27">
      <c r="A63">
        <v>123238</v>
      </c>
      <c r="B63" t="s">
        <v>155</v>
      </c>
      <c r="C63" s="5">
        <v>45302</v>
      </c>
      <c r="D63">
        <v>370863</v>
      </c>
      <c r="E63">
        <v>300863</v>
      </c>
      <c r="F63" t="s">
        <v>156</v>
      </c>
      <c r="G63">
        <v>0.0008165958</v>
      </c>
      <c r="H63" s="5">
        <v>45323</v>
      </c>
      <c r="I63" t="s">
        <v>39</v>
      </c>
      <c r="J63" s="5">
        <v>45239</v>
      </c>
      <c r="K63" s="5">
        <v>45278</v>
      </c>
      <c r="L63">
        <v>63</v>
      </c>
      <c r="M63" s="2">
        <v>24</v>
      </c>
      <c r="N63" s="2">
        <v>51.1</v>
      </c>
      <c r="O63" s="2">
        <v>50.42</v>
      </c>
      <c r="P63" s="2">
        <v>48.48</v>
      </c>
      <c r="Q63" s="2">
        <v>50.6</v>
      </c>
      <c r="R63" s="2">
        <v>47.48</v>
      </c>
      <c r="S63" s="2">
        <v>47.89</v>
      </c>
      <c r="T63" s="3">
        <f t="shared" si="0"/>
        <v>-2.71</v>
      </c>
      <c r="U63" s="4">
        <f t="shared" si="1"/>
        <v>-0.0535573122529644</v>
      </c>
      <c r="V63" s="2">
        <v>45.88</v>
      </c>
      <c r="W63" s="2">
        <v>46.81</v>
      </c>
      <c r="X63" s="3">
        <f t="shared" si="2"/>
        <v>-1.59999999999999</v>
      </c>
      <c r="Y63" s="4">
        <f t="shared" si="3"/>
        <v>-0.0341807306131167</v>
      </c>
      <c r="Z63" s="2">
        <v>35.31</v>
      </c>
      <c r="AA63" s="2">
        <v>35.16</v>
      </c>
    </row>
    <row r="64" spans="1:27">
      <c r="A64">
        <v>123237</v>
      </c>
      <c r="B64" t="s">
        <v>157</v>
      </c>
      <c r="C64" s="5">
        <v>45295</v>
      </c>
      <c r="D64">
        <v>370793</v>
      </c>
      <c r="E64">
        <v>300793</v>
      </c>
      <c r="F64" t="s">
        <v>158</v>
      </c>
      <c r="G64">
        <v>0.0042312552</v>
      </c>
      <c r="H64" s="5">
        <v>45315</v>
      </c>
      <c r="I64" t="s">
        <v>39</v>
      </c>
      <c r="J64" s="5">
        <v>44907</v>
      </c>
      <c r="K64" s="5">
        <v>44970</v>
      </c>
      <c r="L64">
        <v>388</v>
      </c>
      <c r="M64" s="2">
        <v>325</v>
      </c>
      <c r="N64" s="2">
        <v>16.2</v>
      </c>
      <c r="O64" s="2">
        <v>16.34</v>
      </c>
      <c r="P64" s="2">
        <v>17.9</v>
      </c>
      <c r="Q64" s="2">
        <v>17.75</v>
      </c>
      <c r="R64" s="2">
        <v>21.16</v>
      </c>
      <c r="S64" s="2">
        <v>20.37</v>
      </c>
      <c r="T64" s="3">
        <f t="shared" si="0"/>
        <v>2.62</v>
      </c>
      <c r="U64" s="4">
        <f t="shared" si="1"/>
        <v>0.147605633802817</v>
      </c>
      <c r="V64" s="2">
        <v>20</v>
      </c>
      <c r="W64" s="2">
        <v>20.14</v>
      </c>
      <c r="X64" s="3">
        <f t="shared" si="2"/>
        <v>-1.16</v>
      </c>
      <c r="Y64" s="4">
        <f t="shared" si="3"/>
        <v>-0.05759682224429</v>
      </c>
      <c r="Z64" s="2">
        <v>15</v>
      </c>
      <c r="AA64" s="2">
        <v>15.09</v>
      </c>
    </row>
    <row r="65" spans="1:27">
      <c r="A65">
        <v>127103</v>
      </c>
      <c r="B65" t="s">
        <v>159</v>
      </c>
      <c r="C65" s="5">
        <v>45294</v>
      </c>
      <c r="D65">
        <v>72135</v>
      </c>
      <c r="E65">
        <v>2135</v>
      </c>
      <c r="F65" t="s">
        <v>160</v>
      </c>
      <c r="G65">
        <v>0.0063762297</v>
      </c>
      <c r="H65" s="5">
        <v>45315</v>
      </c>
      <c r="I65" t="s">
        <v>29</v>
      </c>
      <c r="J65" s="5">
        <v>45093</v>
      </c>
      <c r="K65" s="5">
        <v>45166</v>
      </c>
      <c r="L65">
        <v>201</v>
      </c>
      <c r="M65" s="2">
        <v>128</v>
      </c>
      <c r="N65" s="2">
        <v>6.51</v>
      </c>
      <c r="O65" s="2">
        <v>6.6</v>
      </c>
      <c r="P65" s="2">
        <v>6.34</v>
      </c>
      <c r="Q65" s="2">
        <v>6.17</v>
      </c>
      <c r="R65" s="2">
        <v>5.77</v>
      </c>
      <c r="S65" s="2">
        <v>5.68</v>
      </c>
      <c r="T65" s="3">
        <f t="shared" si="0"/>
        <v>-0.49</v>
      </c>
      <c r="U65" s="4">
        <f t="shared" si="1"/>
        <v>-0.0794165316045381</v>
      </c>
      <c r="V65" s="2">
        <v>5.45</v>
      </c>
      <c r="W65" s="2">
        <v>5.48</v>
      </c>
      <c r="X65" s="3">
        <f t="shared" si="2"/>
        <v>-0.319999999999999</v>
      </c>
      <c r="Y65" s="4">
        <f t="shared" si="3"/>
        <v>-0.0583941605839415</v>
      </c>
      <c r="Z65" s="2">
        <v>4.96</v>
      </c>
      <c r="AA65" s="2">
        <v>5.13</v>
      </c>
    </row>
    <row r="66" spans="1:27">
      <c r="A66">
        <v>113681</v>
      </c>
      <c r="B66" t="s">
        <v>161</v>
      </c>
      <c r="C66" s="5">
        <v>45289</v>
      </c>
      <c r="D66">
        <v>754213</v>
      </c>
      <c r="E66">
        <v>603213</v>
      </c>
      <c r="F66" t="s">
        <v>162</v>
      </c>
      <c r="G66">
        <v>0.00098724</v>
      </c>
      <c r="H66" s="5">
        <v>45308</v>
      </c>
      <c r="I66" t="s">
        <v>44</v>
      </c>
      <c r="J66" s="5">
        <v>45156</v>
      </c>
      <c r="K66" s="5">
        <v>45230</v>
      </c>
      <c r="L66">
        <v>133</v>
      </c>
      <c r="M66" s="2">
        <v>59</v>
      </c>
      <c r="N66" s="2">
        <v>11.54</v>
      </c>
      <c r="O66" s="2">
        <v>11.46</v>
      </c>
      <c r="P66" s="2">
        <v>11.18</v>
      </c>
      <c r="Q66" s="2">
        <v>11.19</v>
      </c>
      <c r="R66" s="2">
        <v>10.99</v>
      </c>
      <c r="S66" s="2">
        <v>11.28</v>
      </c>
      <c r="T66" s="3">
        <f t="shared" si="0"/>
        <v>0.0899999999999999</v>
      </c>
      <c r="U66" s="4">
        <f t="shared" si="1"/>
        <v>0.00804289544235924</v>
      </c>
      <c r="V66" s="2">
        <v>10.54</v>
      </c>
      <c r="W66" s="2">
        <v>10.79</v>
      </c>
      <c r="X66" s="3">
        <f t="shared" si="2"/>
        <v>-0.450000000000001</v>
      </c>
      <c r="Y66" s="4">
        <f t="shared" si="3"/>
        <v>-0.0417052826691382</v>
      </c>
      <c r="Z66" s="2">
        <v>12.39</v>
      </c>
      <c r="AA66" s="2">
        <v>11.63</v>
      </c>
    </row>
    <row r="67" spans="1:27">
      <c r="A67">
        <v>111018</v>
      </c>
      <c r="B67" t="s">
        <v>163</v>
      </c>
      <c r="C67" s="5">
        <v>45285</v>
      </c>
      <c r="D67">
        <v>713077</v>
      </c>
      <c r="E67">
        <v>605077</v>
      </c>
      <c r="F67" t="s">
        <v>164</v>
      </c>
      <c r="G67">
        <v>0.00278331</v>
      </c>
      <c r="H67" s="5">
        <v>45306</v>
      </c>
      <c r="I67" t="s">
        <v>44</v>
      </c>
      <c r="J67" s="5">
        <v>45157</v>
      </c>
      <c r="K67" s="5">
        <v>45269</v>
      </c>
      <c r="L67">
        <v>128</v>
      </c>
      <c r="M67" s="2">
        <v>16</v>
      </c>
      <c r="N67" s="2">
        <v>25.15</v>
      </c>
      <c r="O67" s="2">
        <v>24.95</v>
      </c>
      <c r="P67" s="2">
        <v>22.26</v>
      </c>
      <c r="Q67" s="2">
        <v>22.61</v>
      </c>
      <c r="R67" s="2">
        <v>22.57</v>
      </c>
      <c r="S67" s="2">
        <v>23.02</v>
      </c>
      <c r="T67" s="3">
        <f t="shared" ref="T67:T130" si="4">S67-Q67</f>
        <v>0.41</v>
      </c>
      <c r="U67" s="4">
        <f t="shared" ref="U67:U130" si="5">T67/Q67</f>
        <v>0.0181335692171606</v>
      </c>
      <c r="V67" s="2">
        <v>21.71</v>
      </c>
      <c r="W67" s="2">
        <v>21.68</v>
      </c>
      <c r="X67" s="3">
        <f t="shared" ref="X67:X130" si="6">V67-R67</f>
        <v>-0.859999999999999</v>
      </c>
      <c r="Y67" s="4">
        <f t="shared" ref="Y67:Y130" si="7">X67/W67</f>
        <v>-0.0396678966789668</v>
      </c>
      <c r="Z67" s="2">
        <v>21.88</v>
      </c>
      <c r="AA67" s="2">
        <v>21.84</v>
      </c>
    </row>
    <row r="68" spans="1:27">
      <c r="A68">
        <v>127102</v>
      </c>
      <c r="B68" t="s">
        <v>165</v>
      </c>
      <c r="C68" s="5">
        <v>45285</v>
      </c>
      <c r="D68">
        <v>72761</v>
      </c>
      <c r="E68">
        <v>2761</v>
      </c>
      <c r="F68" t="s">
        <v>166</v>
      </c>
      <c r="G68">
        <v>0.005139885</v>
      </c>
      <c r="H68" s="5">
        <v>45307</v>
      </c>
      <c r="I68" t="s">
        <v>47</v>
      </c>
      <c r="J68" s="5">
        <v>45129</v>
      </c>
      <c r="K68" s="5">
        <v>45185</v>
      </c>
      <c r="L68">
        <v>156</v>
      </c>
      <c r="M68" s="2">
        <v>100</v>
      </c>
      <c r="N68" s="2">
        <v>17.3</v>
      </c>
      <c r="O68" s="2">
        <v>16.93</v>
      </c>
      <c r="P68" s="2">
        <v>14.35</v>
      </c>
      <c r="Q68" s="2">
        <v>14.76</v>
      </c>
      <c r="R68" s="2">
        <v>10.17</v>
      </c>
      <c r="S68" s="2">
        <v>10.05</v>
      </c>
      <c r="T68" s="3">
        <f t="shared" si="4"/>
        <v>-4.71</v>
      </c>
      <c r="U68" s="4">
        <f t="shared" si="5"/>
        <v>-0.319105691056911</v>
      </c>
      <c r="V68" s="2">
        <v>9.94</v>
      </c>
      <c r="W68" s="2">
        <v>9.84</v>
      </c>
      <c r="X68" s="3">
        <f t="shared" si="6"/>
        <v>-0.23</v>
      </c>
      <c r="Y68" s="4">
        <f t="shared" si="7"/>
        <v>-0.0233739837398374</v>
      </c>
      <c r="Z68" s="2">
        <v>9.82</v>
      </c>
      <c r="AA68" s="2">
        <v>9.76</v>
      </c>
    </row>
    <row r="69" spans="1:27">
      <c r="A69">
        <v>123236</v>
      </c>
      <c r="B69" t="s">
        <v>167</v>
      </c>
      <c r="C69" s="5">
        <v>45282</v>
      </c>
      <c r="D69">
        <v>371193</v>
      </c>
      <c r="E69">
        <v>301193</v>
      </c>
      <c r="F69" t="s">
        <v>168</v>
      </c>
      <c r="G69">
        <v>0.0009433278</v>
      </c>
      <c r="H69" s="5">
        <v>45309</v>
      </c>
      <c r="I69" t="s">
        <v>44</v>
      </c>
      <c r="J69" s="5">
        <v>45156</v>
      </c>
      <c r="K69" s="5">
        <v>45251</v>
      </c>
      <c r="L69">
        <v>126</v>
      </c>
      <c r="M69" s="2">
        <v>31</v>
      </c>
      <c r="N69" s="2">
        <v>17.38</v>
      </c>
      <c r="O69" s="2">
        <v>17.24</v>
      </c>
      <c r="P69" s="2">
        <v>17.92</v>
      </c>
      <c r="Q69" s="2">
        <v>17.86</v>
      </c>
      <c r="R69" s="2">
        <v>17.72</v>
      </c>
      <c r="S69" s="2">
        <v>18.52</v>
      </c>
      <c r="T69" s="3">
        <f t="shared" si="4"/>
        <v>0.66</v>
      </c>
      <c r="U69" s="4">
        <f t="shared" si="5"/>
        <v>0.0369540873460246</v>
      </c>
      <c r="V69" s="2">
        <v>17.67</v>
      </c>
      <c r="W69" s="2">
        <v>17.35</v>
      </c>
      <c r="X69" s="3">
        <f t="shared" si="6"/>
        <v>-0.0499999999999972</v>
      </c>
      <c r="Y69" s="4">
        <f t="shared" si="7"/>
        <v>-0.00288184438040329</v>
      </c>
      <c r="Z69" s="2">
        <v>19.25</v>
      </c>
      <c r="AA69" s="2">
        <v>19.9</v>
      </c>
    </row>
    <row r="70" spans="1:27">
      <c r="A70">
        <v>113069</v>
      </c>
      <c r="B70" t="s">
        <v>169</v>
      </c>
      <c r="C70" s="5">
        <v>45282</v>
      </c>
      <c r="D70">
        <v>783137</v>
      </c>
      <c r="E70">
        <v>601137</v>
      </c>
      <c r="F70" t="s">
        <v>170</v>
      </c>
      <c r="G70">
        <v>0.00671801</v>
      </c>
      <c r="H70" s="5">
        <v>45309</v>
      </c>
      <c r="I70" t="s">
        <v>29</v>
      </c>
      <c r="J70" s="5">
        <v>45162</v>
      </c>
      <c r="K70" s="5">
        <v>45245</v>
      </c>
      <c r="L70">
        <v>120</v>
      </c>
      <c r="M70" s="2">
        <v>37</v>
      </c>
      <c r="N70" s="2">
        <v>13.65</v>
      </c>
      <c r="O70" s="2">
        <v>13.75</v>
      </c>
      <c r="P70" s="2">
        <v>16</v>
      </c>
      <c r="Q70" s="2">
        <v>16.46</v>
      </c>
      <c r="R70" s="2">
        <v>14.47</v>
      </c>
      <c r="S70" s="2">
        <v>14.51</v>
      </c>
      <c r="T70" s="3">
        <f t="shared" si="4"/>
        <v>-1.95</v>
      </c>
      <c r="U70" s="4">
        <f t="shared" si="5"/>
        <v>-0.118469015795869</v>
      </c>
      <c r="V70" s="2">
        <v>14.16</v>
      </c>
      <c r="W70" s="2">
        <v>14.38</v>
      </c>
      <c r="X70" s="3">
        <f t="shared" si="6"/>
        <v>-0.31</v>
      </c>
      <c r="Y70" s="4">
        <f t="shared" si="7"/>
        <v>-0.021557719054242</v>
      </c>
      <c r="Z70" s="2">
        <v>14.88</v>
      </c>
      <c r="AA70" s="2">
        <v>15.15</v>
      </c>
    </row>
    <row r="71" spans="1:27">
      <c r="A71">
        <v>127101</v>
      </c>
      <c r="B71" t="s">
        <v>171</v>
      </c>
      <c r="C71" s="5">
        <v>45282</v>
      </c>
      <c r="D71">
        <v>71283</v>
      </c>
      <c r="E71">
        <v>1283</v>
      </c>
      <c r="F71" t="s">
        <v>172</v>
      </c>
      <c r="G71">
        <v>0.0043906434</v>
      </c>
      <c r="H71" s="5">
        <v>45302</v>
      </c>
      <c r="I71" t="s">
        <v>44</v>
      </c>
      <c r="J71" s="5">
        <v>45129</v>
      </c>
      <c r="K71" s="5">
        <v>45176</v>
      </c>
      <c r="L71">
        <v>153</v>
      </c>
      <c r="M71" s="2">
        <v>106</v>
      </c>
      <c r="N71" s="2">
        <v>51.37</v>
      </c>
      <c r="O71" s="2">
        <v>49.21</v>
      </c>
      <c r="P71" s="2">
        <v>47.5</v>
      </c>
      <c r="Q71" s="2">
        <v>45.78</v>
      </c>
      <c r="R71" s="2">
        <v>49.67</v>
      </c>
      <c r="S71" s="2">
        <v>50.05</v>
      </c>
      <c r="T71" s="3">
        <f t="shared" si="4"/>
        <v>4.27</v>
      </c>
      <c r="U71" s="4">
        <f t="shared" si="5"/>
        <v>0.0932721712538225</v>
      </c>
      <c r="V71" s="2">
        <v>47.66</v>
      </c>
      <c r="W71" s="2">
        <v>49.24</v>
      </c>
      <c r="X71" s="3">
        <f t="shared" si="6"/>
        <v>-2.01000000000001</v>
      </c>
      <c r="Y71" s="4">
        <f t="shared" si="7"/>
        <v>-0.0408204711616573</v>
      </c>
      <c r="Z71" s="2">
        <v>51.37</v>
      </c>
      <c r="AA71" s="2">
        <v>52</v>
      </c>
    </row>
    <row r="72" spans="1:27">
      <c r="A72">
        <v>127100</v>
      </c>
      <c r="B72" t="s">
        <v>173</v>
      </c>
      <c r="C72" s="5">
        <v>45281</v>
      </c>
      <c r="D72">
        <v>70034</v>
      </c>
      <c r="E72">
        <v>34</v>
      </c>
      <c r="F72" t="s">
        <v>174</v>
      </c>
      <c r="G72">
        <v>0.0044770632</v>
      </c>
      <c r="H72" s="5">
        <v>45310</v>
      </c>
      <c r="I72" t="s">
        <v>29</v>
      </c>
      <c r="J72" s="5">
        <v>45170</v>
      </c>
      <c r="K72" s="5">
        <v>45247</v>
      </c>
      <c r="L72">
        <v>111</v>
      </c>
      <c r="M72" s="2">
        <v>34</v>
      </c>
      <c r="N72" s="2">
        <v>31.65</v>
      </c>
      <c r="O72" s="2">
        <v>30.95</v>
      </c>
      <c r="P72" s="2">
        <v>35.34</v>
      </c>
      <c r="Q72" s="2">
        <v>35.51</v>
      </c>
      <c r="R72" s="2">
        <v>30.9</v>
      </c>
      <c r="S72" s="2">
        <v>29.06</v>
      </c>
      <c r="T72" s="3">
        <f t="shared" si="4"/>
        <v>-6.45</v>
      </c>
      <c r="U72" s="4">
        <f t="shared" si="5"/>
        <v>-0.181638974936638</v>
      </c>
      <c r="V72" s="2">
        <v>28.61</v>
      </c>
      <c r="W72" s="2">
        <v>29.74</v>
      </c>
      <c r="X72" s="3">
        <f t="shared" si="6"/>
        <v>-2.29</v>
      </c>
      <c r="Y72" s="4">
        <f t="shared" si="7"/>
        <v>-0.0770006724949563</v>
      </c>
      <c r="Z72" s="2">
        <v>26.35</v>
      </c>
      <c r="AA72" s="2">
        <v>26.53</v>
      </c>
    </row>
    <row r="73" spans="1:27">
      <c r="A73">
        <v>123235</v>
      </c>
      <c r="B73" t="s">
        <v>175</v>
      </c>
      <c r="C73" s="5">
        <v>45281</v>
      </c>
      <c r="D73">
        <v>370911</v>
      </c>
      <c r="E73">
        <v>300911</v>
      </c>
      <c r="F73" t="s">
        <v>176</v>
      </c>
      <c r="G73">
        <v>0.0010338434</v>
      </c>
      <c r="H73" s="5">
        <v>45303</v>
      </c>
      <c r="I73" t="s">
        <v>44</v>
      </c>
      <c r="J73" s="5">
        <v>45219</v>
      </c>
      <c r="K73" s="5">
        <v>45251</v>
      </c>
      <c r="L73">
        <v>62</v>
      </c>
      <c r="M73" s="2">
        <v>30</v>
      </c>
      <c r="N73" s="2">
        <v>37.69</v>
      </c>
      <c r="O73" s="2">
        <v>37.94</v>
      </c>
      <c r="P73" s="2">
        <v>37.62</v>
      </c>
      <c r="Q73" s="2">
        <v>37.7</v>
      </c>
      <c r="R73" s="2">
        <v>37.22</v>
      </c>
      <c r="S73" s="2">
        <v>36.58</v>
      </c>
      <c r="T73" s="3">
        <f t="shared" si="4"/>
        <v>-1.12</v>
      </c>
      <c r="U73" s="4">
        <f t="shared" si="5"/>
        <v>-0.0297082228116712</v>
      </c>
      <c r="V73" s="2">
        <v>35.4</v>
      </c>
      <c r="W73" s="2">
        <v>35.26</v>
      </c>
      <c r="X73" s="3">
        <f t="shared" si="6"/>
        <v>-1.82</v>
      </c>
      <c r="Y73" s="4">
        <f t="shared" si="7"/>
        <v>-0.0516165626772547</v>
      </c>
      <c r="Z73" s="2">
        <v>35.02</v>
      </c>
      <c r="AA73" s="2">
        <v>34.55</v>
      </c>
    </row>
    <row r="74" spans="1:27">
      <c r="A74">
        <v>118046</v>
      </c>
      <c r="B74" t="s">
        <v>177</v>
      </c>
      <c r="C74" s="5">
        <v>45275</v>
      </c>
      <c r="D74">
        <v>718076</v>
      </c>
      <c r="E74">
        <v>688076</v>
      </c>
      <c r="F74" t="s">
        <v>178</v>
      </c>
      <c r="G74">
        <v>0.00172269</v>
      </c>
      <c r="H74" s="5">
        <v>45309</v>
      </c>
      <c r="I74" t="s">
        <v>39</v>
      </c>
      <c r="J74" s="5">
        <v>45128</v>
      </c>
      <c r="K74" s="5">
        <v>45247</v>
      </c>
      <c r="L74">
        <v>147</v>
      </c>
      <c r="M74" s="2">
        <v>28</v>
      </c>
      <c r="N74" s="2">
        <v>34.1</v>
      </c>
      <c r="O74" s="2">
        <v>34.01</v>
      </c>
      <c r="P74" s="2">
        <v>42.2</v>
      </c>
      <c r="Q74" s="2">
        <v>42.6</v>
      </c>
      <c r="R74" s="2">
        <v>42.45</v>
      </c>
      <c r="S74" s="2">
        <v>41.06</v>
      </c>
      <c r="T74" s="3">
        <f t="shared" si="4"/>
        <v>-1.54</v>
      </c>
      <c r="U74" s="4">
        <f t="shared" si="5"/>
        <v>-0.036150234741784</v>
      </c>
      <c r="V74" s="2">
        <v>40.19</v>
      </c>
      <c r="W74" s="2">
        <v>40.45</v>
      </c>
      <c r="X74" s="3">
        <f t="shared" si="6"/>
        <v>-2.26</v>
      </c>
      <c r="Y74" s="4">
        <f t="shared" si="7"/>
        <v>-0.0558714462299136</v>
      </c>
      <c r="Z74" s="2">
        <v>42.94</v>
      </c>
      <c r="AA74" s="2">
        <v>42.8</v>
      </c>
    </row>
    <row r="75" spans="1:27">
      <c r="A75">
        <v>123234</v>
      </c>
      <c r="B75" t="s">
        <v>179</v>
      </c>
      <c r="C75" s="5">
        <v>45271</v>
      </c>
      <c r="D75">
        <v>370062</v>
      </c>
      <c r="E75">
        <v>300062</v>
      </c>
      <c r="F75" t="s">
        <v>180</v>
      </c>
      <c r="G75">
        <v>0.001357269</v>
      </c>
      <c r="H75" s="5">
        <v>45289</v>
      </c>
      <c r="I75" t="s">
        <v>39</v>
      </c>
      <c r="J75" s="5">
        <v>45129</v>
      </c>
      <c r="K75" s="5">
        <v>45240</v>
      </c>
      <c r="L75">
        <v>142</v>
      </c>
      <c r="M75" s="2">
        <v>31</v>
      </c>
      <c r="N75" s="2">
        <v>6.46</v>
      </c>
      <c r="O75" s="2">
        <v>6.44</v>
      </c>
      <c r="P75" s="2">
        <v>6.36</v>
      </c>
      <c r="Q75" s="2">
        <v>6.34</v>
      </c>
      <c r="R75" s="2">
        <v>6.28</v>
      </c>
      <c r="S75" s="2">
        <v>6.29</v>
      </c>
      <c r="T75" s="3">
        <f t="shared" si="4"/>
        <v>-0.0499999999999998</v>
      </c>
      <c r="U75" s="4">
        <f t="shared" si="5"/>
        <v>-0.00788643533123026</v>
      </c>
      <c r="V75" s="2">
        <v>6.01</v>
      </c>
      <c r="W75" s="2">
        <v>6.1</v>
      </c>
      <c r="X75" s="3">
        <f t="shared" si="6"/>
        <v>-0.27</v>
      </c>
      <c r="Y75" s="4">
        <f t="shared" si="7"/>
        <v>-0.0442622950819673</v>
      </c>
      <c r="Z75" s="2">
        <v>6.1</v>
      </c>
      <c r="AA75" s="2">
        <v>6.23</v>
      </c>
    </row>
    <row r="76" spans="1:27">
      <c r="A76">
        <v>127099</v>
      </c>
      <c r="B76" t="s">
        <v>181</v>
      </c>
      <c r="C76" s="5">
        <v>45266</v>
      </c>
      <c r="D76">
        <v>71205</v>
      </c>
      <c r="E76">
        <v>1205</v>
      </c>
      <c r="F76" t="s">
        <v>182</v>
      </c>
      <c r="G76">
        <v>0.0027218265</v>
      </c>
      <c r="H76" s="5">
        <v>45288</v>
      </c>
      <c r="I76" t="s">
        <v>44</v>
      </c>
      <c r="J76" s="5">
        <v>45170</v>
      </c>
      <c r="K76" s="8">
        <v>45229</v>
      </c>
      <c r="L76">
        <v>96</v>
      </c>
      <c r="M76" s="2">
        <v>37</v>
      </c>
      <c r="N76" s="2">
        <v>18.77</v>
      </c>
      <c r="O76" s="2">
        <v>18.64</v>
      </c>
      <c r="P76" s="2">
        <v>16.86</v>
      </c>
      <c r="Q76" s="2">
        <v>16.85</v>
      </c>
      <c r="R76" s="2">
        <v>18.81</v>
      </c>
      <c r="S76" s="2">
        <v>18.7</v>
      </c>
      <c r="T76" s="3">
        <f t="shared" si="4"/>
        <v>1.85</v>
      </c>
      <c r="U76" s="4">
        <f t="shared" si="5"/>
        <v>0.109792284866469</v>
      </c>
      <c r="V76" s="2">
        <v>17.81</v>
      </c>
      <c r="W76" s="2">
        <v>17.43</v>
      </c>
      <c r="X76" s="3">
        <f t="shared" si="6"/>
        <v>-1</v>
      </c>
      <c r="Y76" s="4">
        <f t="shared" si="7"/>
        <v>-0.057372346528973</v>
      </c>
      <c r="Z76" s="2">
        <v>16.72</v>
      </c>
      <c r="AA76" s="2">
        <v>17.05</v>
      </c>
    </row>
    <row r="77" spans="1:27">
      <c r="A77">
        <v>123233</v>
      </c>
      <c r="B77" t="s">
        <v>183</v>
      </c>
      <c r="C77" s="5">
        <v>45259</v>
      </c>
      <c r="D77">
        <v>371069</v>
      </c>
      <c r="E77">
        <v>301069</v>
      </c>
      <c r="F77" t="s">
        <v>184</v>
      </c>
      <c r="G77">
        <v>0.0012234346</v>
      </c>
      <c r="H77" s="5">
        <v>45275</v>
      </c>
      <c r="I77" t="s">
        <v>44</v>
      </c>
      <c r="J77" s="5">
        <v>45107</v>
      </c>
      <c r="K77" s="5">
        <v>45168</v>
      </c>
      <c r="L77">
        <v>152</v>
      </c>
      <c r="M77" s="2">
        <v>91</v>
      </c>
      <c r="N77" s="2">
        <v>23.46</v>
      </c>
      <c r="O77" s="2">
        <v>25.44</v>
      </c>
      <c r="P77" s="2">
        <v>21.64</v>
      </c>
      <c r="Q77" s="2">
        <v>21.9</v>
      </c>
      <c r="R77" s="2">
        <v>19.84</v>
      </c>
      <c r="S77" s="2">
        <v>20.17</v>
      </c>
      <c r="T77" s="3">
        <f t="shared" si="4"/>
        <v>-1.73</v>
      </c>
      <c r="U77" s="4">
        <f t="shared" si="5"/>
        <v>-0.0789954337899542</v>
      </c>
      <c r="V77" s="2">
        <v>19.67</v>
      </c>
      <c r="W77" s="2">
        <v>19.47</v>
      </c>
      <c r="X77" s="3">
        <f t="shared" si="6"/>
        <v>-0.169999999999998</v>
      </c>
      <c r="Y77" s="4">
        <f t="shared" si="7"/>
        <v>-0.00873138161273745</v>
      </c>
      <c r="Z77" s="2">
        <v>18.24</v>
      </c>
      <c r="AA77" s="2">
        <v>18.1</v>
      </c>
    </row>
    <row r="78" spans="1:27">
      <c r="A78">
        <v>123232</v>
      </c>
      <c r="B78" t="s">
        <v>185</v>
      </c>
      <c r="C78" s="5">
        <v>45257</v>
      </c>
      <c r="D78">
        <v>370830</v>
      </c>
      <c r="E78">
        <v>300830</v>
      </c>
      <c r="F78" t="s">
        <v>186</v>
      </c>
      <c r="G78">
        <v>0.0014685712</v>
      </c>
      <c r="H78" s="5">
        <v>45279</v>
      </c>
      <c r="I78" t="s">
        <v>39</v>
      </c>
      <c r="J78" s="5">
        <v>45107</v>
      </c>
      <c r="K78" s="5">
        <v>45169</v>
      </c>
      <c r="L78">
        <v>150</v>
      </c>
      <c r="M78" s="2">
        <v>88</v>
      </c>
      <c r="N78" s="2">
        <v>9.59</v>
      </c>
      <c r="O78" s="2">
        <v>9.5</v>
      </c>
      <c r="P78" s="2">
        <v>8.89</v>
      </c>
      <c r="Q78" s="2">
        <v>8.84</v>
      </c>
      <c r="R78" s="2">
        <v>9.41</v>
      </c>
      <c r="S78" s="2">
        <v>9.25</v>
      </c>
      <c r="T78" s="3">
        <f t="shared" si="4"/>
        <v>0.41</v>
      </c>
      <c r="U78" s="4">
        <f t="shared" si="5"/>
        <v>0.0463800904977376</v>
      </c>
      <c r="V78" s="2">
        <v>8.71</v>
      </c>
      <c r="W78" s="2">
        <v>8.99</v>
      </c>
      <c r="X78" s="3">
        <f t="shared" si="6"/>
        <v>-0.699999999999999</v>
      </c>
      <c r="Y78" s="4">
        <f t="shared" si="7"/>
        <v>-0.0778642936596217</v>
      </c>
      <c r="Z78" s="2">
        <v>8.72</v>
      </c>
      <c r="AA78" s="2">
        <v>8.7</v>
      </c>
    </row>
    <row r="79" spans="1:27">
      <c r="A79">
        <v>127098</v>
      </c>
      <c r="B79" t="s">
        <v>187</v>
      </c>
      <c r="C79" s="5">
        <v>45254</v>
      </c>
      <c r="D79">
        <v>71269</v>
      </c>
      <c r="E79">
        <v>1269</v>
      </c>
      <c r="F79" t="s">
        <v>188</v>
      </c>
      <c r="G79">
        <v>0.0017127732</v>
      </c>
      <c r="H79" s="5">
        <v>45275</v>
      </c>
      <c r="I79" t="s">
        <v>44</v>
      </c>
      <c r="J79" s="5">
        <v>45136</v>
      </c>
      <c r="K79" s="5">
        <v>45240</v>
      </c>
      <c r="L79">
        <v>118</v>
      </c>
      <c r="M79" s="2">
        <v>14</v>
      </c>
      <c r="N79" s="2">
        <v>57.69</v>
      </c>
      <c r="O79" s="2">
        <v>57.85</v>
      </c>
      <c r="P79" s="2">
        <v>46.8</v>
      </c>
      <c r="Q79" s="2">
        <v>46.64</v>
      </c>
      <c r="R79" s="2">
        <v>45.68</v>
      </c>
      <c r="S79" s="2">
        <v>46.23</v>
      </c>
      <c r="T79" s="3">
        <f t="shared" si="4"/>
        <v>-0.410000000000004</v>
      </c>
      <c r="U79" s="4">
        <f t="shared" si="5"/>
        <v>-0.00879073756432255</v>
      </c>
      <c r="V79" s="2">
        <v>44.99</v>
      </c>
      <c r="W79" s="2">
        <v>43.89</v>
      </c>
      <c r="X79" s="3">
        <f t="shared" si="6"/>
        <v>-0.689999999999998</v>
      </c>
      <c r="Y79" s="4">
        <f t="shared" si="7"/>
        <v>-0.0157211209842788</v>
      </c>
      <c r="Z79" s="2">
        <v>38.2</v>
      </c>
      <c r="AA79" s="2">
        <v>38.65</v>
      </c>
    </row>
    <row r="80" spans="1:27">
      <c r="A80">
        <v>113680</v>
      </c>
      <c r="B80" t="s">
        <v>189</v>
      </c>
      <c r="C80" s="5">
        <v>45245</v>
      </c>
      <c r="D80">
        <v>754937</v>
      </c>
      <c r="E80">
        <v>603937</v>
      </c>
      <c r="F80" t="s">
        <v>190</v>
      </c>
      <c r="G80">
        <v>0.00048969</v>
      </c>
      <c r="H80" s="5">
        <v>45265</v>
      </c>
      <c r="I80" t="s">
        <v>39</v>
      </c>
      <c r="J80" s="5">
        <v>45127</v>
      </c>
      <c r="K80" s="8">
        <v>45191</v>
      </c>
      <c r="L80">
        <v>118</v>
      </c>
      <c r="M80" s="2">
        <v>54</v>
      </c>
      <c r="N80" s="2">
        <v>12.7</v>
      </c>
      <c r="O80" s="2">
        <v>12.45</v>
      </c>
      <c r="P80" s="2">
        <v>12.81</v>
      </c>
      <c r="Q80" s="2">
        <v>12.72</v>
      </c>
      <c r="R80" s="2">
        <v>12.98</v>
      </c>
      <c r="S80" s="2">
        <v>13.18</v>
      </c>
      <c r="T80" s="3">
        <f t="shared" si="4"/>
        <v>0.459999999999999</v>
      </c>
      <c r="U80" s="4">
        <f t="shared" si="5"/>
        <v>0.0361635220125785</v>
      </c>
      <c r="V80" s="2">
        <v>12.4</v>
      </c>
      <c r="W80" s="2">
        <v>12.59</v>
      </c>
      <c r="X80" s="3">
        <f t="shared" si="6"/>
        <v>-0.58</v>
      </c>
      <c r="Y80" s="4">
        <f t="shared" si="7"/>
        <v>-0.0460683081810961</v>
      </c>
      <c r="Z80" s="2">
        <v>12.83</v>
      </c>
      <c r="AA80" s="2">
        <v>12.46</v>
      </c>
    </row>
    <row r="81" spans="1:27">
      <c r="A81">
        <v>123230</v>
      </c>
      <c r="B81" t="s">
        <v>191</v>
      </c>
      <c r="C81" s="5">
        <v>45239</v>
      </c>
      <c r="D81">
        <v>371133</v>
      </c>
      <c r="E81">
        <v>301133</v>
      </c>
      <c r="F81" t="s">
        <v>192</v>
      </c>
      <c r="G81">
        <v>0.0004519079</v>
      </c>
      <c r="H81" s="5">
        <v>45261</v>
      </c>
      <c r="I81" t="s">
        <v>110</v>
      </c>
      <c r="J81" s="5">
        <v>45121</v>
      </c>
      <c r="K81" s="5">
        <v>45168</v>
      </c>
      <c r="L81">
        <v>118</v>
      </c>
      <c r="M81" s="2">
        <v>71</v>
      </c>
      <c r="N81" s="2">
        <v>28.19</v>
      </c>
      <c r="O81" s="2">
        <v>27.71</v>
      </c>
      <c r="P81" s="2">
        <v>26.88</v>
      </c>
      <c r="Q81" s="2">
        <v>27.41</v>
      </c>
      <c r="R81" s="2">
        <v>29.59</v>
      </c>
      <c r="S81" s="2">
        <v>29.7</v>
      </c>
      <c r="T81" s="3">
        <f t="shared" si="4"/>
        <v>2.29</v>
      </c>
      <c r="U81" s="4">
        <f t="shared" si="5"/>
        <v>0.0835461510397665</v>
      </c>
      <c r="V81" s="2">
        <v>27.81</v>
      </c>
      <c r="W81" s="2">
        <v>28.71</v>
      </c>
      <c r="X81" s="3">
        <f t="shared" si="6"/>
        <v>-1.78</v>
      </c>
      <c r="Y81" s="4">
        <f t="shared" si="7"/>
        <v>-0.0619993033786138</v>
      </c>
      <c r="Z81" s="2">
        <v>31.75</v>
      </c>
      <c r="AA81" s="2">
        <v>31.96</v>
      </c>
    </row>
    <row r="82" spans="1:27">
      <c r="A82">
        <v>123231</v>
      </c>
      <c r="B82" t="s">
        <v>193</v>
      </c>
      <c r="C82" s="5">
        <v>45239</v>
      </c>
      <c r="D82">
        <v>370938</v>
      </c>
      <c r="E82">
        <v>300938</v>
      </c>
      <c r="F82" t="s">
        <v>194</v>
      </c>
      <c r="G82">
        <v>0.0010515875</v>
      </c>
      <c r="H82" s="5">
        <v>45259</v>
      </c>
      <c r="I82" t="s">
        <v>44</v>
      </c>
      <c r="J82" s="5">
        <v>45121</v>
      </c>
      <c r="K82" s="5">
        <v>45168</v>
      </c>
      <c r="L82">
        <v>118</v>
      </c>
      <c r="M82" s="2">
        <v>71</v>
      </c>
      <c r="N82" s="2">
        <v>42.2</v>
      </c>
      <c r="O82" s="2">
        <v>41.92</v>
      </c>
      <c r="P82" s="2">
        <v>41.33</v>
      </c>
      <c r="Q82" s="2">
        <v>42.01</v>
      </c>
      <c r="R82" s="2">
        <v>37.14</v>
      </c>
      <c r="S82" s="2">
        <v>36.66</v>
      </c>
      <c r="T82" s="3">
        <f t="shared" si="4"/>
        <v>-5.35</v>
      </c>
      <c r="U82" s="4">
        <f t="shared" si="5"/>
        <v>-0.12735063080219</v>
      </c>
      <c r="V82" s="2">
        <v>35.5</v>
      </c>
      <c r="W82" s="2">
        <v>35.88</v>
      </c>
      <c r="X82" s="3">
        <f t="shared" si="6"/>
        <v>-1.64</v>
      </c>
      <c r="Y82" s="4">
        <f t="shared" si="7"/>
        <v>-0.0457079152731327</v>
      </c>
      <c r="Z82" s="2">
        <v>37.49</v>
      </c>
      <c r="AA82" s="2">
        <v>36.83</v>
      </c>
    </row>
    <row r="83" spans="1:27">
      <c r="A83">
        <v>127097</v>
      </c>
      <c r="B83" t="s">
        <v>195</v>
      </c>
      <c r="C83" s="5">
        <v>45225</v>
      </c>
      <c r="D83">
        <v>71317</v>
      </c>
      <c r="E83">
        <v>1317</v>
      </c>
      <c r="F83" t="s">
        <v>196</v>
      </c>
      <c r="G83">
        <v>0.0004248122</v>
      </c>
      <c r="H83" s="5">
        <v>45247</v>
      </c>
      <c r="I83" t="s">
        <v>39</v>
      </c>
      <c r="J83" s="5">
        <v>45099</v>
      </c>
      <c r="K83" s="5">
        <v>45176</v>
      </c>
      <c r="L83">
        <v>126</v>
      </c>
      <c r="M83" s="2">
        <v>49</v>
      </c>
      <c r="N83" s="2">
        <v>36.59</v>
      </c>
      <c r="O83" s="2">
        <v>35.97</v>
      </c>
      <c r="P83" s="2">
        <v>36.8</v>
      </c>
      <c r="Q83" s="2">
        <v>36.03</v>
      </c>
      <c r="R83" s="2">
        <v>35.88</v>
      </c>
      <c r="S83" s="2">
        <v>35.94</v>
      </c>
      <c r="T83" s="3">
        <f t="shared" si="4"/>
        <v>-0.0900000000000034</v>
      </c>
      <c r="U83" s="4">
        <f t="shared" si="5"/>
        <v>-0.00249791840133232</v>
      </c>
      <c r="V83" s="2">
        <v>33</v>
      </c>
      <c r="W83" s="2">
        <v>33.97</v>
      </c>
      <c r="X83" s="3">
        <f t="shared" si="6"/>
        <v>-2.88</v>
      </c>
      <c r="Y83" s="4">
        <f t="shared" si="7"/>
        <v>-0.0847806888430969</v>
      </c>
      <c r="Z83" s="2">
        <v>37.69</v>
      </c>
      <c r="AA83" s="2">
        <v>40.05</v>
      </c>
    </row>
    <row r="84" spans="1:27">
      <c r="A84">
        <v>113679</v>
      </c>
      <c r="B84" t="s">
        <v>197</v>
      </c>
      <c r="C84" s="5">
        <v>45225</v>
      </c>
      <c r="D84">
        <v>754105</v>
      </c>
      <c r="E84">
        <v>603105</v>
      </c>
      <c r="F84" t="s">
        <v>198</v>
      </c>
      <c r="G84">
        <v>0.00265816</v>
      </c>
      <c r="H84" s="5">
        <v>45254</v>
      </c>
      <c r="I84" t="s">
        <v>44</v>
      </c>
      <c r="J84" s="5">
        <v>45150</v>
      </c>
      <c r="K84" s="5">
        <v>45191</v>
      </c>
      <c r="L84">
        <v>75</v>
      </c>
      <c r="M84" s="2">
        <v>34</v>
      </c>
      <c r="N84" s="2">
        <v>14.85</v>
      </c>
      <c r="O84" s="2">
        <v>15.08</v>
      </c>
      <c r="P84" s="2">
        <v>13.08</v>
      </c>
      <c r="Q84" s="2">
        <v>13.43</v>
      </c>
      <c r="R84" s="2">
        <v>12.3</v>
      </c>
      <c r="S84" s="2">
        <v>12.02</v>
      </c>
      <c r="T84" s="3">
        <f t="shared" si="4"/>
        <v>-1.41</v>
      </c>
      <c r="U84" s="4">
        <f t="shared" si="5"/>
        <v>-0.104988830975428</v>
      </c>
      <c r="V84" s="2">
        <v>11.5</v>
      </c>
      <c r="W84" s="2">
        <v>11.88</v>
      </c>
      <c r="X84" s="3">
        <f t="shared" si="6"/>
        <v>-0.800000000000001</v>
      </c>
      <c r="Y84" s="4">
        <f t="shared" si="7"/>
        <v>-0.0673400673400674</v>
      </c>
      <c r="Z84" s="2">
        <v>12.63</v>
      </c>
      <c r="AA84" s="2">
        <v>12.37</v>
      </c>
    </row>
    <row r="85" spans="1:27">
      <c r="A85">
        <v>123229</v>
      </c>
      <c r="B85" t="s">
        <v>199</v>
      </c>
      <c r="C85" s="5">
        <v>45222</v>
      </c>
      <c r="D85">
        <v>371062</v>
      </c>
      <c r="E85">
        <v>301062</v>
      </c>
      <c r="F85" t="s">
        <v>200</v>
      </c>
      <c r="G85">
        <v>0.0015666985</v>
      </c>
      <c r="H85" s="5">
        <v>45250</v>
      </c>
      <c r="I85" t="s">
        <v>39</v>
      </c>
      <c r="J85" s="5">
        <v>45121</v>
      </c>
      <c r="K85" s="5">
        <v>45167</v>
      </c>
      <c r="L85">
        <v>101</v>
      </c>
      <c r="M85" s="2">
        <v>55</v>
      </c>
      <c r="N85" s="2">
        <v>10.41</v>
      </c>
      <c r="O85" s="2">
        <v>10.43</v>
      </c>
      <c r="P85" s="2">
        <v>9.34</v>
      </c>
      <c r="Q85" s="2">
        <v>9.73</v>
      </c>
      <c r="R85" s="2">
        <v>9.7</v>
      </c>
      <c r="S85" s="2">
        <v>9.63</v>
      </c>
      <c r="T85" s="3">
        <f t="shared" si="4"/>
        <v>-0.0999999999999996</v>
      </c>
      <c r="U85" s="4">
        <f t="shared" si="5"/>
        <v>-0.0102774922918807</v>
      </c>
      <c r="V85" s="2">
        <v>9.22</v>
      </c>
      <c r="W85" s="2">
        <v>8.93</v>
      </c>
      <c r="X85" s="3">
        <f t="shared" si="6"/>
        <v>-0.479999999999999</v>
      </c>
      <c r="Y85" s="4">
        <f t="shared" si="7"/>
        <v>-0.0537513997760357</v>
      </c>
      <c r="Z85" s="2">
        <v>11.27</v>
      </c>
      <c r="AA85" s="2">
        <v>11.45</v>
      </c>
    </row>
    <row r="86" spans="1:27">
      <c r="A86">
        <v>123228</v>
      </c>
      <c r="B86" t="s">
        <v>201</v>
      </c>
      <c r="C86" s="5">
        <v>45219</v>
      </c>
      <c r="D86">
        <v>370953</v>
      </c>
      <c r="E86">
        <v>300953</v>
      </c>
      <c r="F86" t="s">
        <v>202</v>
      </c>
      <c r="G86">
        <v>0.0033437479</v>
      </c>
      <c r="H86" s="5">
        <v>45239</v>
      </c>
      <c r="I86" t="s">
        <v>44</v>
      </c>
      <c r="J86" s="5">
        <v>45135</v>
      </c>
      <c r="K86" s="5">
        <v>45175</v>
      </c>
      <c r="L86">
        <v>84</v>
      </c>
      <c r="M86" s="2">
        <v>44</v>
      </c>
      <c r="N86" s="2">
        <v>70.34</v>
      </c>
      <c r="O86" s="2">
        <v>70.86</v>
      </c>
      <c r="P86" s="2">
        <v>61.39</v>
      </c>
      <c r="Q86" s="2">
        <v>63.91</v>
      </c>
      <c r="R86" s="2">
        <v>59.02</v>
      </c>
      <c r="S86" s="2">
        <v>57.7</v>
      </c>
      <c r="T86" s="3">
        <f t="shared" si="4"/>
        <v>-6.20999999999999</v>
      </c>
      <c r="U86" s="4">
        <f t="shared" si="5"/>
        <v>-0.0971678923486151</v>
      </c>
      <c r="V86" s="2">
        <v>55.43</v>
      </c>
      <c r="W86" s="2">
        <v>57.57</v>
      </c>
      <c r="X86" s="3">
        <f t="shared" si="6"/>
        <v>-3.59</v>
      </c>
      <c r="Y86" s="4">
        <f t="shared" si="7"/>
        <v>-0.062358867465694</v>
      </c>
      <c r="Z86" s="2">
        <v>58.86</v>
      </c>
      <c r="AA86" s="2">
        <v>58.73</v>
      </c>
    </row>
    <row r="87" spans="1:27">
      <c r="A87">
        <v>123227</v>
      </c>
      <c r="B87" t="s">
        <v>203</v>
      </c>
      <c r="C87" s="5">
        <v>45219</v>
      </c>
      <c r="D87">
        <v>371099</v>
      </c>
      <c r="E87">
        <v>301099</v>
      </c>
      <c r="F87" t="s">
        <v>204</v>
      </c>
      <c r="G87">
        <v>0.0008851171</v>
      </c>
      <c r="H87" s="5">
        <v>45240</v>
      </c>
      <c r="I87" t="s">
        <v>39</v>
      </c>
      <c r="J87" s="5">
        <v>45121</v>
      </c>
      <c r="K87" s="5">
        <v>45170</v>
      </c>
      <c r="L87">
        <v>98</v>
      </c>
      <c r="M87" s="2">
        <v>49</v>
      </c>
      <c r="N87" s="2">
        <v>64.2</v>
      </c>
      <c r="O87" s="2">
        <v>61.71</v>
      </c>
      <c r="P87" s="2">
        <v>45.41</v>
      </c>
      <c r="Q87" s="2">
        <v>45.56</v>
      </c>
      <c r="R87" s="2">
        <v>51.39</v>
      </c>
      <c r="S87" s="2">
        <v>49.3</v>
      </c>
      <c r="T87" s="3">
        <f t="shared" si="4"/>
        <v>3.73999999999999</v>
      </c>
      <c r="U87" s="4">
        <f t="shared" si="5"/>
        <v>0.0820895522388059</v>
      </c>
      <c r="V87" s="2">
        <v>46.75</v>
      </c>
      <c r="W87" s="2">
        <v>46.61</v>
      </c>
      <c r="X87" s="3">
        <f t="shared" si="6"/>
        <v>-4.64</v>
      </c>
      <c r="Y87" s="4">
        <f t="shared" si="7"/>
        <v>-0.0995494529071015</v>
      </c>
      <c r="Z87" s="2">
        <v>52.4</v>
      </c>
      <c r="AA87" s="2">
        <v>53.62</v>
      </c>
    </row>
    <row r="88" spans="1:27">
      <c r="A88">
        <v>113678</v>
      </c>
      <c r="B88" t="s">
        <v>205</v>
      </c>
      <c r="C88" s="5">
        <v>45218</v>
      </c>
      <c r="D88">
        <v>754220</v>
      </c>
      <c r="E88">
        <v>603220</v>
      </c>
      <c r="F88" t="s">
        <v>206</v>
      </c>
      <c r="G88">
        <v>0.00148949</v>
      </c>
      <c r="H88" s="5">
        <v>45251</v>
      </c>
      <c r="I88" t="s">
        <v>39</v>
      </c>
      <c r="J88" s="5">
        <v>45105</v>
      </c>
      <c r="K88" s="8">
        <v>45164</v>
      </c>
      <c r="L88">
        <v>113</v>
      </c>
      <c r="M88" s="2">
        <v>54</v>
      </c>
      <c r="N88" s="2">
        <v>15.37</v>
      </c>
      <c r="O88" s="2">
        <v>14.8</v>
      </c>
      <c r="P88" s="2">
        <v>22.53</v>
      </c>
      <c r="Q88" s="2">
        <v>20.8</v>
      </c>
      <c r="R88" s="2">
        <v>33.9</v>
      </c>
      <c r="S88" s="2">
        <v>38.32</v>
      </c>
      <c r="T88" s="3">
        <f t="shared" si="4"/>
        <v>17.52</v>
      </c>
      <c r="U88" s="4">
        <f t="shared" si="5"/>
        <v>0.842307692307692</v>
      </c>
      <c r="V88" s="2">
        <v>39</v>
      </c>
      <c r="W88" s="2">
        <v>35.5</v>
      </c>
      <c r="X88" s="3">
        <f t="shared" si="6"/>
        <v>5.1</v>
      </c>
      <c r="Y88" s="4">
        <f t="shared" si="7"/>
        <v>0.143661971830986</v>
      </c>
      <c r="Z88" s="2">
        <v>49.55</v>
      </c>
      <c r="AA88" s="2">
        <v>46.1</v>
      </c>
    </row>
    <row r="89" spans="1:27">
      <c r="A89">
        <v>127095</v>
      </c>
      <c r="B89" t="s">
        <v>207</v>
      </c>
      <c r="C89" s="5">
        <v>45217</v>
      </c>
      <c r="D89">
        <v>72111</v>
      </c>
      <c r="E89">
        <v>2111</v>
      </c>
      <c r="F89" t="s">
        <v>208</v>
      </c>
      <c r="G89">
        <v>0.0022347742</v>
      </c>
      <c r="H89" s="5">
        <v>45240</v>
      </c>
      <c r="I89" t="s">
        <v>44</v>
      </c>
      <c r="J89" s="5">
        <v>45121</v>
      </c>
      <c r="K89" s="5">
        <v>45171</v>
      </c>
      <c r="L89">
        <v>96</v>
      </c>
      <c r="M89" s="2">
        <v>46</v>
      </c>
      <c r="N89" s="2">
        <v>9.44</v>
      </c>
      <c r="O89" s="2">
        <v>9.34</v>
      </c>
      <c r="P89" s="2">
        <v>9.12</v>
      </c>
      <c r="Q89" s="2">
        <v>9.21</v>
      </c>
      <c r="R89" s="2">
        <v>9.2</v>
      </c>
      <c r="S89" s="2">
        <v>8.94</v>
      </c>
      <c r="T89" s="3">
        <f t="shared" si="4"/>
        <v>-0.270000000000001</v>
      </c>
      <c r="U89" s="4">
        <f t="shared" si="5"/>
        <v>-0.0293159609120523</v>
      </c>
      <c r="V89" s="2">
        <v>8.69</v>
      </c>
      <c r="W89" s="2">
        <v>8.64</v>
      </c>
      <c r="X89" s="3">
        <f t="shared" si="6"/>
        <v>-0.51</v>
      </c>
      <c r="Y89" s="4">
        <f t="shared" si="7"/>
        <v>-0.0590277777777777</v>
      </c>
      <c r="Z89" s="2">
        <v>9.25</v>
      </c>
      <c r="AA89" s="2">
        <v>9.3</v>
      </c>
    </row>
    <row r="90" spans="1:27">
      <c r="A90">
        <v>127094</v>
      </c>
      <c r="B90" t="s">
        <v>209</v>
      </c>
      <c r="C90" s="5">
        <v>45217</v>
      </c>
      <c r="D90">
        <v>72809</v>
      </c>
      <c r="E90">
        <v>2809</v>
      </c>
      <c r="F90" t="s">
        <v>210</v>
      </c>
      <c r="G90">
        <v>0.000963578</v>
      </c>
      <c r="H90" s="5">
        <v>45238</v>
      </c>
      <c r="I90" t="s">
        <v>39</v>
      </c>
      <c r="J90" s="5">
        <v>45121</v>
      </c>
      <c r="K90" s="5">
        <v>45170</v>
      </c>
      <c r="L90">
        <v>96</v>
      </c>
      <c r="M90" s="2">
        <v>47</v>
      </c>
      <c r="N90" s="2">
        <v>11.16</v>
      </c>
      <c r="O90" s="2">
        <v>11.05</v>
      </c>
      <c r="P90" s="2">
        <v>10.89</v>
      </c>
      <c r="Q90" s="2">
        <v>10.96</v>
      </c>
      <c r="R90" s="2">
        <v>10.8</v>
      </c>
      <c r="S90" s="2">
        <v>10.66</v>
      </c>
      <c r="T90" s="3">
        <f t="shared" si="4"/>
        <v>-0.300000000000001</v>
      </c>
      <c r="U90" s="4">
        <f t="shared" si="5"/>
        <v>-0.0273722627737227</v>
      </c>
      <c r="V90" s="2">
        <v>9.74</v>
      </c>
      <c r="W90" s="2">
        <v>9.59</v>
      </c>
      <c r="X90" s="3">
        <f t="shared" si="6"/>
        <v>-1.06</v>
      </c>
      <c r="Y90" s="4">
        <f t="shared" si="7"/>
        <v>-0.110531803962461</v>
      </c>
      <c r="Z90" s="2">
        <v>10.68</v>
      </c>
      <c r="AA90" s="2">
        <v>10.65</v>
      </c>
    </row>
    <row r="91" spans="1:27">
      <c r="A91">
        <v>127093</v>
      </c>
      <c r="B91" t="s">
        <v>211</v>
      </c>
      <c r="C91" s="5">
        <v>45216</v>
      </c>
      <c r="D91">
        <v>72598</v>
      </c>
      <c r="E91">
        <v>2598</v>
      </c>
      <c r="F91" t="s">
        <v>212</v>
      </c>
      <c r="G91">
        <v>0.0007387761</v>
      </c>
      <c r="H91" s="5">
        <v>45233</v>
      </c>
      <c r="I91" t="s">
        <v>39</v>
      </c>
      <c r="J91" s="5">
        <v>45115</v>
      </c>
      <c r="K91" s="5">
        <v>45168</v>
      </c>
      <c r="L91">
        <v>101</v>
      </c>
      <c r="M91" s="2">
        <v>48</v>
      </c>
      <c r="N91" s="2">
        <v>11.61</v>
      </c>
      <c r="O91" s="2">
        <v>11.56</v>
      </c>
      <c r="P91" s="2">
        <v>10.48</v>
      </c>
      <c r="Q91" s="2">
        <v>10.51</v>
      </c>
      <c r="R91" s="2">
        <v>10.55</v>
      </c>
      <c r="S91" s="2">
        <v>10.52</v>
      </c>
      <c r="T91" s="3">
        <f t="shared" si="4"/>
        <v>0.00999999999999979</v>
      </c>
      <c r="U91" s="4">
        <f t="shared" si="5"/>
        <v>0.000951474785918153</v>
      </c>
      <c r="V91" s="2">
        <v>9.81</v>
      </c>
      <c r="W91" s="2">
        <v>9.74</v>
      </c>
      <c r="X91" s="3">
        <f t="shared" si="6"/>
        <v>-0.74</v>
      </c>
      <c r="Y91" s="4">
        <f t="shared" si="7"/>
        <v>-0.0759753593429158</v>
      </c>
      <c r="Z91" s="2">
        <v>9.96</v>
      </c>
      <c r="AA91" s="2">
        <v>10.05</v>
      </c>
    </row>
    <row r="92" spans="1:27">
      <c r="A92">
        <v>123226</v>
      </c>
      <c r="B92" t="s">
        <v>213</v>
      </c>
      <c r="C92" s="5">
        <v>45215</v>
      </c>
      <c r="D92">
        <v>370814</v>
      </c>
      <c r="E92">
        <v>300814</v>
      </c>
      <c r="F92" t="s">
        <v>214</v>
      </c>
      <c r="G92">
        <v>0.0008351318</v>
      </c>
      <c r="H92" s="5">
        <v>45233</v>
      </c>
      <c r="I92" t="s">
        <v>44</v>
      </c>
      <c r="J92" s="5">
        <v>45135</v>
      </c>
      <c r="K92" s="5">
        <v>45175</v>
      </c>
      <c r="L92">
        <v>80</v>
      </c>
      <c r="M92" s="2">
        <v>40</v>
      </c>
      <c r="N92" s="2">
        <v>30.2</v>
      </c>
      <c r="O92" s="2">
        <v>29.24</v>
      </c>
      <c r="P92" s="2">
        <v>38.39</v>
      </c>
      <c r="Q92" s="2">
        <v>43.4</v>
      </c>
      <c r="R92" s="2">
        <v>34.5</v>
      </c>
      <c r="S92" s="2">
        <v>36.16</v>
      </c>
      <c r="T92" s="3">
        <f t="shared" si="4"/>
        <v>-7.24</v>
      </c>
      <c r="U92" s="4">
        <f t="shared" si="5"/>
        <v>-0.166820276497696</v>
      </c>
      <c r="V92" s="2">
        <v>34.83</v>
      </c>
      <c r="W92" s="2">
        <v>32.46</v>
      </c>
      <c r="X92" s="3">
        <f t="shared" si="6"/>
        <v>0.329999999999998</v>
      </c>
      <c r="Y92" s="4">
        <f t="shared" si="7"/>
        <v>0.010166358595194</v>
      </c>
      <c r="Z92" s="2">
        <v>30.33</v>
      </c>
      <c r="AA92" s="2">
        <v>31.96</v>
      </c>
    </row>
    <row r="93" spans="1:27">
      <c r="A93">
        <v>123225</v>
      </c>
      <c r="B93" t="s">
        <v>215</v>
      </c>
      <c r="C93" s="5">
        <v>45209</v>
      </c>
      <c r="D93">
        <v>370890</v>
      </c>
      <c r="E93">
        <v>300890</v>
      </c>
      <c r="F93" t="s">
        <v>216</v>
      </c>
      <c r="G93">
        <v>0.0035777723</v>
      </c>
      <c r="H93" s="5">
        <v>45225</v>
      </c>
      <c r="I93" t="s">
        <v>44</v>
      </c>
      <c r="J93" s="5">
        <v>45135</v>
      </c>
      <c r="K93" s="5">
        <v>45175</v>
      </c>
      <c r="L93">
        <v>74</v>
      </c>
      <c r="M93" s="2">
        <v>34</v>
      </c>
      <c r="N93" s="2">
        <v>39.34</v>
      </c>
      <c r="O93" s="2">
        <v>39.78</v>
      </c>
      <c r="P93" s="2">
        <v>33.88</v>
      </c>
      <c r="Q93" s="2">
        <v>34.58</v>
      </c>
      <c r="R93" s="2">
        <v>34.66</v>
      </c>
      <c r="S93" s="2">
        <v>34.49</v>
      </c>
      <c r="T93" s="3">
        <f t="shared" si="4"/>
        <v>-0.0899999999999963</v>
      </c>
      <c r="U93" s="4">
        <f t="shared" si="5"/>
        <v>-0.00260266049739723</v>
      </c>
      <c r="V93" s="2">
        <v>32.88</v>
      </c>
      <c r="W93" s="2">
        <v>33.1</v>
      </c>
      <c r="X93" s="3">
        <f t="shared" si="6"/>
        <v>-1.77999999999999</v>
      </c>
      <c r="Y93" s="4">
        <f t="shared" si="7"/>
        <v>-0.053776435045317</v>
      </c>
      <c r="Z93" s="2">
        <v>34.56</v>
      </c>
      <c r="AA93" s="2">
        <v>36.08</v>
      </c>
    </row>
    <row r="94" spans="1:27">
      <c r="A94">
        <v>127092</v>
      </c>
      <c r="B94" t="s">
        <v>217</v>
      </c>
      <c r="C94" s="5">
        <v>45190</v>
      </c>
      <c r="D94">
        <v>71288</v>
      </c>
      <c r="E94">
        <v>1288</v>
      </c>
      <c r="F94" t="s">
        <v>218</v>
      </c>
      <c r="G94">
        <v>0.0017956304</v>
      </c>
      <c r="H94" s="5">
        <v>45219</v>
      </c>
      <c r="I94" t="s">
        <v>44</v>
      </c>
      <c r="J94" s="5">
        <v>45136</v>
      </c>
      <c r="K94" s="5">
        <v>45176</v>
      </c>
      <c r="L94">
        <v>54</v>
      </c>
      <c r="M94" s="2">
        <v>14</v>
      </c>
      <c r="N94" s="2">
        <v>17.05</v>
      </c>
      <c r="O94" s="2">
        <v>17.42</v>
      </c>
      <c r="P94" s="2">
        <v>17.88</v>
      </c>
      <c r="Q94" s="2">
        <v>17.43</v>
      </c>
      <c r="R94" s="2">
        <v>17.8</v>
      </c>
      <c r="S94" s="2">
        <v>18.03</v>
      </c>
      <c r="T94" s="3">
        <f t="shared" si="4"/>
        <v>0.600000000000001</v>
      </c>
      <c r="U94" s="4">
        <f t="shared" si="5"/>
        <v>0.0344234079173839</v>
      </c>
      <c r="V94" s="2">
        <v>16.53</v>
      </c>
      <c r="W94" s="2">
        <v>16.75</v>
      </c>
      <c r="X94" s="3">
        <f t="shared" si="6"/>
        <v>-1.27</v>
      </c>
      <c r="Y94" s="4">
        <f t="shared" si="7"/>
        <v>-0.075820895522388</v>
      </c>
      <c r="Z94" s="2">
        <v>16.05</v>
      </c>
      <c r="AA94" s="2">
        <v>16.33</v>
      </c>
    </row>
    <row r="95" spans="1:27">
      <c r="A95">
        <v>123224</v>
      </c>
      <c r="B95" t="s">
        <v>219</v>
      </c>
      <c r="C95" s="5">
        <v>45188</v>
      </c>
      <c r="D95">
        <v>371266</v>
      </c>
      <c r="E95">
        <v>301266</v>
      </c>
      <c r="F95" t="s">
        <v>220</v>
      </c>
      <c r="G95">
        <v>0.0009705603</v>
      </c>
      <c r="H95" s="5">
        <v>45217</v>
      </c>
      <c r="I95" t="s">
        <v>39</v>
      </c>
      <c r="J95" s="5">
        <v>45120</v>
      </c>
      <c r="K95" s="5">
        <v>45168</v>
      </c>
      <c r="L95">
        <v>68</v>
      </c>
      <c r="M95" s="2">
        <v>20</v>
      </c>
      <c r="N95" s="2">
        <v>67.14</v>
      </c>
      <c r="O95" s="2">
        <v>65</v>
      </c>
      <c r="P95" s="2">
        <v>50.88</v>
      </c>
      <c r="Q95" s="2">
        <v>51.28</v>
      </c>
      <c r="R95" s="2">
        <v>52.17</v>
      </c>
      <c r="S95" s="2">
        <v>52.78</v>
      </c>
      <c r="T95" s="3">
        <f t="shared" si="4"/>
        <v>1.5</v>
      </c>
      <c r="U95" s="4">
        <f t="shared" si="5"/>
        <v>0.0292511700468019</v>
      </c>
      <c r="V95" s="2">
        <v>50.5</v>
      </c>
      <c r="W95" s="2">
        <v>49.61</v>
      </c>
      <c r="X95" s="3">
        <f t="shared" si="6"/>
        <v>-1.67</v>
      </c>
      <c r="Y95" s="4">
        <f t="shared" si="7"/>
        <v>-0.033662568030639</v>
      </c>
      <c r="Z95" s="2">
        <v>47.43</v>
      </c>
      <c r="AA95" s="2">
        <v>46.93</v>
      </c>
    </row>
    <row r="96" spans="1:27">
      <c r="A96">
        <v>123223</v>
      </c>
      <c r="B96" t="s">
        <v>221</v>
      </c>
      <c r="C96" s="5">
        <v>45184</v>
      </c>
      <c r="D96">
        <v>370705</v>
      </c>
      <c r="E96">
        <v>300705</v>
      </c>
      <c r="F96" t="s">
        <v>222</v>
      </c>
      <c r="G96">
        <v>0.0006352217</v>
      </c>
      <c r="H96" s="5">
        <v>45212</v>
      </c>
      <c r="I96" t="s">
        <v>39</v>
      </c>
      <c r="J96" s="5">
        <v>44918</v>
      </c>
      <c r="K96" s="5">
        <v>45002</v>
      </c>
      <c r="L96">
        <v>266</v>
      </c>
      <c r="M96" s="2">
        <v>182</v>
      </c>
      <c r="N96" s="2">
        <v>21.76</v>
      </c>
      <c r="O96" s="2">
        <v>21.71</v>
      </c>
      <c r="P96" s="2">
        <v>27.97</v>
      </c>
      <c r="Q96" s="2">
        <v>27.49</v>
      </c>
      <c r="R96" s="2">
        <v>21.92</v>
      </c>
      <c r="S96" s="2">
        <v>22.05</v>
      </c>
      <c r="T96" s="3">
        <f t="shared" si="4"/>
        <v>-5.44</v>
      </c>
      <c r="U96" s="4">
        <f t="shared" si="5"/>
        <v>-0.197890141869771</v>
      </c>
      <c r="V96" s="2">
        <v>21</v>
      </c>
      <c r="W96" s="2">
        <v>22.45</v>
      </c>
      <c r="X96" s="3">
        <f t="shared" si="6"/>
        <v>-0.920000000000002</v>
      </c>
      <c r="Y96" s="4">
        <f t="shared" si="7"/>
        <v>-0.0409799554565702</v>
      </c>
      <c r="Z96" s="2">
        <v>25.01</v>
      </c>
      <c r="AA96" s="2">
        <v>25.19</v>
      </c>
    </row>
    <row r="97" spans="1:27">
      <c r="A97">
        <v>113677</v>
      </c>
      <c r="B97" t="s">
        <v>223</v>
      </c>
      <c r="C97" s="5">
        <v>45183</v>
      </c>
      <c r="D97">
        <v>754306</v>
      </c>
      <c r="E97">
        <v>603306</v>
      </c>
      <c r="F97" t="s">
        <v>224</v>
      </c>
      <c r="G97">
        <v>0.00326065</v>
      </c>
      <c r="H97" s="5">
        <v>45211</v>
      </c>
      <c r="I97" t="s">
        <v>44</v>
      </c>
      <c r="J97" s="5">
        <v>45094</v>
      </c>
      <c r="K97" s="5">
        <v>45147</v>
      </c>
      <c r="L97">
        <v>89</v>
      </c>
      <c r="M97" s="2">
        <v>36</v>
      </c>
      <c r="N97" s="2">
        <v>29.25</v>
      </c>
      <c r="O97" s="2">
        <v>28.8</v>
      </c>
      <c r="P97" s="2">
        <v>27.23</v>
      </c>
      <c r="Q97" s="2">
        <v>27.6</v>
      </c>
      <c r="R97" s="2">
        <v>35.18</v>
      </c>
      <c r="S97" s="2">
        <v>35.95</v>
      </c>
      <c r="T97" s="3">
        <f t="shared" si="4"/>
        <v>8.35</v>
      </c>
      <c r="U97" s="4">
        <f t="shared" si="5"/>
        <v>0.302536231884058</v>
      </c>
      <c r="V97" s="2">
        <v>34.7</v>
      </c>
      <c r="W97" s="2">
        <v>35.18</v>
      </c>
      <c r="X97" s="3">
        <f t="shared" si="6"/>
        <v>-0.479999999999997</v>
      </c>
      <c r="Y97" s="4">
        <f t="shared" si="7"/>
        <v>-0.0136441159749857</v>
      </c>
      <c r="Z97" s="2">
        <v>32.93</v>
      </c>
      <c r="AA97" s="2">
        <v>31.54</v>
      </c>
    </row>
    <row r="98" spans="1:27">
      <c r="A98">
        <v>118045</v>
      </c>
      <c r="B98" t="s">
        <v>225</v>
      </c>
      <c r="C98" s="5">
        <v>45181</v>
      </c>
      <c r="D98">
        <v>718311</v>
      </c>
      <c r="E98">
        <v>688311</v>
      </c>
      <c r="F98" t="s">
        <v>226</v>
      </c>
      <c r="G98">
        <v>0.00089357</v>
      </c>
      <c r="H98" s="5">
        <v>45216</v>
      </c>
      <c r="I98" t="s">
        <v>110</v>
      </c>
      <c r="J98" s="5">
        <v>45052</v>
      </c>
      <c r="K98" s="5">
        <v>45106</v>
      </c>
      <c r="L98">
        <v>129</v>
      </c>
      <c r="M98" s="2">
        <v>75</v>
      </c>
      <c r="N98" s="2">
        <v>65.66</v>
      </c>
      <c r="O98" s="2">
        <v>67.5</v>
      </c>
      <c r="P98" s="2">
        <v>64</v>
      </c>
      <c r="Q98" s="2">
        <v>65.69</v>
      </c>
      <c r="R98" s="2">
        <v>46.02</v>
      </c>
      <c r="S98" s="2">
        <v>44.19</v>
      </c>
      <c r="T98" s="3">
        <f t="shared" si="4"/>
        <v>-21.5</v>
      </c>
      <c r="U98" s="4">
        <f t="shared" si="5"/>
        <v>-0.327294869843203</v>
      </c>
      <c r="V98" s="2">
        <v>42.55</v>
      </c>
      <c r="W98" s="2">
        <v>42.69</v>
      </c>
      <c r="X98" s="3">
        <f t="shared" si="6"/>
        <v>-3.47000000000001</v>
      </c>
      <c r="Y98" s="4">
        <f t="shared" si="7"/>
        <v>-0.081283672991333</v>
      </c>
      <c r="Z98" s="2">
        <v>42.1</v>
      </c>
      <c r="AA98" s="2">
        <v>44.24</v>
      </c>
    </row>
    <row r="99" spans="1:27">
      <c r="A99">
        <v>118044</v>
      </c>
      <c r="B99" t="s">
        <v>227</v>
      </c>
      <c r="C99" s="5">
        <v>45180</v>
      </c>
      <c r="D99">
        <v>718398</v>
      </c>
      <c r="E99">
        <v>688398</v>
      </c>
      <c r="F99" t="s">
        <v>228</v>
      </c>
      <c r="G99">
        <v>0.00056949</v>
      </c>
      <c r="H99" s="5">
        <v>45211</v>
      </c>
      <c r="I99" t="s">
        <v>39</v>
      </c>
      <c r="J99" s="5">
        <v>44827</v>
      </c>
      <c r="K99" s="5">
        <v>44877</v>
      </c>
      <c r="L99">
        <v>353</v>
      </c>
      <c r="M99" s="2">
        <v>303</v>
      </c>
      <c r="N99" s="2">
        <v>29.51</v>
      </c>
      <c r="O99" s="2">
        <v>28.3</v>
      </c>
      <c r="P99" s="2">
        <v>31.91</v>
      </c>
      <c r="Q99" s="2">
        <v>32.68</v>
      </c>
      <c r="R99" s="2">
        <v>34.82</v>
      </c>
      <c r="S99" s="2">
        <v>34.38</v>
      </c>
      <c r="T99" s="3">
        <f t="shared" si="4"/>
        <v>1.7</v>
      </c>
      <c r="U99" s="4">
        <f t="shared" si="5"/>
        <v>0.0520195838433293</v>
      </c>
      <c r="V99" s="2">
        <v>32</v>
      </c>
      <c r="W99" s="2">
        <v>33.16</v>
      </c>
      <c r="X99" s="3">
        <f t="shared" si="6"/>
        <v>-2.82</v>
      </c>
      <c r="Y99" s="4">
        <f t="shared" si="7"/>
        <v>-0.0850422195416164</v>
      </c>
      <c r="Z99" s="2">
        <v>31.27</v>
      </c>
      <c r="AA99" s="2">
        <v>31.57</v>
      </c>
    </row>
    <row r="100" spans="1:27">
      <c r="A100">
        <v>123222</v>
      </c>
      <c r="B100" t="s">
        <v>229</v>
      </c>
      <c r="C100" s="5">
        <v>45177</v>
      </c>
      <c r="D100">
        <v>370926</v>
      </c>
      <c r="E100">
        <v>300926</v>
      </c>
      <c r="F100" t="s">
        <v>230</v>
      </c>
      <c r="G100">
        <v>0.0010404561</v>
      </c>
      <c r="H100" s="5">
        <v>45197</v>
      </c>
      <c r="I100" t="s">
        <v>39</v>
      </c>
      <c r="J100" s="5">
        <v>45023</v>
      </c>
      <c r="K100" s="5">
        <v>45063</v>
      </c>
      <c r="L100">
        <v>154</v>
      </c>
      <c r="M100" s="2">
        <v>114</v>
      </c>
      <c r="N100" s="2">
        <v>32.82</v>
      </c>
      <c r="O100" s="2">
        <v>32.22</v>
      </c>
      <c r="P100" s="2">
        <v>31.9</v>
      </c>
      <c r="Q100" s="2">
        <v>32.37</v>
      </c>
      <c r="R100" s="2">
        <v>25.26</v>
      </c>
      <c r="S100" s="2">
        <v>24.55</v>
      </c>
      <c r="T100" s="3">
        <f t="shared" si="4"/>
        <v>-7.82</v>
      </c>
      <c r="U100" s="4">
        <f t="shared" si="5"/>
        <v>-0.241581711461229</v>
      </c>
      <c r="V100" s="2">
        <v>23.08</v>
      </c>
      <c r="W100" s="2">
        <v>22.96</v>
      </c>
      <c r="X100" s="3">
        <f t="shared" si="6"/>
        <v>-2.18</v>
      </c>
      <c r="Y100" s="4">
        <f t="shared" si="7"/>
        <v>-0.0949477351916378</v>
      </c>
      <c r="Z100" s="2">
        <v>27.22</v>
      </c>
      <c r="AA100" s="2">
        <v>30.95</v>
      </c>
    </row>
    <row r="101" spans="1:27">
      <c r="A101">
        <v>123221</v>
      </c>
      <c r="B101" t="s">
        <v>231</v>
      </c>
      <c r="C101" s="5">
        <v>45161</v>
      </c>
      <c r="D101">
        <v>371188</v>
      </c>
      <c r="E101">
        <v>301188</v>
      </c>
      <c r="F101" t="s">
        <v>232</v>
      </c>
      <c r="G101">
        <v>0.0018983056</v>
      </c>
      <c r="H101" s="5">
        <v>45183</v>
      </c>
      <c r="I101" t="s">
        <v>39</v>
      </c>
      <c r="J101" s="5">
        <v>45096</v>
      </c>
      <c r="K101" s="8">
        <v>45140</v>
      </c>
      <c r="L101">
        <v>65</v>
      </c>
      <c r="M101" s="2">
        <v>21</v>
      </c>
      <c r="N101" s="2">
        <v>17.15</v>
      </c>
      <c r="O101" s="2">
        <v>17.62</v>
      </c>
      <c r="P101" s="2">
        <v>14.11</v>
      </c>
      <c r="Q101" s="2">
        <v>14.06</v>
      </c>
      <c r="R101" s="2">
        <v>14.58</v>
      </c>
      <c r="S101" s="2">
        <v>14.37</v>
      </c>
      <c r="T101" s="3">
        <f t="shared" si="4"/>
        <v>0.309999999999999</v>
      </c>
      <c r="U101" s="4">
        <f t="shared" si="5"/>
        <v>0.0220483641536272</v>
      </c>
      <c r="V101" s="2">
        <v>13.23</v>
      </c>
      <c r="W101" s="2">
        <v>12.81</v>
      </c>
      <c r="X101" s="3">
        <f t="shared" si="6"/>
        <v>-1.35</v>
      </c>
      <c r="Y101" s="4">
        <f t="shared" si="7"/>
        <v>-0.105386416861827</v>
      </c>
      <c r="Z101" s="2">
        <v>12.66</v>
      </c>
      <c r="AA101" s="2">
        <v>12.41</v>
      </c>
    </row>
    <row r="102" spans="1:27">
      <c r="A102">
        <v>127091</v>
      </c>
      <c r="B102" t="s">
        <v>233</v>
      </c>
      <c r="C102" s="5">
        <v>45161</v>
      </c>
      <c r="D102">
        <v>72335</v>
      </c>
      <c r="E102">
        <v>2335</v>
      </c>
      <c r="F102" t="s">
        <v>234</v>
      </c>
      <c r="G102">
        <v>0.0052497071</v>
      </c>
      <c r="H102" s="5">
        <v>45181</v>
      </c>
      <c r="I102" t="s">
        <v>29</v>
      </c>
      <c r="J102" s="5">
        <v>45108</v>
      </c>
      <c r="K102" s="5">
        <v>45149</v>
      </c>
      <c r="L102">
        <v>53</v>
      </c>
      <c r="M102" s="2">
        <v>12</v>
      </c>
      <c r="N102" s="2">
        <v>38.2</v>
      </c>
      <c r="O102" s="2">
        <v>39.55</v>
      </c>
      <c r="P102" s="2">
        <v>34.77</v>
      </c>
      <c r="Q102" s="2">
        <v>33.76</v>
      </c>
      <c r="R102" s="2">
        <v>31.94</v>
      </c>
      <c r="S102" s="2">
        <v>31.8</v>
      </c>
      <c r="T102" s="3">
        <f t="shared" si="4"/>
        <v>-1.96</v>
      </c>
      <c r="U102" s="4">
        <f t="shared" si="5"/>
        <v>-0.0580568720379146</v>
      </c>
      <c r="V102" s="2">
        <v>30.98</v>
      </c>
      <c r="W102" s="2">
        <v>30.52</v>
      </c>
      <c r="X102" s="3">
        <f t="shared" si="6"/>
        <v>-0.960000000000001</v>
      </c>
      <c r="Y102" s="4">
        <f t="shared" si="7"/>
        <v>-0.0314547837483618</v>
      </c>
      <c r="Z102" s="2">
        <v>31.49</v>
      </c>
      <c r="AA102" s="2">
        <v>31.97</v>
      </c>
    </row>
    <row r="103" spans="1:27">
      <c r="A103">
        <v>113676</v>
      </c>
      <c r="B103" t="s">
        <v>235</v>
      </c>
      <c r="C103" s="5">
        <v>45156</v>
      </c>
      <c r="D103">
        <v>754165</v>
      </c>
      <c r="E103">
        <v>603165</v>
      </c>
      <c r="F103" t="s">
        <v>236</v>
      </c>
      <c r="G103">
        <v>0.00080245</v>
      </c>
      <c r="H103" s="5">
        <v>45182</v>
      </c>
      <c r="I103" t="s">
        <v>44</v>
      </c>
      <c r="J103" s="5">
        <v>45069</v>
      </c>
      <c r="K103" s="5">
        <v>45107</v>
      </c>
      <c r="L103">
        <v>87</v>
      </c>
      <c r="M103" s="2">
        <v>49</v>
      </c>
      <c r="N103" s="2">
        <v>14.63</v>
      </c>
      <c r="O103" s="2">
        <v>14.65</v>
      </c>
      <c r="P103" s="2">
        <v>16.45</v>
      </c>
      <c r="Q103" s="2">
        <v>16.04</v>
      </c>
      <c r="R103" s="2">
        <v>15.88</v>
      </c>
      <c r="S103" s="2">
        <v>16.45</v>
      </c>
      <c r="T103" s="3">
        <f t="shared" si="4"/>
        <v>0.41</v>
      </c>
      <c r="U103" s="4">
        <f t="shared" si="5"/>
        <v>0.0255610972568579</v>
      </c>
      <c r="V103" s="2">
        <v>15.65</v>
      </c>
      <c r="W103" s="2">
        <v>15.14</v>
      </c>
      <c r="X103" s="3">
        <f t="shared" si="6"/>
        <v>-0.23</v>
      </c>
      <c r="Y103" s="4">
        <f t="shared" si="7"/>
        <v>-0.0151915455746368</v>
      </c>
      <c r="Z103" s="2">
        <v>15.62</v>
      </c>
      <c r="AA103" s="2">
        <v>15.19</v>
      </c>
    </row>
    <row r="104" spans="1:27">
      <c r="A104">
        <v>123220</v>
      </c>
      <c r="B104" t="s">
        <v>237</v>
      </c>
      <c r="C104" s="5">
        <v>45156</v>
      </c>
      <c r="D104">
        <v>370942</v>
      </c>
      <c r="E104">
        <v>300942</v>
      </c>
      <c r="F104" t="s">
        <v>238</v>
      </c>
      <c r="G104">
        <v>0.0028761396</v>
      </c>
      <c r="H104" s="5">
        <v>45175</v>
      </c>
      <c r="I104" t="s">
        <v>39</v>
      </c>
      <c r="J104" s="5">
        <v>45072</v>
      </c>
      <c r="K104" s="5">
        <v>45112</v>
      </c>
      <c r="L104">
        <v>84</v>
      </c>
      <c r="M104" s="2">
        <v>44</v>
      </c>
      <c r="N104" s="2">
        <v>13.43</v>
      </c>
      <c r="O104" s="2">
        <v>13.64</v>
      </c>
      <c r="P104" s="2">
        <v>12.5</v>
      </c>
      <c r="Q104" s="2">
        <v>12.55</v>
      </c>
      <c r="R104" s="2">
        <v>14.87</v>
      </c>
      <c r="S104" s="2">
        <v>15.08</v>
      </c>
      <c r="T104" s="3">
        <f t="shared" si="4"/>
        <v>2.53</v>
      </c>
      <c r="U104" s="4">
        <f t="shared" si="5"/>
        <v>0.201593625498008</v>
      </c>
      <c r="V104" s="2">
        <v>14.3</v>
      </c>
      <c r="W104" s="2">
        <v>14.07</v>
      </c>
      <c r="X104" s="3">
        <f t="shared" si="6"/>
        <v>-0.569999999999999</v>
      </c>
      <c r="Y104" s="4">
        <f t="shared" si="7"/>
        <v>-0.0405117270788911</v>
      </c>
      <c r="Z104" s="2">
        <v>14.23</v>
      </c>
      <c r="AA104" s="2">
        <v>14.14</v>
      </c>
    </row>
    <row r="105" spans="1:27">
      <c r="A105">
        <v>111017</v>
      </c>
      <c r="B105" t="s">
        <v>239</v>
      </c>
      <c r="C105" s="5">
        <v>45153</v>
      </c>
      <c r="D105">
        <v>713368</v>
      </c>
      <c r="E105">
        <v>605368</v>
      </c>
      <c r="F105" t="s">
        <v>240</v>
      </c>
      <c r="G105">
        <v>0.00084259</v>
      </c>
      <c r="H105" s="5">
        <v>45177</v>
      </c>
      <c r="I105" t="s">
        <v>29</v>
      </c>
      <c r="J105" s="5">
        <v>45071</v>
      </c>
      <c r="K105" s="5">
        <v>45141</v>
      </c>
      <c r="L105">
        <v>82</v>
      </c>
      <c r="M105" s="2">
        <v>12</v>
      </c>
      <c r="N105" s="2">
        <v>9.5</v>
      </c>
      <c r="O105" s="2">
        <v>9.65</v>
      </c>
      <c r="P105" s="2">
        <v>9.96</v>
      </c>
      <c r="Q105" s="2">
        <v>9.9</v>
      </c>
      <c r="R105" s="2">
        <v>9.65</v>
      </c>
      <c r="S105" s="2">
        <v>9.79</v>
      </c>
      <c r="T105" s="3">
        <f t="shared" si="4"/>
        <v>-0.110000000000001</v>
      </c>
      <c r="U105" s="4">
        <f t="shared" si="5"/>
        <v>-0.0111111111111112</v>
      </c>
      <c r="V105" s="2">
        <v>9.35</v>
      </c>
      <c r="W105" s="2">
        <v>9.56</v>
      </c>
      <c r="X105" s="3">
        <f t="shared" si="6"/>
        <v>-0.300000000000001</v>
      </c>
      <c r="Y105" s="4">
        <f t="shared" si="7"/>
        <v>-0.0313807531380754</v>
      </c>
      <c r="Z105" s="2">
        <v>9.78</v>
      </c>
      <c r="AA105" s="2">
        <v>10.16</v>
      </c>
    </row>
    <row r="106" spans="1:27">
      <c r="A106">
        <v>118043</v>
      </c>
      <c r="B106" t="s">
        <v>241</v>
      </c>
      <c r="C106" s="5">
        <v>45152</v>
      </c>
      <c r="D106">
        <v>718678</v>
      </c>
      <c r="E106">
        <v>688678</v>
      </c>
      <c r="F106" t="s">
        <v>242</v>
      </c>
      <c r="G106">
        <v>0.00147242</v>
      </c>
      <c r="H106" s="5">
        <v>45181</v>
      </c>
      <c r="I106" t="s">
        <v>44</v>
      </c>
      <c r="J106" s="5">
        <v>45055</v>
      </c>
      <c r="K106" s="5">
        <v>45104</v>
      </c>
      <c r="L106">
        <v>97</v>
      </c>
      <c r="M106" s="2">
        <v>48</v>
      </c>
      <c r="N106" s="2">
        <v>16.3</v>
      </c>
      <c r="O106" s="2">
        <v>15.86</v>
      </c>
      <c r="P106" s="2">
        <v>21.08</v>
      </c>
      <c r="Q106" s="2">
        <v>20.48</v>
      </c>
      <c r="R106" s="2">
        <v>21.53</v>
      </c>
      <c r="S106" s="2">
        <v>21.1</v>
      </c>
      <c r="T106" s="3">
        <f t="shared" si="4"/>
        <v>0.620000000000001</v>
      </c>
      <c r="U106" s="4">
        <f t="shared" si="5"/>
        <v>0.0302734375</v>
      </c>
      <c r="V106" s="2">
        <v>19.79</v>
      </c>
      <c r="W106" s="2">
        <v>19.11</v>
      </c>
      <c r="X106" s="3">
        <f t="shared" si="6"/>
        <v>-1.74</v>
      </c>
      <c r="Y106" s="4">
        <f t="shared" si="7"/>
        <v>-0.0910518053375197</v>
      </c>
      <c r="Z106" s="2">
        <v>19.91</v>
      </c>
      <c r="AA106" s="2">
        <v>19.44</v>
      </c>
    </row>
    <row r="107" spans="1:27">
      <c r="A107">
        <v>123219</v>
      </c>
      <c r="B107" t="s">
        <v>243</v>
      </c>
      <c r="C107" s="5">
        <v>45149</v>
      </c>
      <c r="D107">
        <v>370790</v>
      </c>
      <c r="E107">
        <v>300790</v>
      </c>
      <c r="F107" t="s">
        <v>244</v>
      </c>
      <c r="G107">
        <v>0.0011856348</v>
      </c>
      <c r="H107" s="5">
        <v>45167</v>
      </c>
      <c r="I107" t="s">
        <v>39</v>
      </c>
      <c r="J107" s="5">
        <v>45065</v>
      </c>
      <c r="K107" s="5">
        <v>45106</v>
      </c>
      <c r="L107">
        <v>84</v>
      </c>
      <c r="M107" s="2">
        <v>43</v>
      </c>
      <c r="N107" s="2">
        <v>14.85</v>
      </c>
      <c r="O107" s="2">
        <v>15.23</v>
      </c>
      <c r="P107" s="2">
        <v>14.09</v>
      </c>
      <c r="Q107" s="2">
        <v>14.98</v>
      </c>
      <c r="R107" s="2">
        <v>15.25</v>
      </c>
      <c r="S107" s="2">
        <v>15.23</v>
      </c>
      <c r="T107" s="3">
        <f t="shared" si="4"/>
        <v>0.25</v>
      </c>
      <c r="U107" s="4">
        <f t="shared" si="5"/>
        <v>0.0166889185580774</v>
      </c>
      <c r="V107" s="2">
        <v>14.46</v>
      </c>
      <c r="W107" s="2">
        <v>13.84</v>
      </c>
      <c r="X107" s="3">
        <f t="shared" si="6"/>
        <v>-0.789999999999999</v>
      </c>
      <c r="Y107" s="4">
        <f t="shared" si="7"/>
        <v>-0.0570809248554913</v>
      </c>
      <c r="Z107" s="2">
        <v>12.89</v>
      </c>
      <c r="AA107" s="2">
        <v>13.47</v>
      </c>
    </row>
    <row r="108" spans="1:27">
      <c r="A108">
        <v>113675</v>
      </c>
      <c r="B108" t="s">
        <v>245</v>
      </c>
      <c r="C108" s="5">
        <v>45149</v>
      </c>
      <c r="D108">
        <v>754179</v>
      </c>
      <c r="E108">
        <v>603179</v>
      </c>
      <c r="F108" t="s">
        <v>246</v>
      </c>
      <c r="G108">
        <v>0.0028089</v>
      </c>
      <c r="H108" s="5">
        <v>45174</v>
      </c>
      <c r="I108" t="s">
        <v>44</v>
      </c>
      <c r="J108" s="5">
        <v>45091</v>
      </c>
      <c r="K108" s="5">
        <v>45134</v>
      </c>
      <c r="L108">
        <v>58</v>
      </c>
      <c r="M108" s="2">
        <v>15</v>
      </c>
      <c r="N108" s="2">
        <v>43.48</v>
      </c>
      <c r="O108" s="2">
        <v>42.46</v>
      </c>
      <c r="P108" s="2">
        <v>46.78</v>
      </c>
      <c r="Q108" s="2">
        <v>48.79</v>
      </c>
      <c r="R108" s="2">
        <v>54.6</v>
      </c>
      <c r="S108" s="2">
        <v>52.7</v>
      </c>
      <c r="T108" s="3">
        <f t="shared" si="4"/>
        <v>3.91</v>
      </c>
      <c r="U108" s="4">
        <f t="shared" si="5"/>
        <v>0.0801393728222997</v>
      </c>
      <c r="V108" s="2">
        <v>51.77</v>
      </c>
      <c r="W108" s="2">
        <v>53.08</v>
      </c>
      <c r="X108" s="3">
        <f t="shared" si="6"/>
        <v>-2.83</v>
      </c>
      <c r="Y108" s="4">
        <f t="shared" si="7"/>
        <v>-0.0533157498116051</v>
      </c>
      <c r="Z108" s="2">
        <v>52.98</v>
      </c>
      <c r="AA108" s="2">
        <v>51.77</v>
      </c>
    </row>
    <row r="109" spans="1:27">
      <c r="A109">
        <v>123218</v>
      </c>
      <c r="B109" t="s">
        <v>247</v>
      </c>
      <c r="C109" s="5">
        <v>45148</v>
      </c>
      <c r="D109">
        <v>371008</v>
      </c>
      <c r="E109">
        <v>301008</v>
      </c>
      <c r="F109" t="s">
        <v>248</v>
      </c>
      <c r="G109">
        <v>0.000438974</v>
      </c>
      <c r="H109" s="5">
        <v>45168</v>
      </c>
      <c r="I109" t="s">
        <v>39</v>
      </c>
      <c r="J109" s="5">
        <v>45026</v>
      </c>
      <c r="K109" s="5">
        <v>45063</v>
      </c>
      <c r="L109">
        <v>122</v>
      </c>
      <c r="M109" s="2">
        <v>85</v>
      </c>
      <c r="N109" s="2">
        <v>27.14</v>
      </c>
      <c r="O109" s="2">
        <v>26.75</v>
      </c>
      <c r="P109" s="2">
        <v>24.55</v>
      </c>
      <c r="Q109" s="2">
        <v>25.06</v>
      </c>
      <c r="R109" s="2">
        <v>30.7</v>
      </c>
      <c r="S109" s="2">
        <v>33.5</v>
      </c>
      <c r="T109" s="3">
        <f t="shared" si="4"/>
        <v>8.44</v>
      </c>
      <c r="U109" s="4">
        <f t="shared" si="5"/>
        <v>0.336791699920192</v>
      </c>
      <c r="V109" s="2">
        <v>30.3</v>
      </c>
      <c r="W109" s="2">
        <v>31.2</v>
      </c>
      <c r="X109" s="3">
        <f t="shared" si="6"/>
        <v>-0.399999999999999</v>
      </c>
      <c r="Y109" s="4">
        <f t="shared" si="7"/>
        <v>-0.0128205128205128</v>
      </c>
      <c r="Z109" s="2">
        <v>30.1</v>
      </c>
      <c r="AA109" s="2">
        <v>30.26</v>
      </c>
    </row>
    <row r="110" spans="1:27">
      <c r="A110">
        <v>118042</v>
      </c>
      <c r="B110" t="s">
        <v>249</v>
      </c>
      <c r="C110" s="5">
        <v>45148</v>
      </c>
      <c r="D110">
        <v>718516</v>
      </c>
      <c r="E110">
        <v>688516</v>
      </c>
      <c r="F110" t="s">
        <v>250</v>
      </c>
      <c r="G110">
        <v>0.00203912</v>
      </c>
      <c r="H110" s="5">
        <v>45170</v>
      </c>
      <c r="I110" t="s">
        <v>44</v>
      </c>
      <c r="J110" s="5">
        <v>45084</v>
      </c>
      <c r="K110" s="5">
        <v>45129</v>
      </c>
      <c r="L110">
        <v>64</v>
      </c>
      <c r="M110" s="2">
        <v>19</v>
      </c>
      <c r="N110" s="2">
        <v>165.17</v>
      </c>
      <c r="O110" s="2">
        <v>161.64</v>
      </c>
      <c r="P110" s="2">
        <v>181.58</v>
      </c>
      <c r="Q110" s="2">
        <v>178.39</v>
      </c>
      <c r="R110" s="2">
        <v>175.1</v>
      </c>
      <c r="S110" s="2">
        <v>170.3</v>
      </c>
      <c r="T110" s="3">
        <f t="shared" si="4"/>
        <v>-8.08999999999997</v>
      </c>
      <c r="U110" s="4">
        <f t="shared" si="5"/>
        <v>-0.0453500756768876</v>
      </c>
      <c r="V110" s="2">
        <v>166</v>
      </c>
      <c r="W110" s="2">
        <v>172.7</v>
      </c>
      <c r="X110" s="3">
        <f t="shared" si="6"/>
        <v>-9.09999999999999</v>
      </c>
      <c r="Y110" s="4">
        <f t="shared" si="7"/>
        <v>-0.0526925303995367</v>
      </c>
      <c r="Z110" s="2">
        <v>168.31</v>
      </c>
      <c r="AA110" s="2">
        <v>166.64</v>
      </c>
    </row>
    <row r="111" spans="1:27">
      <c r="A111">
        <v>110095</v>
      </c>
      <c r="B111" t="s">
        <v>251</v>
      </c>
      <c r="C111" s="5">
        <v>45146</v>
      </c>
      <c r="D111">
        <v>733481</v>
      </c>
      <c r="E111">
        <v>600481</v>
      </c>
      <c r="F111" t="s">
        <v>252</v>
      </c>
      <c r="G111">
        <v>0.00551815</v>
      </c>
      <c r="H111" s="5">
        <v>45177</v>
      </c>
      <c r="I111" t="s">
        <v>44</v>
      </c>
      <c r="J111" s="5">
        <v>45069</v>
      </c>
      <c r="K111" s="5">
        <v>45106</v>
      </c>
      <c r="L111">
        <v>77</v>
      </c>
      <c r="M111" s="2">
        <v>40</v>
      </c>
      <c r="N111" s="2">
        <v>13.19</v>
      </c>
      <c r="O111" s="2">
        <v>13.12</v>
      </c>
      <c r="P111" s="2">
        <v>13.91</v>
      </c>
      <c r="Q111" s="2">
        <v>13.71</v>
      </c>
      <c r="R111" s="2">
        <v>11.54</v>
      </c>
      <c r="S111" s="2">
        <v>11.74</v>
      </c>
      <c r="T111" s="3">
        <f t="shared" si="4"/>
        <v>-1.97</v>
      </c>
      <c r="U111" s="4">
        <f t="shared" si="5"/>
        <v>-0.143690736688549</v>
      </c>
      <c r="V111" s="2">
        <v>11.4</v>
      </c>
      <c r="W111" s="2">
        <v>11.44</v>
      </c>
      <c r="X111" s="3">
        <f t="shared" si="6"/>
        <v>-0.139999999999999</v>
      </c>
      <c r="Y111" s="4">
        <f t="shared" si="7"/>
        <v>-0.0122377622377621</v>
      </c>
      <c r="Z111" s="2">
        <v>10.51</v>
      </c>
      <c r="AA111" s="2">
        <v>10.57</v>
      </c>
    </row>
    <row r="112" spans="1:27">
      <c r="A112">
        <v>123217</v>
      </c>
      <c r="B112" t="s">
        <v>253</v>
      </c>
      <c r="C112" s="5">
        <v>45146</v>
      </c>
      <c r="D112">
        <v>370852</v>
      </c>
      <c r="E112">
        <v>300852</v>
      </c>
      <c r="F112" t="s">
        <v>254</v>
      </c>
      <c r="G112">
        <v>0.0007508153</v>
      </c>
      <c r="H112" s="5">
        <v>45162</v>
      </c>
      <c r="I112" t="s">
        <v>44</v>
      </c>
      <c r="J112" s="5">
        <v>45086</v>
      </c>
      <c r="K112" s="5">
        <v>45127</v>
      </c>
      <c r="L112">
        <v>60</v>
      </c>
      <c r="M112" s="2">
        <v>19</v>
      </c>
      <c r="N112" s="2">
        <v>40.9</v>
      </c>
      <c r="O112" s="2">
        <v>41.01</v>
      </c>
      <c r="P112" s="2">
        <v>42.6</v>
      </c>
      <c r="Q112" s="2">
        <v>40.3</v>
      </c>
      <c r="R112" s="2">
        <v>41.7</v>
      </c>
      <c r="S112" s="2">
        <v>42.36</v>
      </c>
      <c r="T112" s="3">
        <f t="shared" si="4"/>
        <v>2.06</v>
      </c>
      <c r="U112" s="4">
        <f t="shared" si="5"/>
        <v>0.0511166253101738</v>
      </c>
      <c r="V112" s="2">
        <v>40.57</v>
      </c>
      <c r="W112" s="2">
        <v>39.12</v>
      </c>
      <c r="X112" s="3">
        <f t="shared" si="6"/>
        <v>-1.13</v>
      </c>
      <c r="Y112" s="4">
        <f t="shared" si="7"/>
        <v>-0.0288854805725972</v>
      </c>
      <c r="Z112" s="2">
        <v>36.46</v>
      </c>
      <c r="AA112" s="2">
        <v>36.95</v>
      </c>
    </row>
    <row r="113" spans="1:27">
      <c r="A113">
        <v>123216</v>
      </c>
      <c r="B113" t="s">
        <v>255</v>
      </c>
      <c r="C113" s="5">
        <v>45142</v>
      </c>
      <c r="D113">
        <v>370737</v>
      </c>
      <c r="E113">
        <v>300737</v>
      </c>
      <c r="F113" t="s">
        <v>256</v>
      </c>
      <c r="G113">
        <v>0.0045649054</v>
      </c>
      <c r="H113" s="5">
        <v>45161</v>
      </c>
      <c r="I113" t="s">
        <v>29</v>
      </c>
      <c r="J113" s="5">
        <v>45036</v>
      </c>
      <c r="K113" s="5">
        <v>45103</v>
      </c>
      <c r="L113">
        <v>106</v>
      </c>
      <c r="M113" s="2">
        <v>39</v>
      </c>
      <c r="N113" s="2">
        <v>11.47</v>
      </c>
      <c r="O113" s="2">
        <v>11.48</v>
      </c>
      <c r="P113" s="2">
        <v>9.29</v>
      </c>
      <c r="Q113" s="2">
        <v>9.04</v>
      </c>
      <c r="R113" s="2">
        <v>10.35</v>
      </c>
      <c r="S113" s="2">
        <v>10.33</v>
      </c>
      <c r="T113" s="3">
        <f t="shared" si="4"/>
        <v>1.29</v>
      </c>
      <c r="U113" s="4">
        <f t="shared" si="5"/>
        <v>0.142699115044248</v>
      </c>
      <c r="V113" s="2">
        <v>9.98</v>
      </c>
      <c r="W113" s="2">
        <v>9.96</v>
      </c>
      <c r="X113" s="3">
        <f t="shared" si="6"/>
        <v>-0.369999999999999</v>
      </c>
      <c r="Y113" s="4">
        <f t="shared" si="7"/>
        <v>-0.03714859437751</v>
      </c>
      <c r="Z113" s="2">
        <v>8.73</v>
      </c>
      <c r="AA113" s="2">
        <v>8.5</v>
      </c>
    </row>
    <row r="114" spans="1:27">
      <c r="A114">
        <v>123215</v>
      </c>
      <c r="B114" t="s">
        <v>257</v>
      </c>
      <c r="C114" s="5">
        <v>45141</v>
      </c>
      <c r="D114">
        <v>371268</v>
      </c>
      <c r="E114">
        <v>301268</v>
      </c>
      <c r="F114" t="s">
        <v>258</v>
      </c>
      <c r="G114">
        <v>0.0018818159</v>
      </c>
      <c r="H114" s="5">
        <v>45161</v>
      </c>
      <c r="I114" t="s">
        <v>44</v>
      </c>
      <c r="J114" s="5">
        <v>45086</v>
      </c>
      <c r="K114" s="5">
        <v>45118</v>
      </c>
      <c r="L114">
        <v>55</v>
      </c>
      <c r="M114" s="2">
        <v>23</v>
      </c>
      <c r="N114" s="2">
        <v>41.06</v>
      </c>
      <c r="O114" s="2">
        <v>42.44</v>
      </c>
      <c r="P114" s="2">
        <v>38.08</v>
      </c>
      <c r="Q114" s="2">
        <v>40.05</v>
      </c>
      <c r="R114" s="2">
        <v>34.88</v>
      </c>
      <c r="S114" s="2">
        <v>35.18</v>
      </c>
      <c r="T114" s="3">
        <f t="shared" si="4"/>
        <v>-4.87</v>
      </c>
      <c r="U114" s="4">
        <f t="shared" si="5"/>
        <v>-0.121598002496879</v>
      </c>
      <c r="V114" s="2">
        <v>34.4</v>
      </c>
      <c r="W114" s="2">
        <v>34.03</v>
      </c>
      <c r="X114" s="3">
        <f t="shared" si="6"/>
        <v>-0.480000000000004</v>
      </c>
      <c r="Y114" s="4">
        <f t="shared" si="7"/>
        <v>-0.0141052012929769</v>
      </c>
      <c r="Z114" s="2">
        <v>30.75</v>
      </c>
      <c r="AA114" s="2">
        <v>29.51</v>
      </c>
    </row>
    <row r="115" spans="1:27">
      <c r="A115">
        <v>123214</v>
      </c>
      <c r="B115" t="s">
        <v>259</v>
      </c>
      <c r="C115" s="5">
        <v>45138</v>
      </c>
      <c r="D115">
        <v>370239</v>
      </c>
      <c r="E115">
        <v>300239</v>
      </c>
      <c r="F115" t="s">
        <v>260</v>
      </c>
      <c r="G115">
        <v>0.0019172228</v>
      </c>
      <c r="H115" s="5">
        <v>45156</v>
      </c>
      <c r="I115" t="s">
        <v>39</v>
      </c>
      <c r="J115" s="5">
        <v>45086</v>
      </c>
      <c r="K115" s="5">
        <v>45118</v>
      </c>
      <c r="L115">
        <v>52</v>
      </c>
      <c r="M115" s="2">
        <v>20</v>
      </c>
      <c r="N115" s="2">
        <v>6.25</v>
      </c>
      <c r="O115" s="2">
        <v>6.28</v>
      </c>
      <c r="P115" s="2">
        <v>6.19</v>
      </c>
      <c r="Q115" s="2">
        <v>6.24</v>
      </c>
      <c r="R115" s="2">
        <v>6.63</v>
      </c>
      <c r="S115" s="2">
        <v>6.65</v>
      </c>
      <c r="T115" s="3">
        <f t="shared" si="4"/>
        <v>0.41</v>
      </c>
      <c r="U115" s="4">
        <f t="shared" si="5"/>
        <v>0.0657051282051282</v>
      </c>
      <c r="V115" s="2">
        <v>6.45</v>
      </c>
      <c r="W115" s="2">
        <v>6.39</v>
      </c>
      <c r="X115" s="3">
        <f t="shared" si="6"/>
        <v>-0.18</v>
      </c>
      <c r="Y115" s="4">
        <f t="shared" si="7"/>
        <v>-0.028169014084507</v>
      </c>
      <c r="Z115" s="2">
        <v>6.3</v>
      </c>
      <c r="AA115" s="2">
        <v>6.18</v>
      </c>
    </row>
    <row r="116" spans="1:27">
      <c r="A116">
        <v>118041</v>
      </c>
      <c r="B116" t="s">
        <v>261</v>
      </c>
      <c r="C116" s="5">
        <v>45138</v>
      </c>
      <c r="D116">
        <v>718633</v>
      </c>
      <c r="E116">
        <v>688633</v>
      </c>
      <c r="F116" t="s">
        <v>262</v>
      </c>
      <c r="G116">
        <v>0.00054951</v>
      </c>
      <c r="H116" s="5">
        <v>45160</v>
      </c>
      <c r="I116" t="s">
        <v>39</v>
      </c>
      <c r="J116" s="5">
        <v>45036</v>
      </c>
      <c r="K116" s="5">
        <v>45105</v>
      </c>
      <c r="L116">
        <v>102</v>
      </c>
      <c r="M116" s="2">
        <v>33</v>
      </c>
      <c r="N116" s="2">
        <v>45.95</v>
      </c>
      <c r="O116" s="2">
        <v>45.22</v>
      </c>
      <c r="P116" s="2">
        <v>43.89</v>
      </c>
      <c r="Q116" s="2">
        <v>43.14</v>
      </c>
      <c r="R116" s="2">
        <v>33.14</v>
      </c>
      <c r="S116" s="2">
        <v>33.36</v>
      </c>
      <c r="T116" s="3">
        <f t="shared" si="4"/>
        <v>-9.78</v>
      </c>
      <c r="U116" s="4">
        <f t="shared" si="5"/>
        <v>-0.226703755215577</v>
      </c>
      <c r="V116" s="2">
        <v>31.46</v>
      </c>
      <c r="W116" s="2">
        <v>31.21</v>
      </c>
      <c r="X116" s="3">
        <f t="shared" si="6"/>
        <v>-1.68</v>
      </c>
      <c r="Y116" s="4">
        <f t="shared" si="7"/>
        <v>-0.0538289009932714</v>
      </c>
      <c r="Z116" s="2">
        <v>29.58</v>
      </c>
      <c r="AA116" s="2">
        <v>28.74</v>
      </c>
    </row>
    <row r="117" spans="1:27">
      <c r="A117">
        <v>123213</v>
      </c>
      <c r="B117" t="s">
        <v>263</v>
      </c>
      <c r="C117" s="5">
        <v>45135</v>
      </c>
      <c r="D117">
        <v>371127</v>
      </c>
      <c r="E117">
        <v>301127</v>
      </c>
      <c r="F117" t="s">
        <v>264</v>
      </c>
      <c r="G117">
        <v>0.0037859869</v>
      </c>
      <c r="H117" s="5">
        <v>45154</v>
      </c>
      <c r="I117" t="s">
        <v>44</v>
      </c>
      <c r="J117" s="5">
        <v>45058</v>
      </c>
      <c r="K117" s="8">
        <v>45105</v>
      </c>
      <c r="L117">
        <v>77</v>
      </c>
      <c r="M117" s="2">
        <v>30</v>
      </c>
      <c r="N117" s="2">
        <v>10.21</v>
      </c>
      <c r="O117" s="2">
        <v>10.08</v>
      </c>
      <c r="P117" s="2">
        <v>9.63</v>
      </c>
      <c r="Q117" s="2">
        <v>9.63</v>
      </c>
      <c r="R117" s="2">
        <v>10.52</v>
      </c>
      <c r="S117" s="2">
        <v>10.61</v>
      </c>
      <c r="T117" s="3">
        <f t="shared" si="4"/>
        <v>0.979999999999999</v>
      </c>
      <c r="U117" s="4">
        <f t="shared" si="5"/>
        <v>0.101765316718588</v>
      </c>
      <c r="V117" s="2">
        <v>10.05</v>
      </c>
      <c r="W117" s="2">
        <v>10.16</v>
      </c>
      <c r="X117" s="3">
        <f t="shared" si="6"/>
        <v>-0.469999999999999</v>
      </c>
      <c r="Y117" s="4">
        <f t="shared" si="7"/>
        <v>-0.0462598425196849</v>
      </c>
      <c r="Z117" s="2">
        <v>10.44</v>
      </c>
      <c r="AA117" s="2">
        <v>10.2</v>
      </c>
    </row>
    <row r="118" spans="1:27">
      <c r="A118">
        <v>113068</v>
      </c>
      <c r="B118" t="s">
        <v>265</v>
      </c>
      <c r="C118" s="5">
        <v>45135</v>
      </c>
      <c r="D118">
        <v>783609</v>
      </c>
      <c r="E118">
        <v>601609</v>
      </c>
      <c r="F118" t="s">
        <v>266</v>
      </c>
      <c r="G118">
        <v>0.00313136</v>
      </c>
      <c r="H118" s="5">
        <v>45166</v>
      </c>
      <c r="I118" t="s">
        <v>47</v>
      </c>
      <c r="J118" s="5">
        <v>45078</v>
      </c>
      <c r="K118" s="5">
        <v>45107</v>
      </c>
      <c r="L118">
        <v>57</v>
      </c>
      <c r="M118" s="2">
        <v>28</v>
      </c>
      <c r="N118" s="2">
        <v>6.55</v>
      </c>
      <c r="O118" s="2">
        <v>6.5</v>
      </c>
      <c r="P118" s="2">
        <v>6.38</v>
      </c>
      <c r="Q118" s="2">
        <v>6.49</v>
      </c>
      <c r="R118" s="2">
        <v>6.76</v>
      </c>
      <c r="S118" s="2">
        <v>6.77</v>
      </c>
      <c r="T118" s="3">
        <f t="shared" si="4"/>
        <v>0.279999999999999</v>
      </c>
      <c r="U118" s="4">
        <f t="shared" si="5"/>
        <v>0.0431432973805854</v>
      </c>
      <c r="V118" s="2">
        <v>6.53</v>
      </c>
      <c r="W118" s="2">
        <v>6.63</v>
      </c>
      <c r="X118" s="3">
        <f t="shared" si="6"/>
        <v>-0.23</v>
      </c>
      <c r="Y118" s="4">
        <f t="shared" si="7"/>
        <v>-0.0346907993966817</v>
      </c>
      <c r="Z118" s="2">
        <v>6.66</v>
      </c>
      <c r="AA118" s="2">
        <v>6.49</v>
      </c>
    </row>
    <row r="119" spans="1:27">
      <c r="A119">
        <v>123211</v>
      </c>
      <c r="B119" t="s">
        <v>267</v>
      </c>
      <c r="C119" s="5">
        <v>45134</v>
      </c>
      <c r="D119">
        <v>370121</v>
      </c>
      <c r="E119">
        <v>300121</v>
      </c>
      <c r="F119" t="s">
        <v>268</v>
      </c>
      <c r="G119">
        <v>0.0011936109</v>
      </c>
      <c r="H119" s="5">
        <v>45152</v>
      </c>
      <c r="I119" t="s">
        <v>44</v>
      </c>
      <c r="J119" s="5">
        <v>45024</v>
      </c>
      <c r="K119" s="5">
        <v>45082</v>
      </c>
      <c r="L119">
        <v>110</v>
      </c>
      <c r="M119" s="2">
        <v>52</v>
      </c>
      <c r="N119" s="2">
        <v>11.45</v>
      </c>
      <c r="O119" s="2">
        <v>11.35</v>
      </c>
      <c r="P119" s="2">
        <v>9.52</v>
      </c>
      <c r="Q119" s="2">
        <v>9.37</v>
      </c>
      <c r="R119" s="2">
        <v>10.07</v>
      </c>
      <c r="S119" s="2">
        <v>10.04</v>
      </c>
      <c r="T119" s="3">
        <f t="shared" si="4"/>
        <v>0.67</v>
      </c>
      <c r="U119" s="4">
        <f t="shared" si="5"/>
        <v>0.0715048025613661</v>
      </c>
      <c r="V119" s="2">
        <v>9.7</v>
      </c>
      <c r="W119" s="2">
        <v>9.49</v>
      </c>
      <c r="X119" s="3">
        <f t="shared" si="6"/>
        <v>-0.370000000000001</v>
      </c>
      <c r="Y119" s="4">
        <f t="shared" si="7"/>
        <v>-0.0389884088514227</v>
      </c>
      <c r="Z119" s="2">
        <v>9.19</v>
      </c>
      <c r="AA119" s="2">
        <v>9.25</v>
      </c>
    </row>
    <row r="120" spans="1:27">
      <c r="A120">
        <v>123210</v>
      </c>
      <c r="B120" t="s">
        <v>269</v>
      </c>
      <c r="C120" s="5">
        <v>45134</v>
      </c>
      <c r="D120">
        <v>370454</v>
      </c>
      <c r="E120">
        <v>300454</v>
      </c>
      <c r="F120" t="s">
        <v>270</v>
      </c>
      <c r="G120">
        <v>0.0024586282</v>
      </c>
      <c r="H120" s="5">
        <v>45156</v>
      </c>
      <c r="I120" t="s">
        <v>29</v>
      </c>
      <c r="J120" s="5">
        <v>45030</v>
      </c>
      <c r="K120" s="5">
        <v>45112</v>
      </c>
      <c r="L120">
        <v>104</v>
      </c>
      <c r="M120" s="2">
        <v>22</v>
      </c>
      <c r="N120" s="2">
        <v>140.8</v>
      </c>
      <c r="O120" s="2">
        <v>137.6</v>
      </c>
      <c r="P120" s="2">
        <v>113.75</v>
      </c>
      <c r="Q120" s="2">
        <v>112.11</v>
      </c>
      <c r="R120" s="2">
        <v>110.88</v>
      </c>
      <c r="S120" s="2">
        <v>110.6</v>
      </c>
      <c r="T120" s="3">
        <f t="shared" si="4"/>
        <v>-1.51000000000001</v>
      </c>
      <c r="U120" s="4">
        <f t="shared" si="5"/>
        <v>-0.0134689144590135</v>
      </c>
      <c r="V120" s="2">
        <v>110.39</v>
      </c>
      <c r="W120" s="2">
        <v>107.55</v>
      </c>
      <c r="X120" s="3">
        <f t="shared" si="6"/>
        <v>-0.489999999999995</v>
      </c>
      <c r="Y120" s="4">
        <f t="shared" si="7"/>
        <v>-0.004556020455602</v>
      </c>
      <c r="Z120" s="2">
        <v>112.38</v>
      </c>
      <c r="AA120" s="2">
        <v>109.18</v>
      </c>
    </row>
    <row r="121" spans="1:27">
      <c r="A121">
        <v>113067</v>
      </c>
      <c r="B121" t="s">
        <v>271</v>
      </c>
      <c r="C121" s="5">
        <v>45134</v>
      </c>
      <c r="D121">
        <v>783139</v>
      </c>
      <c r="E121">
        <v>601139</v>
      </c>
      <c r="F121" t="s">
        <v>272</v>
      </c>
      <c r="G121">
        <v>0.01104675</v>
      </c>
      <c r="H121" s="5">
        <v>45156</v>
      </c>
      <c r="I121" t="s">
        <v>32</v>
      </c>
      <c r="J121" s="5">
        <v>45069</v>
      </c>
      <c r="K121" s="5">
        <v>45106</v>
      </c>
      <c r="L121">
        <v>65</v>
      </c>
      <c r="M121" s="2">
        <v>28</v>
      </c>
      <c r="N121" s="2">
        <v>7.28</v>
      </c>
      <c r="O121" s="2">
        <v>7.18</v>
      </c>
      <c r="P121" s="2">
        <v>7.39</v>
      </c>
      <c r="Q121" s="2">
        <v>7.34</v>
      </c>
      <c r="R121" s="2">
        <v>7.46</v>
      </c>
      <c r="S121" s="2">
        <v>7.44</v>
      </c>
      <c r="T121" s="3">
        <f t="shared" si="4"/>
        <v>0.100000000000001</v>
      </c>
      <c r="U121" s="4">
        <f t="shared" si="5"/>
        <v>0.013623978201635</v>
      </c>
      <c r="V121" s="2">
        <v>7.18</v>
      </c>
      <c r="W121" s="2">
        <v>7.35</v>
      </c>
      <c r="X121" s="3">
        <f t="shared" si="6"/>
        <v>-0.28</v>
      </c>
      <c r="Y121" s="4">
        <f t="shared" si="7"/>
        <v>-0.0380952380952381</v>
      </c>
      <c r="Z121" s="2">
        <v>7</v>
      </c>
      <c r="AA121" s="2">
        <v>7.04</v>
      </c>
    </row>
    <row r="122" spans="1:27">
      <c r="A122">
        <v>123212</v>
      </c>
      <c r="B122" t="s">
        <v>273</v>
      </c>
      <c r="C122" s="5">
        <v>45134</v>
      </c>
      <c r="D122">
        <v>370428</v>
      </c>
      <c r="E122">
        <v>300428</v>
      </c>
      <c r="F122" t="s">
        <v>274</v>
      </c>
      <c r="G122">
        <v>0.0016998032</v>
      </c>
      <c r="H122" s="5">
        <v>45154</v>
      </c>
      <c r="I122" t="s">
        <v>44</v>
      </c>
      <c r="J122" s="5">
        <v>45071</v>
      </c>
      <c r="K122" s="5">
        <v>45114</v>
      </c>
      <c r="L122">
        <v>63</v>
      </c>
      <c r="M122" s="2">
        <v>20</v>
      </c>
      <c r="N122" s="2">
        <v>21.48</v>
      </c>
      <c r="O122" s="2">
        <v>21.37</v>
      </c>
      <c r="P122" s="2">
        <v>23.31</v>
      </c>
      <c r="Q122" s="2">
        <v>22.99</v>
      </c>
      <c r="R122" s="2">
        <v>25.18</v>
      </c>
      <c r="S122" s="2">
        <v>24.4</v>
      </c>
      <c r="T122" s="3">
        <f t="shared" si="4"/>
        <v>1.41</v>
      </c>
      <c r="U122" s="4">
        <f t="shared" si="5"/>
        <v>0.0613310134841235</v>
      </c>
      <c r="V122" s="2">
        <v>25</v>
      </c>
      <c r="W122" s="2">
        <v>24.8</v>
      </c>
      <c r="X122" s="3">
        <f t="shared" si="6"/>
        <v>-0.18</v>
      </c>
      <c r="Y122" s="4">
        <f t="shared" si="7"/>
        <v>-0.00725806451612902</v>
      </c>
      <c r="Z122" s="2">
        <v>23.46</v>
      </c>
      <c r="AA122" s="2">
        <v>23.47</v>
      </c>
    </row>
    <row r="123" spans="1:27">
      <c r="A123">
        <v>123209</v>
      </c>
      <c r="B123" t="s">
        <v>275</v>
      </c>
      <c r="C123" s="5">
        <v>45133</v>
      </c>
      <c r="D123">
        <v>370644</v>
      </c>
      <c r="E123">
        <v>300644</v>
      </c>
      <c r="F123" t="s">
        <v>276</v>
      </c>
      <c r="G123">
        <v>0.000840233</v>
      </c>
      <c r="H123" s="5">
        <v>45155</v>
      </c>
      <c r="I123" t="s">
        <v>39</v>
      </c>
      <c r="J123" s="5">
        <v>45026</v>
      </c>
      <c r="K123" s="5">
        <v>45063</v>
      </c>
      <c r="L123">
        <v>107</v>
      </c>
      <c r="M123" s="2">
        <v>70</v>
      </c>
      <c r="N123" s="2">
        <v>16.88</v>
      </c>
      <c r="O123" s="2">
        <v>16.56</v>
      </c>
      <c r="P123" s="2">
        <v>15.59</v>
      </c>
      <c r="Q123" s="2">
        <v>16.07</v>
      </c>
      <c r="R123" s="2">
        <v>18.69</v>
      </c>
      <c r="S123" s="2">
        <v>19.02</v>
      </c>
      <c r="T123" s="3">
        <f t="shared" si="4"/>
        <v>2.95</v>
      </c>
      <c r="U123" s="4">
        <f t="shared" si="5"/>
        <v>0.183571873055383</v>
      </c>
      <c r="V123" s="2">
        <v>17.59</v>
      </c>
      <c r="W123" s="2">
        <v>17.56</v>
      </c>
      <c r="X123" s="3">
        <f t="shared" si="6"/>
        <v>-1.1</v>
      </c>
      <c r="Y123" s="4">
        <f t="shared" si="7"/>
        <v>-0.0626423690205012</v>
      </c>
      <c r="Z123" s="2">
        <v>16.6</v>
      </c>
      <c r="AA123" s="2">
        <v>17.03</v>
      </c>
    </row>
    <row r="124" spans="1:27">
      <c r="A124">
        <v>118040</v>
      </c>
      <c r="B124" t="s">
        <v>277</v>
      </c>
      <c r="C124" s="5">
        <v>45132</v>
      </c>
      <c r="D124">
        <v>718711</v>
      </c>
      <c r="E124">
        <v>688711</v>
      </c>
      <c r="F124" t="s">
        <v>278</v>
      </c>
      <c r="G124">
        <v>0.00147191</v>
      </c>
      <c r="H124" s="5">
        <v>45152</v>
      </c>
      <c r="I124" t="s">
        <v>110</v>
      </c>
      <c r="J124" s="5">
        <v>45031</v>
      </c>
      <c r="K124" s="5">
        <v>45084</v>
      </c>
      <c r="L124">
        <v>101</v>
      </c>
      <c r="M124" s="2">
        <v>48</v>
      </c>
      <c r="N124" s="2">
        <v>89.9</v>
      </c>
      <c r="O124" s="2">
        <v>88.37</v>
      </c>
      <c r="P124" s="2">
        <v>58.91</v>
      </c>
      <c r="Q124" s="2">
        <v>60.49</v>
      </c>
      <c r="R124" s="2">
        <v>61.53</v>
      </c>
      <c r="S124" s="2">
        <v>60.84</v>
      </c>
      <c r="T124" s="3">
        <f t="shared" si="4"/>
        <v>0.350000000000001</v>
      </c>
      <c r="U124" s="4">
        <f t="shared" si="5"/>
        <v>0.00578608034385851</v>
      </c>
      <c r="V124" s="2">
        <v>60</v>
      </c>
      <c r="W124" s="2">
        <v>59.61</v>
      </c>
      <c r="X124" s="3">
        <f t="shared" si="6"/>
        <v>-1.53</v>
      </c>
      <c r="Y124" s="4">
        <f t="shared" si="7"/>
        <v>-0.0256668344237544</v>
      </c>
      <c r="Z124" s="2">
        <v>53.74</v>
      </c>
      <c r="AA124" s="2">
        <v>53</v>
      </c>
    </row>
    <row r="125" spans="1:27">
      <c r="A125">
        <v>111016</v>
      </c>
      <c r="B125" t="s">
        <v>279</v>
      </c>
      <c r="C125" s="5">
        <v>45132</v>
      </c>
      <c r="D125">
        <v>713228</v>
      </c>
      <c r="E125">
        <v>605228</v>
      </c>
      <c r="F125" t="s">
        <v>280</v>
      </c>
      <c r="G125">
        <v>0.00043413</v>
      </c>
      <c r="H125" s="5">
        <v>45153</v>
      </c>
      <c r="I125" t="s">
        <v>44</v>
      </c>
      <c r="J125" s="5">
        <v>45071</v>
      </c>
      <c r="K125" s="5">
        <v>45113</v>
      </c>
      <c r="L125">
        <v>61</v>
      </c>
      <c r="M125" s="2">
        <v>19</v>
      </c>
      <c r="N125" s="2">
        <v>8.53</v>
      </c>
      <c r="O125" s="2">
        <v>8.6</v>
      </c>
      <c r="P125" s="2">
        <v>9.96</v>
      </c>
      <c r="Q125" s="2">
        <v>9.97</v>
      </c>
      <c r="R125" s="2">
        <v>11.26</v>
      </c>
      <c r="S125" s="2">
        <v>11.46</v>
      </c>
      <c r="T125" s="3">
        <f t="shared" si="4"/>
        <v>1.49</v>
      </c>
      <c r="U125" s="4">
        <f t="shared" si="5"/>
        <v>0.149448345035105</v>
      </c>
      <c r="V125" s="2">
        <v>10.92</v>
      </c>
      <c r="W125" s="2">
        <v>11.4</v>
      </c>
      <c r="X125" s="3">
        <f t="shared" si="6"/>
        <v>-0.34</v>
      </c>
      <c r="Y125" s="4">
        <f t="shared" si="7"/>
        <v>-0.0298245614035088</v>
      </c>
      <c r="Z125" s="2">
        <v>9.96</v>
      </c>
      <c r="AA125" s="2">
        <v>9.6</v>
      </c>
    </row>
    <row r="126" spans="1:27">
      <c r="A126">
        <v>123208</v>
      </c>
      <c r="B126" t="s">
        <v>281</v>
      </c>
      <c r="C126" s="5">
        <v>45131</v>
      </c>
      <c r="D126">
        <v>371078</v>
      </c>
      <c r="E126">
        <v>301078</v>
      </c>
      <c r="F126" t="s">
        <v>282</v>
      </c>
      <c r="G126">
        <v>0.0044397098</v>
      </c>
      <c r="H126" s="5">
        <v>45148</v>
      </c>
      <c r="I126" t="s">
        <v>29</v>
      </c>
      <c r="J126" s="5">
        <v>45036</v>
      </c>
      <c r="K126" s="5">
        <v>45086</v>
      </c>
      <c r="L126">
        <v>95</v>
      </c>
      <c r="M126" s="2">
        <v>45</v>
      </c>
      <c r="N126" s="2">
        <v>11</v>
      </c>
      <c r="O126" s="2">
        <v>10.84</v>
      </c>
      <c r="P126" s="2">
        <v>12.29</v>
      </c>
      <c r="Q126" s="2">
        <v>13.13</v>
      </c>
      <c r="R126" s="2">
        <v>11.06</v>
      </c>
      <c r="S126" s="2">
        <v>11.25</v>
      </c>
      <c r="T126" s="3">
        <f t="shared" si="4"/>
        <v>-1.88</v>
      </c>
      <c r="U126" s="4">
        <f t="shared" si="5"/>
        <v>-0.143183549124143</v>
      </c>
      <c r="V126" s="2">
        <v>11</v>
      </c>
      <c r="W126" s="2">
        <v>10.89</v>
      </c>
      <c r="X126" s="3">
        <f t="shared" si="6"/>
        <v>-0.0600000000000005</v>
      </c>
      <c r="Y126" s="4">
        <f t="shared" si="7"/>
        <v>-0.00550964187327828</v>
      </c>
      <c r="Z126" s="2">
        <v>11.09</v>
      </c>
      <c r="AA126" s="2">
        <v>10.87</v>
      </c>
    </row>
    <row r="127" spans="1:27">
      <c r="A127">
        <v>127090</v>
      </c>
      <c r="B127" t="s">
        <v>283</v>
      </c>
      <c r="C127" s="5">
        <v>45131</v>
      </c>
      <c r="D127">
        <v>72937</v>
      </c>
      <c r="E127">
        <v>2937</v>
      </c>
      <c r="F127" t="s">
        <v>284</v>
      </c>
      <c r="G127">
        <v>0.0010381564</v>
      </c>
      <c r="H127" s="5">
        <v>45153</v>
      </c>
      <c r="I127" t="s">
        <v>44</v>
      </c>
      <c r="J127" s="5">
        <v>45065</v>
      </c>
      <c r="K127" s="5">
        <v>45112</v>
      </c>
      <c r="L127">
        <v>66</v>
      </c>
      <c r="M127" s="2">
        <v>19</v>
      </c>
      <c r="N127" s="2">
        <v>22.6</v>
      </c>
      <c r="O127" s="2">
        <v>22.86</v>
      </c>
      <c r="P127" s="2">
        <v>25.96</v>
      </c>
      <c r="Q127" s="2">
        <v>26.42</v>
      </c>
      <c r="R127" s="2">
        <v>26.09</v>
      </c>
      <c r="S127" s="2">
        <v>25.98</v>
      </c>
      <c r="T127" s="3">
        <f t="shared" si="4"/>
        <v>-0.440000000000001</v>
      </c>
      <c r="U127" s="4">
        <f t="shared" si="5"/>
        <v>-0.0166540499621499</v>
      </c>
      <c r="V127" s="2">
        <v>25.47</v>
      </c>
      <c r="W127" s="2">
        <v>25.93</v>
      </c>
      <c r="X127" s="3">
        <f t="shared" si="6"/>
        <v>-0.620000000000001</v>
      </c>
      <c r="Y127" s="4">
        <f t="shared" si="7"/>
        <v>-0.0239105283455457</v>
      </c>
      <c r="Z127" s="2">
        <v>24.28</v>
      </c>
      <c r="AA127" s="2">
        <v>24.16</v>
      </c>
    </row>
    <row r="128" spans="1:27">
      <c r="A128">
        <v>123207</v>
      </c>
      <c r="B128" t="s">
        <v>285</v>
      </c>
      <c r="C128" s="5">
        <v>45128</v>
      </c>
      <c r="D128">
        <v>370948</v>
      </c>
      <c r="E128">
        <v>300948</v>
      </c>
      <c r="F128" t="s">
        <v>286</v>
      </c>
      <c r="G128">
        <v>0.0013600673</v>
      </c>
      <c r="H128" s="5">
        <v>45147</v>
      </c>
      <c r="I128" t="s">
        <v>287</v>
      </c>
      <c r="J128" s="5">
        <v>45068</v>
      </c>
      <c r="K128" s="5">
        <v>45106</v>
      </c>
      <c r="L128">
        <v>60</v>
      </c>
      <c r="M128" s="2">
        <v>22</v>
      </c>
      <c r="N128" s="2">
        <v>14.38</v>
      </c>
      <c r="O128" s="2">
        <v>14.65</v>
      </c>
      <c r="P128" s="2">
        <v>13.91</v>
      </c>
      <c r="Q128" s="2">
        <v>14.69</v>
      </c>
      <c r="R128" s="2">
        <v>16.29</v>
      </c>
      <c r="S128" s="2">
        <v>16.38</v>
      </c>
      <c r="T128" s="3">
        <f t="shared" si="4"/>
        <v>1.69</v>
      </c>
      <c r="U128" s="4">
        <f t="shared" si="5"/>
        <v>0.115044247787611</v>
      </c>
      <c r="V128" s="2">
        <v>15.3</v>
      </c>
      <c r="W128" s="2">
        <v>15.21</v>
      </c>
      <c r="X128" s="3">
        <f t="shared" si="6"/>
        <v>-0.989999999999998</v>
      </c>
      <c r="Y128" s="4">
        <f t="shared" si="7"/>
        <v>-0.0650887573964496</v>
      </c>
      <c r="Z128" s="2">
        <v>15.22</v>
      </c>
      <c r="AA128" s="2">
        <v>14.85</v>
      </c>
    </row>
    <row r="129" spans="1:27">
      <c r="A129">
        <v>113674</v>
      </c>
      <c r="B129" t="s">
        <v>288</v>
      </c>
      <c r="C129" s="5">
        <v>45128</v>
      </c>
      <c r="D129">
        <v>754018</v>
      </c>
      <c r="E129">
        <v>603018</v>
      </c>
      <c r="F129" t="s">
        <v>289</v>
      </c>
      <c r="G129">
        <v>0.00097532</v>
      </c>
      <c r="H129" s="5">
        <v>45153</v>
      </c>
      <c r="I129" t="s">
        <v>29</v>
      </c>
      <c r="J129" s="5">
        <v>45036</v>
      </c>
      <c r="K129" s="5">
        <v>45106</v>
      </c>
      <c r="L129">
        <v>92</v>
      </c>
      <c r="M129" s="2">
        <v>22</v>
      </c>
      <c r="N129" s="2">
        <v>9.02</v>
      </c>
      <c r="O129" s="2">
        <v>9.16</v>
      </c>
      <c r="P129" s="2">
        <v>8.62</v>
      </c>
      <c r="Q129" s="2">
        <v>8.71</v>
      </c>
      <c r="R129" s="2">
        <v>8.97</v>
      </c>
      <c r="S129" s="2">
        <v>8.82</v>
      </c>
      <c r="T129" s="3">
        <f t="shared" si="4"/>
        <v>0.109999999999999</v>
      </c>
      <c r="U129" s="4">
        <f t="shared" si="5"/>
        <v>0.0126291618828932</v>
      </c>
      <c r="V129" s="2">
        <v>8.58</v>
      </c>
      <c r="W129" s="2">
        <v>8.71</v>
      </c>
      <c r="X129" s="3">
        <f t="shared" si="6"/>
        <v>-0.390000000000001</v>
      </c>
      <c r="Y129" s="4">
        <f t="shared" si="7"/>
        <v>-0.0447761194029851</v>
      </c>
      <c r="Z129" s="2">
        <v>8.65</v>
      </c>
      <c r="AA129" s="2">
        <v>8.68</v>
      </c>
    </row>
    <row r="130" spans="1:27">
      <c r="A130">
        <v>118039</v>
      </c>
      <c r="B130" t="s">
        <v>290</v>
      </c>
      <c r="C130" s="5">
        <v>45127</v>
      </c>
      <c r="D130">
        <v>718597</v>
      </c>
      <c r="E130">
        <v>688597</v>
      </c>
      <c r="F130" t="s">
        <v>291</v>
      </c>
      <c r="G130">
        <v>0.00166927</v>
      </c>
      <c r="H130" s="5">
        <v>45153</v>
      </c>
      <c r="I130" t="s">
        <v>110</v>
      </c>
      <c r="J130" s="5">
        <v>45076</v>
      </c>
      <c r="K130" s="5">
        <v>45108</v>
      </c>
      <c r="L130">
        <v>51</v>
      </c>
      <c r="M130" s="2">
        <v>19</v>
      </c>
      <c r="N130" s="2">
        <v>10.45</v>
      </c>
      <c r="O130" s="2">
        <v>10.57</v>
      </c>
      <c r="P130" s="2">
        <v>10.17</v>
      </c>
      <c r="Q130" s="2">
        <v>10.06</v>
      </c>
      <c r="R130" s="2">
        <v>10.45</v>
      </c>
      <c r="S130" s="2">
        <v>10.51</v>
      </c>
      <c r="T130" s="3">
        <f t="shared" si="4"/>
        <v>0.449999999999999</v>
      </c>
      <c r="U130" s="4">
        <f t="shared" si="5"/>
        <v>0.0447316103379721</v>
      </c>
      <c r="V130" s="2">
        <v>9.98</v>
      </c>
      <c r="W130" s="2">
        <v>9.59</v>
      </c>
      <c r="X130" s="3">
        <f t="shared" si="6"/>
        <v>-0.469999999999999</v>
      </c>
      <c r="Y130" s="4">
        <f t="shared" si="7"/>
        <v>-0.049009384775808</v>
      </c>
      <c r="Z130" s="2">
        <v>8.8</v>
      </c>
      <c r="AA130" s="2">
        <v>8.7</v>
      </c>
    </row>
    <row r="131" spans="1:27">
      <c r="A131">
        <v>123206</v>
      </c>
      <c r="B131" t="s">
        <v>292</v>
      </c>
      <c r="C131" s="5">
        <v>45127</v>
      </c>
      <c r="D131">
        <v>370272</v>
      </c>
      <c r="E131">
        <v>300272</v>
      </c>
      <c r="F131" t="s">
        <v>293</v>
      </c>
      <c r="G131">
        <v>0.0005681769</v>
      </c>
      <c r="H131" s="5">
        <v>45146</v>
      </c>
      <c r="I131" t="s">
        <v>39</v>
      </c>
      <c r="J131" s="5">
        <v>45044</v>
      </c>
      <c r="K131" s="5">
        <v>45110</v>
      </c>
      <c r="L131">
        <v>83</v>
      </c>
      <c r="M131" s="2">
        <v>17</v>
      </c>
      <c r="N131" s="2">
        <v>5.28</v>
      </c>
      <c r="O131" s="2">
        <v>5.38</v>
      </c>
      <c r="P131" s="2">
        <v>5.31</v>
      </c>
      <c r="Q131" s="2">
        <v>5.33</v>
      </c>
      <c r="R131" s="2">
        <v>5.8</v>
      </c>
      <c r="S131" s="2">
        <v>5.92</v>
      </c>
      <c r="T131" s="3">
        <f t="shared" ref="T131:T194" si="8">S131-Q131</f>
        <v>0.59</v>
      </c>
      <c r="U131" s="4">
        <f t="shared" ref="U131:U194" si="9">T131/Q131</f>
        <v>0.110694183864916</v>
      </c>
      <c r="V131" s="2">
        <v>5.58</v>
      </c>
      <c r="W131" s="2">
        <v>5.61</v>
      </c>
      <c r="X131" s="3">
        <f t="shared" ref="X131:X194" si="10">V131-R131</f>
        <v>-0.22</v>
      </c>
      <c r="Y131" s="4">
        <f t="shared" ref="Y131:Y194" si="11">X131/W131</f>
        <v>-0.0392156862745098</v>
      </c>
      <c r="Z131" s="2">
        <v>5.62</v>
      </c>
      <c r="AA131" s="2">
        <v>5.69</v>
      </c>
    </row>
    <row r="132" spans="1:27">
      <c r="A132">
        <v>110094</v>
      </c>
      <c r="B132" t="s">
        <v>294</v>
      </c>
      <c r="C132" s="5">
        <v>45125</v>
      </c>
      <c r="D132">
        <v>733888</v>
      </c>
      <c r="E132">
        <v>600888</v>
      </c>
      <c r="F132" t="s">
        <v>295</v>
      </c>
      <c r="G132">
        <v>0.00389776</v>
      </c>
      <c r="H132" s="5">
        <v>45152</v>
      </c>
      <c r="I132" t="s">
        <v>29</v>
      </c>
      <c r="J132" s="5">
        <v>45064</v>
      </c>
      <c r="K132" s="5">
        <v>45113</v>
      </c>
      <c r="L132">
        <v>61</v>
      </c>
      <c r="M132" s="2">
        <v>12</v>
      </c>
      <c r="N132" s="2">
        <v>8.35</v>
      </c>
      <c r="O132" s="2">
        <v>8.22</v>
      </c>
      <c r="P132" s="2">
        <v>8.11</v>
      </c>
      <c r="Q132" s="2">
        <v>8.09</v>
      </c>
      <c r="R132" s="2">
        <v>8.21</v>
      </c>
      <c r="S132" s="2">
        <v>8.16</v>
      </c>
      <c r="T132" s="3">
        <f t="shared" si="8"/>
        <v>0.0700000000000003</v>
      </c>
      <c r="U132" s="4">
        <f t="shared" si="9"/>
        <v>0.00865265760197779</v>
      </c>
      <c r="V132" s="2">
        <v>8</v>
      </c>
      <c r="W132" s="2">
        <v>8.1</v>
      </c>
      <c r="X132" s="3">
        <f t="shared" si="10"/>
        <v>-0.210000000000001</v>
      </c>
      <c r="Y132" s="4">
        <f t="shared" si="11"/>
        <v>-0.025925925925926</v>
      </c>
      <c r="Z132" s="2">
        <v>8.06</v>
      </c>
      <c r="AA132" s="2">
        <v>8.18</v>
      </c>
    </row>
    <row r="133" spans="1:27">
      <c r="A133">
        <v>127089</v>
      </c>
      <c r="B133" t="s">
        <v>296</v>
      </c>
      <c r="C133" s="5">
        <v>45125</v>
      </c>
      <c r="D133">
        <v>72459</v>
      </c>
      <c r="E133">
        <v>2459</v>
      </c>
      <c r="F133" t="s">
        <v>297</v>
      </c>
      <c r="G133">
        <v>0.0241433531</v>
      </c>
      <c r="H133" s="5">
        <v>45142</v>
      </c>
      <c r="I133" t="s">
        <v>47</v>
      </c>
      <c r="J133" s="5">
        <v>45044</v>
      </c>
      <c r="K133" s="5">
        <v>45078</v>
      </c>
      <c r="L133">
        <v>81</v>
      </c>
      <c r="M133" s="2">
        <v>47</v>
      </c>
      <c r="N133" s="2">
        <v>40.63</v>
      </c>
      <c r="O133" s="2">
        <v>40.39</v>
      </c>
      <c r="P133" s="2">
        <v>36.09</v>
      </c>
      <c r="Q133" s="2">
        <v>35.2</v>
      </c>
      <c r="R133" s="2">
        <v>34.54</v>
      </c>
      <c r="S133" s="2">
        <v>33.92</v>
      </c>
      <c r="T133" s="3">
        <f t="shared" si="8"/>
        <v>-1.28</v>
      </c>
      <c r="U133" s="4">
        <f t="shared" si="9"/>
        <v>-0.0363636363636364</v>
      </c>
      <c r="V133" s="2">
        <v>33.91</v>
      </c>
      <c r="W133" s="2">
        <v>33.21</v>
      </c>
      <c r="X133" s="3">
        <f t="shared" si="10"/>
        <v>-0.630000000000003</v>
      </c>
      <c r="Y133" s="4">
        <f t="shared" si="11"/>
        <v>-0.0189701897018971</v>
      </c>
      <c r="Z133" s="2">
        <v>31.71</v>
      </c>
      <c r="AA133" s="2">
        <v>31.63</v>
      </c>
    </row>
    <row r="134" spans="1:27">
      <c r="A134">
        <v>113672</v>
      </c>
      <c r="B134" t="s">
        <v>298</v>
      </c>
      <c r="C134" s="5">
        <v>45125</v>
      </c>
      <c r="D134">
        <v>754327</v>
      </c>
      <c r="E134">
        <v>603327</v>
      </c>
      <c r="F134" t="s">
        <v>299</v>
      </c>
      <c r="G134">
        <v>0.00073622</v>
      </c>
      <c r="H134" s="5">
        <v>45148</v>
      </c>
      <c r="I134" t="s">
        <v>29</v>
      </c>
      <c r="J134" s="5">
        <v>45065</v>
      </c>
      <c r="K134" s="5">
        <v>45107</v>
      </c>
      <c r="L134">
        <v>60</v>
      </c>
      <c r="M134" s="2">
        <v>18</v>
      </c>
      <c r="N134" s="2">
        <v>14.93</v>
      </c>
      <c r="O134" s="2">
        <v>15.07</v>
      </c>
      <c r="P134" s="2">
        <v>11.64</v>
      </c>
      <c r="Q134" s="2">
        <v>11.88</v>
      </c>
      <c r="R134" s="2">
        <v>12.6</v>
      </c>
      <c r="S134" s="2">
        <v>12.4</v>
      </c>
      <c r="T134" s="3">
        <f t="shared" si="8"/>
        <v>0.52</v>
      </c>
      <c r="U134" s="4">
        <f t="shared" si="9"/>
        <v>0.0437710437710437</v>
      </c>
      <c r="V134" s="2">
        <v>12.07</v>
      </c>
      <c r="W134" s="2">
        <v>12.25</v>
      </c>
      <c r="X134" s="3">
        <f t="shared" si="10"/>
        <v>-0.529999999999999</v>
      </c>
      <c r="Y134" s="4">
        <f t="shared" si="11"/>
        <v>-0.0432653061224489</v>
      </c>
      <c r="Z134" s="2">
        <v>12.57</v>
      </c>
      <c r="AA134" s="2">
        <v>12.61</v>
      </c>
    </row>
    <row r="135" spans="1:27">
      <c r="A135">
        <v>113673</v>
      </c>
      <c r="B135" t="s">
        <v>300</v>
      </c>
      <c r="C135" s="5">
        <v>45125</v>
      </c>
      <c r="D135">
        <v>754730</v>
      </c>
      <c r="E135">
        <v>603730</v>
      </c>
      <c r="F135" t="s">
        <v>301</v>
      </c>
      <c r="G135">
        <v>0.00061925</v>
      </c>
      <c r="H135" s="5">
        <v>45148</v>
      </c>
      <c r="I135" t="s">
        <v>29</v>
      </c>
      <c r="J135" s="5">
        <v>45044</v>
      </c>
      <c r="K135" s="5">
        <v>45099</v>
      </c>
      <c r="L135">
        <v>81</v>
      </c>
      <c r="M135" s="2">
        <v>26</v>
      </c>
      <c r="N135" s="2">
        <v>17.23</v>
      </c>
      <c r="O135" s="2">
        <v>16.9</v>
      </c>
      <c r="P135" s="2">
        <v>15.79</v>
      </c>
      <c r="Q135" s="2">
        <v>16.42</v>
      </c>
      <c r="R135" s="2">
        <v>15.92</v>
      </c>
      <c r="S135" s="2">
        <v>16.17</v>
      </c>
      <c r="T135" s="3">
        <f t="shared" si="8"/>
        <v>-0.25</v>
      </c>
      <c r="U135" s="4">
        <f t="shared" si="9"/>
        <v>-0.0152253349573691</v>
      </c>
      <c r="V135" s="2">
        <v>15.76</v>
      </c>
      <c r="W135" s="2">
        <v>17.51</v>
      </c>
      <c r="X135" s="3">
        <f t="shared" si="10"/>
        <v>-0.16</v>
      </c>
      <c r="Y135" s="4">
        <f t="shared" si="11"/>
        <v>-0.00913763563677899</v>
      </c>
      <c r="Z135" s="2">
        <v>18.56</v>
      </c>
      <c r="AA135" s="2">
        <v>18.6</v>
      </c>
    </row>
    <row r="136" spans="1:27">
      <c r="A136">
        <v>118038</v>
      </c>
      <c r="B136" t="s">
        <v>302</v>
      </c>
      <c r="C136" s="5">
        <v>45124</v>
      </c>
      <c r="D136">
        <v>718106</v>
      </c>
      <c r="E136">
        <v>688106</v>
      </c>
      <c r="F136" t="s">
        <v>303</v>
      </c>
      <c r="G136">
        <v>0.00221597</v>
      </c>
      <c r="H136" s="5">
        <v>45148</v>
      </c>
      <c r="I136" t="s">
        <v>44</v>
      </c>
      <c r="J136" s="5">
        <v>45027</v>
      </c>
      <c r="K136" s="5">
        <v>45105</v>
      </c>
      <c r="L136">
        <v>97</v>
      </c>
      <c r="M136" s="2">
        <v>19</v>
      </c>
      <c r="N136" s="2">
        <v>23.63</v>
      </c>
      <c r="O136" s="2">
        <v>23.8</v>
      </c>
      <c r="P136" s="2">
        <v>25.9</v>
      </c>
      <c r="Q136" s="2">
        <v>25.9</v>
      </c>
      <c r="R136" s="2">
        <v>26.41</v>
      </c>
      <c r="S136" s="2">
        <v>25.22</v>
      </c>
      <c r="T136" s="3">
        <f t="shared" si="8"/>
        <v>-0.68</v>
      </c>
      <c r="U136" s="4">
        <f t="shared" si="9"/>
        <v>-0.0262548262548262</v>
      </c>
      <c r="V136" s="2">
        <v>24.8</v>
      </c>
      <c r="W136" s="2">
        <v>25.25</v>
      </c>
      <c r="X136" s="3">
        <f t="shared" si="10"/>
        <v>-1.61</v>
      </c>
      <c r="Y136" s="4">
        <f t="shared" si="11"/>
        <v>-0.0637623762376237</v>
      </c>
      <c r="Z136" s="2">
        <v>25.4</v>
      </c>
      <c r="AA136" s="2">
        <v>25.01</v>
      </c>
    </row>
    <row r="137" spans="1:27">
      <c r="A137">
        <v>123205</v>
      </c>
      <c r="B137" t="s">
        <v>304</v>
      </c>
      <c r="C137" s="5">
        <v>45124</v>
      </c>
      <c r="D137">
        <v>370879</v>
      </c>
      <c r="E137">
        <v>300879</v>
      </c>
      <c r="F137" t="s">
        <v>305</v>
      </c>
      <c r="G137">
        <v>0.0007488107</v>
      </c>
      <c r="H137" s="5">
        <v>45146</v>
      </c>
      <c r="I137" t="s">
        <v>39</v>
      </c>
      <c r="J137" s="5">
        <v>44876</v>
      </c>
      <c r="K137" s="5">
        <v>44944</v>
      </c>
      <c r="L137">
        <v>248</v>
      </c>
      <c r="M137" s="2">
        <v>180</v>
      </c>
      <c r="N137" s="2">
        <v>18.35</v>
      </c>
      <c r="O137" s="2">
        <v>18.13</v>
      </c>
      <c r="P137" s="2">
        <v>16.44</v>
      </c>
      <c r="Q137" s="2">
        <v>16.6</v>
      </c>
      <c r="R137" s="2">
        <v>19.7</v>
      </c>
      <c r="S137" s="2">
        <v>19.38</v>
      </c>
      <c r="T137" s="3">
        <f t="shared" si="8"/>
        <v>2.78</v>
      </c>
      <c r="U137" s="4">
        <f t="shared" si="9"/>
        <v>0.167469879518072</v>
      </c>
      <c r="V137" s="2">
        <v>18.57</v>
      </c>
      <c r="W137" s="2">
        <v>18.03</v>
      </c>
      <c r="X137" s="3">
        <f t="shared" si="10"/>
        <v>-1.13</v>
      </c>
      <c r="Y137" s="4">
        <f t="shared" si="11"/>
        <v>-0.0626733222407099</v>
      </c>
      <c r="Z137" s="2">
        <v>17.47</v>
      </c>
      <c r="AA137" s="2">
        <v>17.36</v>
      </c>
    </row>
    <row r="138" spans="1:27">
      <c r="A138">
        <v>123204</v>
      </c>
      <c r="B138" t="s">
        <v>306</v>
      </c>
      <c r="C138" s="5">
        <v>45120</v>
      </c>
      <c r="D138">
        <v>370829</v>
      </c>
      <c r="E138">
        <v>300829</v>
      </c>
      <c r="F138" t="s">
        <v>307</v>
      </c>
      <c r="G138">
        <v>0.0015047031</v>
      </c>
      <c r="H138" s="5">
        <v>45140</v>
      </c>
      <c r="I138" t="s">
        <v>44</v>
      </c>
      <c r="J138" s="5">
        <v>45009</v>
      </c>
      <c r="K138" s="5">
        <v>45044</v>
      </c>
      <c r="L138">
        <v>111</v>
      </c>
      <c r="M138" s="2">
        <v>76</v>
      </c>
      <c r="N138" s="2">
        <v>22.92</v>
      </c>
      <c r="O138" s="2">
        <v>23.6</v>
      </c>
      <c r="P138" s="2">
        <v>21.58</v>
      </c>
      <c r="Q138" s="2">
        <v>21.66</v>
      </c>
      <c r="R138" s="2">
        <v>21.65</v>
      </c>
      <c r="S138" s="2">
        <v>22.1</v>
      </c>
      <c r="T138" s="3">
        <f t="shared" si="8"/>
        <v>0.440000000000001</v>
      </c>
      <c r="U138" s="4">
        <f t="shared" si="9"/>
        <v>0.0203139427516159</v>
      </c>
      <c r="V138" s="2">
        <v>21.12</v>
      </c>
      <c r="W138" s="2">
        <v>21.49</v>
      </c>
      <c r="X138" s="3">
        <f t="shared" si="10"/>
        <v>-0.529999999999998</v>
      </c>
      <c r="Y138" s="4">
        <f t="shared" si="11"/>
        <v>-0.0246626337831548</v>
      </c>
      <c r="Z138" s="2">
        <v>21.02</v>
      </c>
      <c r="AA138" s="2">
        <v>21.08</v>
      </c>
    </row>
    <row r="139" spans="1:27">
      <c r="A139">
        <v>113671</v>
      </c>
      <c r="B139" t="s">
        <v>308</v>
      </c>
      <c r="C139" s="5">
        <v>45117</v>
      </c>
      <c r="D139">
        <v>754878</v>
      </c>
      <c r="E139">
        <v>603878</v>
      </c>
      <c r="F139" t="s">
        <v>309</v>
      </c>
      <c r="G139">
        <v>0.00072475</v>
      </c>
      <c r="H139" s="5">
        <v>45141</v>
      </c>
      <c r="I139" t="s">
        <v>29</v>
      </c>
      <c r="J139" s="5">
        <v>45070</v>
      </c>
      <c r="K139" s="5">
        <v>45106</v>
      </c>
      <c r="L139">
        <v>47</v>
      </c>
      <c r="M139" s="2">
        <v>11</v>
      </c>
      <c r="N139" s="2">
        <v>8.37</v>
      </c>
      <c r="O139" s="2">
        <v>8.36</v>
      </c>
      <c r="P139" s="2">
        <v>8.16</v>
      </c>
      <c r="Q139" s="2">
        <v>8.3</v>
      </c>
      <c r="R139" s="2">
        <v>8.55</v>
      </c>
      <c r="S139" s="2">
        <v>8.55</v>
      </c>
      <c r="T139" s="3">
        <f t="shared" si="8"/>
        <v>0.25</v>
      </c>
      <c r="U139" s="4">
        <f t="shared" si="9"/>
        <v>0.0301204819277108</v>
      </c>
      <c r="V139" s="2">
        <v>8.25</v>
      </c>
      <c r="W139" s="2">
        <v>8.28</v>
      </c>
      <c r="X139" s="3">
        <f t="shared" si="10"/>
        <v>-0.300000000000001</v>
      </c>
      <c r="Y139" s="4">
        <f t="shared" si="11"/>
        <v>-0.0362318840579711</v>
      </c>
      <c r="Z139" s="2">
        <v>8.51</v>
      </c>
      <c r="AA139" s="2">
        <v>8.43</v>
      </c>
    </row>
    <row r="140" spans="1:27">
      <c r="A140">
        <v>111015</v>
      </c>
      <c r="B140" t="s">
        <v>310</v>
      </c>
      <c r="C140" s="5">
        <v>45113</v>
      </c>
      <c r="D140">
        <v>713177</v>
      </c>
      <c r="E140">
        <v>605177</v>
      </c>
      <c r="F140" t="s">
        <v>311</v>
      </c>
      <c r="G140">
        <v>0.00141941</v>
      </c>
      <c r="H140" s="5">
        <v>45140</v>
      </c>
      <c r="I140" t="s">
        <v>39</v>
      </c>
      <c r="J140" s="5">
        <v>45044</v>
      </c>
      <c r="K140" s="5">
        <v>45080</v>
      </c>
      <c r="L140">
        <v>69</v>
      </c>
      <c r="M140" s="2">
        <v>33</v>
      </c>
      <c r="N140" s="2">
        <v>24.35</v>
      </c>
      <c r="O140" s="2">
        <v>24.87</v>
      </c>
      <c r="P140" s="2">
        <v>24.79</v>
      </c>
      <c r="Q140" s="2">
        <v>24.56</v>
      </c>
      <c r="R140" s="2">
        <v>26.25</v>
      </c>
      <c r="S140" s="2">
        <v>26.41</v>
      </c>
      <c r="T140" s="3">
        <f t="shared" si="8"/>
        <v>1.85</v>
      </c>
      <c r="U140" s="4">
        <f t="shared" si="9"/>
        <v>0.0753257328990229</v>
      </c>
      <c r="V140" s="2">
        <v>24.87</v>
      </c>
      <c r="W140" s="2">
        <v>25.52</v>
      </c>
      <c r="X140" s="3">
        <f t="shared" si="10"/>
        <v>-1.38</v>
      </c>
      <c r="Y140" s="4">
        <f t="shared" si="11"/>
        <v>-0.0540752351097178</v>
      </c>
      <c r="Z140" s="2">
        <v>29.48</v>
      </c>
      <c r="AA140" s="2">
        <v>28.64</v>
      </c>
    </row>
    <row r="141" spans="1:27">
      <c r="A141">
        <v>118037</v>
      </c>
      <c r="B141" t="s">
        <v>312</v>
      </c>
      <c r="C141" s="5">
        <v>45113</v>
      </c>
      <c r="D141">
        <v>718533</v>
      </c>
      <c r="E141">
        <v>688533</v>
      </c>
      <c r="F141" t="s">
        <v>313</v>
      </c>
      <c r="G141">
        <v>0.00074907</v>
      </c>
      <c r="H141" s="5">
        <v>45139</v>
      </c>
      <c r="I141" t="s">
        <v>39</v>
      </c>
      <c r="J141" s="5">
        <v>45034</v>
      </c>
      <c r="K141" s="5">
        <v>45072</v>
      </c>
      <c r="L141">
        <v>79</v>
      </c>
      <c r="M141" s="2">
        <v>41</v>
      </c>
      <c r="N141" s="2">
        <v>41.5</v>
      </c>
      <c r="O141" s="2">
        <v>41.51</v>
      </c>
      <c r="P141" s="2">
        <v>44.81</v>
      </c>
      <c r="Q141" s="2">
        <v>46.07</v>
      </c>
      <c r="R141" s="2">
        <v>51.19</v>
      </c>
      <c r="S141" s="2">
        <v>49.98</v>
      </c>
      <c r="T141" s="3">
        <f t="shared" si="8"/>
        <v>3.91</v>
      </c>
      <c r="U141" s="4">
        <f t="shared" si="9"/>
        <v>0.084870848708487</v>
      </c>
      <c r="V141" s="2">
        <v>48.68</v>
      </c>
      <c r="W141" s="2">
        <v>49.58</v>
      </c>
      <c r="X141" s="3">
        <f t="shared" si="10"/>
        <v>-2.51</v>
      </c>
      <c r="Y141" s="4">
        <f t="shared" si="11"/>
        <v>-0.0506252521177894</v>
      </c>
      <c r="Z141" s="2">
        <v>47</v>
      </c>
      <c r="AA141" s="2">
        <v>46.49</v>
      </c>
    </row>
    <row r="142" spans="1:27">
      <c r="A142">
        <v>127088</v>
      </c>
      <c r="B142" t="s">
        <v>314</v>
      </c>
      <c r="C142" s="5">
        <v>45110</v>
      </c>
      <c r="D142">
        <v>72810</v>
      </c>
      <c r="E142">
        <v>2810</v>
      </c>
      <c r="F142" t="s">
        <v>315</v>
      </c>
      <c r="G142">
        <v>0.0019329397</v>
      </c>
      <c r="H142" s="5">
        <v>45126</v>
      </c>
      <c r="I142" t="s">
        <v>44</v>
      </c>
      <c r="J142" s="5">
        <v>45040</v>
      </c>
      <c r="K142" s="5">
        <v>45086</v>
      </c>
      <c r="L142">
        <v>70</v>
      </c>
      <c r="M142" s="2">
        <v>24</v>
      </c>
      <c r="N142" s="2">
        <v>20.09</v>
      </c>
      <c r="O142" s="2">
        <v>19.88</v>
      </c>
      <c r="P142" s="2">
        <v>17.32</v>
      </c>
      <c r="Q142" s="2">
        <v>17.4</v>
      </c>
      <c r="R142" s="2">
        <v>17.61</v>
      </c>
      <c r="S142" s="2">
        <v>18</v>
      </c>
      <c r="T142" s="3">
        <f t="shared" si="8"/>
        <v>0.600000000000001</v>
      </c>
      <c r="U142" s="4">
        <f t="shared" si="9"/>
        <v>0.0344827586206897</v>
      </c>
      <c r="V142" s="2">
        <v>17.76</v>
      </c>
      <c r="W142" s="2">
        <v>18.03</v>
      </c>
      <c r="X142" s="3">
        <f t="shared" si="10"/>
        <v>0.150000000000002</v>
      </c>
      <c r="Y142" s="4">
        <f t="shared" si="11"/>
        <v>0.00831946755407666</v>
      </c>
      <c r="Z142" s="2">
        <v>18.73</v>
      </c>
      <c r="AA142" s="2">
        <v>18.67</v>
      </c>
    </row>
    <row r="143" spans="1:27">
      <c r="A143">
        <v>123203</v>
      </c>
      <c r="B143" t="s">
        <v>316</v>
      </c>
      <c r="C143" s="5">
        <v>45110</v>
      </c>
      <c r="D143">
        <v>370739</v>
      </c>
      <c r="E143">
        <v>300739</v>
      </c>
      <c r="F143" t="s">
        <v>317</v>
      </c>
      <c r="G143">
        <v>0.0010565991</v>
      </c>
      <c r="H143" s="5">
        <v>45126</v>
      </c>
      <c r="I143" t="s">
        <v>44</v>
      </c>
      <c r="J143" s="5">
        <v>45023</v>
      </c>
      <c r="K143" s="5">
        <v>45072</v>
      </c>
      <c r="L143">
        <v>87</v>
      </c>
      <c r="M143" s="2">
        <v>38</v>
      </c>
      <c r="N143" s="2">
        <v>17</v>
      </c>
      <c r="O143" s="2">
        <v>16.47</v>
      </c>
      <c r="P143" s="2">
        <v>13.92</v>
      </c>
      <c r="Q143" s="2">
        <v>14.19</v>
      </c>
      <c r="R143" s="2">
        <v>14.58</v>
      </c>
      <c r="S143" s="2">
        <v>14.89</v>
      </c>
      <c r="T143" s="3">
        <f t="shared" si="8"/>
        <v>0.700000000000001</v>
      </c>
      <c r="U143" s="4">
        <f t="shared" si="9"/>
        <v>0.0493305144467936</v>
      </c>
      <c r="V143" s="2">
        <v>14.59</v>
      </c>
      <c r="W143" s="2">
        <v>14.66</v>
      </c>
      <c r="X143" s="3">
        <f t="shared" si="10"/>
        <v>0.00999999999999979</v>
      </c>
      <c r="Y143" s="4">
        <f t="shared" si="11"/>
        <v>0.000682128240109126</v>
      </c>
      <c r="Z143" s="2">
        <v>15.06</v>
      </c>
      <c r="AA143" s="2">
        <v>15.2</v>
      </c>
    </row>
    <row r="144" spans="1:27">
      <c r="A144">
        <v>123202</v>
      </c>
      <c r="B144" t="s">
        <v>318</v>
      </c>
      <c r="C144" s="5">
        <v>45110</v>
      </c>
      <c r="D144">
        <v>370980</v>
      </c>
      <c r="E144">
        <v>300980</v>
      </c>
      <c r="F144" t="s">
        <v>319</v>
      </c>
      <c r="G144">
        <v>0.0012570425</v>
      </c>
      <c r="H144" s="5">
        <v>45133</v>
      </c>
      <c r="I144" t="s">
        <v>39</v>
      </c>
      <c r="J144" s="5">
        <v>44987</v>
      </c>
      <c r="K144" s="5">
        <v>45028</v>
      </c>
      <c r="L144">
        <v>123</v>
      </c>
      <c r="M144" s="2">
        <v>82</v>
      </c>
      <c r="N144" s="2">
        <v>19.68</v>
      </c>
      <c r="O144" s="2">
        <v>19.7</v>
      </c>
      <c r="P144" s="2">
        <v>21</v>
      </c>
      <c r="Q144" s="2">
        <v>21.02</v>
      </c>
      <c r="R144" s="2">
        <v>20.3</v>
      </c>
      <c r="S144" s="2">
        <v>20.11</v>
      </c>
      <c r="T144" s="3">
        <f t="shared" si="8"/>
        <v>-0.91</v>
      </c>
      <c r="U144" s="4">
        <f t="shared" si="9"/>
        <v>-0.0432921027592769</v>
      </c>
      <c r="V144" s="2">
        <v>19.18</v>
      </c>
      <c r="W144" s="2">
        <v>19.47</v>
      </c>
      <c r="X144" s="3">
        <f t="shared" si="10"/>
        <v>-1.12</v>
      </c>
      <c r="Y144" s="4">
        <f t="shared" si="11"/>
        <v>-0.0575243965074474</v>
      </c>
      <c r="Z144" s="2">
        <v>19.67</v>
      </c>
      <c r="AA144" s="2">
        <v>19.85</v>
      </c>
    </row>
    <row r="145" spans="1:27">
      <c r="A145">
        <v>118036</v>
      </c>
      <c r="B145" t="s">
        <v>320</v>
      </c>
      <c r="C145" s="5">
        <v>45105</v>
      </c>
      <c r="D145">
        <v>718589</v>
      </c>
      <c r="E145">
        <v>688589</v>
      </c>
      <c r="F145" t="s">
        <v>321</v>
      </c>
      <c r="G145">
        <v>0.00119992</v>
      </c>
      <c r="H145" s="5">
        <v>45127</v>
      </c>
      <c r="I145" t="s">
        <v>44</v>
      </c>
      <c r="J145" s="5">
        <v>45010</v>
      </c>
      <c r="K145" s="8">
        <v>45084</v>
      </c>
      <c r="L145">
        <v>95</v>
      </c>
      <c r="M145" s="2">
        <v>21</v>
      </c>
      <c r="N145" s="2">
        <v>43</v>
      </c>
      <c r="O145" s="2">
        <v>42.13</v>
      </c>
      <c r="P145" s="2">
        <v>43.24</v>
      </c>
      <c r="Q145" s="2">
        <v>43.83</v>
      </c>
      <c r="R145" s="2">
        <v>41.99</v>
      </c>
      <c r="S145" s="2">
        <v>42.14</v>
      </c>
      <c r="T145" s="3">
        <f t="shared" si="8"/>
        <v>-1.69</v>
      </c>
      <c r="U145" s="4">
        <f t="shared" si="9"/>
        <v>-0.0385580652521104</v>
      </c>
      <c r="V145" s="2">
        <v>40.71</v>
      </c>
      <c r="W145" s="2">
        <v>39.84</v>
      </c>
      <c r="X145" s="3">
        <f t="shared" si="10"/>
        <v>-1.28</v>
      </c>
      <c r="Y145" s="4">
        <f t="shared" si="11"/>
        <v>-0.0321285140562249</v>
      </c>
      <c r="Z145" s="2">
        <v>45.92</v>
      </c>
      <c r="AA145" s="2">
        <v>43.56</v>
      </c>
    </row>
    <row r="146" spans="1:27">
      <c r="A146">
        <v>123200</v>
      </c>
      <c r="B146" t="s">
        <v>322</v>
      </c>
      <c r="C146" s="5">
        <v>45104</v>
      </c>
      <c r="D146">
        <v>371022</v>
      </c>
      <c r="E146">
        <v>301022</v>
      </c>
      <c r="F146" t="s">
        <v>323</v>
      </c>
      <c r="G146">
        <v>0.0006950516</v>
      </c>
      <c r="H146" s="5">
        <v>45124</v>
      </c>
      <c r="I146" t="s">
        <v>110</v>
      </c>
      <c r="J146" s="5">
        <v>45026</v>
      </c>
      <c r="K146" s="5">
        <v>45063</v>
      </c>
      <c r="L146">
        <v>78</v>
      </c>
      <c r="M146" s="2">
        <v>41</v>
      </c>
      <c r="N146" s="2">
        <v>29.48</v>
      </c>
      <c r="O146" s="2">
        <v>31.04</v>
      </c>
      <c r="P146" s="2">
        <v>29.37</v>
      </c>
      <c r="Q146" s="2">
        <v>29.55</v>
      </c>
      <c r="R146" s="2">
        <v>26.8</v>
      </c>
      <c r="S146" s="2">
        <v>27.4</v>
      </c>
      <c r="T146" s="3">
        <f t="shared" si="8"/>
        <v>-2.15</v>
      </c>
      <c r="U146" s="4">
        <f t="shared" si="9"/>
        <v>-0.0727580372250424</v>
      </c>
      <c r="V146" s="2">
        <v>25.69</v>
      </c>
      <c r="W146" s="2">
        <v>24.92</v>
      </c>
      <c r="X146" s="3">
        <f t="shared" si="10"/>
        <v>-1.11</v>
      </c>
      <c r="Y146" s="4">
        <f t="shared" si="11"/>
        <v>-0.0445425361155698</v>
      </c>
      <c r="Z146" s="2">
        <v>27.96</v>
      </c>
      <c r="AA146" s="2">
        <v>28.06</v>
      </c>
    </row>
    <row r="147" spans="1:27">
      <c r="A147">
        <v>123201</v>
      </c>
      <c r="B147" t="s">
        <v>324</v>
      </c>
      <c r="C147" s="5">
        <v>45104</v>
      </c>
      <c r="D147">
        <v>371229</v>
      </c>
      <c r="E147">
        <v>301229</v>
      </c>
      <c r="F147" t="s">
        <v>325</v>
      </c>
      <c r="G147">
        <v>0.0008561319</v>
      </c>
      <c r="H147" s="5">
        <v>45125</v>
      </c>
      <c r="I147" t="s">
        <v>110</v>
      </c>
      <c r="J147" s="5">
        <v>45044</v>
      </c>
      <c r="K147" s="5">
        <v>45079</v>
      </c>
      <c r="L147">
        <v>60</v>
      </c>
      <c r="M147" s="2">
        <v>25</v>
      </c>
      <c r="N147" s="2">
        <v>26.35</v>
      </c>
      <c r="O147" s="2">
        <v>26.54</v>
      </c>
      <c r="P147" s="2">
        <v>27.67</v>
      </c>
      <c r="Q147" s="2">
        <v>28.4</v>
      </c>
      <c r="R147" s="2">
        <v>29.81</v>
      </c>
      <c r="S147" s="2">
        <v>29.81</v>
      </c>
      <c r="T147" s="3">
        <f t="shared" si="8"/>
        <v>1.41</v>
      </c>
      <c r="U147" s="4">
        <f t="shared" si="9"/>
        <v>0.0496478873239437</v>
      </c>
      <c r="V147" s="2">
        <v>28</v>
      </c>
      <c r="W147" s="2">
        <v>28.6</v>
      </c>
      <c r="X147" s="3">
        <f t="shared" si="10"/>
        <v>-1.81</v>
      </c>
      <c r="Y147" s="4">
        <f t="shared" si="11"/>
        <v>-0.0632867132867132</v>
      </c>
      <c r="Z147" s="2">
        <v>34.48</v>
      </c>
      <c r="AA147" s="2">
        <v>35.6</v>
      </c>
    </row>
    <row r="148" spans="1:27">
      <c r="A148">
        <v>111014</v>
      </c>
      <c r="B148" t="s">
        <v>326</v>
      </c>
      <c r="C148" s="5">
        <v>45097</v>
      </c>
      <c r="D148">
        <v>713337</v>
      </c>
      <c r="E148">
        <v>605337</v>
      </c>
      <c r="F148" t="s">
        <v>327</v>
      </c>
      <c r="G148">
        <v>0.00084926</v>
      </c>
      <c r="H148" s="5">
        <v>45120</v>
      </c>
      <c r="I148" t="s">
        <v>29</v>
      </c>
      <c r="J148" s="5">
        <v>45041</v>
      </c>
      <c r="K148" s="5">
        <v>45080</v>
      </c>
      <c r="L148">
        <v>56</v>
      </c>
      <c r="M148" s="2">
        <v>17</v>
      </c>
      <c r="N148" s="2">
        <v>22.8</v>
      </c>
      <c r="O148" s="2">
        <v>22.74</v>
      </c>
      <c r="P148" s="2">
        <v>18.25</v>
      </c>
      <c r="Q148" s="2">
        <v>17.99</v>
      </c>
      <c r="R148" s="2">
        <v>19.65</v>
      </c>
      <c r="S148" s="2">
        <v>19.17</v>
      </c>
      <c r="T148" s="3">
        <f t="shared" si="8"/>
        <v>1.18</v>
      </c>
      <c r="U148" s="4">
        <f t="shared" si="9"/>
        <v>0.0655919955530852</v>
      </c>
      <c r="V148" s="2">
        <v>18.57</v>
      </c>
      <c r="W148" s="2">
        <v>18.4</v>
      </c>
      <c r="X148" s="3">
        <f t="shared" si="10"/>
        <v>-1.08</v>
      </c>
      <c r="Y148" s="4">
        <f t="shared" si="11"/>
        <v>-0.058695652173913</v>
      </c>
      <c r="Z148" s="2">
        <v>18.02</v>
      </c>
      <c r="AA148" s="2">
        <v>18.37</v>
      </c>
    </row>
    <row r="149" spans="1:27">
      <c r="A149">
        <v>123199</v>
      </c>
      <c r="B149" t="s">
        <v>328</v>
      </c>
      <c r="C149" s="5">
        <v>45089</v>
      </c>
      <c r="D149">
        <v>370452</v>
      </c>
      <c r="E149">
        <v>300452</v>
      </c>
      <c r="F149" t="s">
        <v>329</v>
      </c>
      <c r="G149">
        <v>0.0009127967</v>
      </c>
      <c r="H149" s="5">
        <v>45114</v>
      </c>
      <c r="I149" t="s">
        <v>39</v>
      </c>
      <c r="J149" s="5">
        <v>44917</v>
      </c>
      <c r="K149" s="5">
        <v>44970</v>
      </c>
      <c r="L149">
        <v>172</v>
      </c>
      <c r="M149" s="2">
        <v>119</v>
      </c>
      <c r="N149" s="2">
        <v>16.6</v>
      </c>
      <c r="O149" s="2">
        <v>15.76</v>
      </c>
      <c r="P149" s="2">
        <v>17.58</v>
      </c>
      <c r="Q149" s="2">
        <v>17.73</v>
      </c>
      <c r="R149" s="2">
        <v>18.13</v>
      </c>
      <c r="S149" s="2">
        <v>18.26</v>
      </c>
      <c r="T149" s="3">
        <f t="shared" si="8"/>
        <v>0.530000000000001</v>
      </c>
      <c r="U149" s="4">
        <f t="shared" si="9"/>
        <v>0.029892836999436</v>
      </c>
      <c r="V149" s="2">
        <v>17.87</v>
      </c>
      <c r="W149" s="2">
        <v>17.91</v>
      </c>
      <c r="X149" s="3">
        <f t="shared" si="10"/>
        <v>-0.259999999999998</v>
      </c>
      <c r="Y149" s="4">
        <f t="shared" si="11"/>
        <v>-0.0145170295924064</v>
      </c>
      <c r="Z149" s="2">
        <v>15.96</v>
      </c>
      <c r="AA149" s="2">
        <v>15.85</v>
      </c>
    </row>
    <row r="150" spans="1:27">
      <c r="A150">
        <v>118035</v>
      </c>
      <c r="B150" t="s">
        <v>330</v>
      </c>
      <c r="C150" s="5">
        <v>45089</v>
      </c>
      <c r="D150">
        <v>718103</v>
      </c>
      <c r="E150">
        <v>688103</v>
      </c>
      <c r="F150" t="s">
        <v>331</v>
      </c>
      <c r="G150">
        <v>0.00113483</v>
      </c>
      <c r="H150" s="5">
        <v>45113</v>
      </c>
      <c r="I150" t="s">
        <v>39</v>
      </c>
      <c r="J150" s="5">
        <v>45007</v>
      </c>
      <c r="K150" s="5">
        <v>45065</v>
      </c>
      <c r="L150">
        <v>82</v>
      </c>
      <c r="M150" s="2">
        <v>24</v>
      </c>
      <c r="N150" s="2">
        <v>61.4</v>
      </c>
      <c r="O150" s="2">
        <v>62.22</v>
      </c>
      <c r="P150" s="2">
        <v>59.31</v>
      </c>
      <c r="Q150" s="2">
        <v>59.57</v>
      </c>
      <c r="R150" s="2">
        <v>66.81</v>
      </c>
      <c r="S150" s="2">
        <v>64.27</v>
      </c>
      <c r="T150" s="3">
        <f t="shared" si="8"/>
        <v>4.7</v>
      </c>
      <c r="U150" s="4">
        <f t="shared" si="9"/>
        <v>0.0788987745509484</v>
      </c>
      <c r="V150" s="2">
        <v>63.31</v>
      </c>
      <c r="W150" s="2">
        <v>63.23</v>
      </c>
      <c r="X150" s="3">
        <f t="shared" si="10"/>
        <v>-3.5</v>
      </c>
      <c r="Y150" s="4">
        <f t="shared" si="11"/>
        <v>-0.055353471453424</v>
      </c>
      <c r="Z150" s="2">
        <v>57.17</v>
      </c>
      <c r="AA150" s="2">
        <v>57.1</v>
      </c>
    </row>
    <row r="151" spans="1:27">
      <c r="A151">
        <v>127086</v>
      </c>
      <c r="B151" t="s">
        <v>332</v>
      </c>
      <c r="C151" s="5">
        <v>45089</v>
      </c>
      <c r="D151">
        <v>72237</v>
      </c>
      <c r="E151">
        <v>2237</v>
      </c>
      <c r="F151" t="s">
        <v>333</v>
      </c>
      <c r="G151">
        <v>0.0115630125</v>
      </c>
      <c r="H151" s="5">
        <v>45114</v>
      </c>
      <c r="I151" t="s">
        <v>47</v>
      </c>
      <c r="J151" s="5">
        <v>45031</v>
      </c>
      <c r="K151" s="5">
        <v>45072</v>
      </c>
      <c r="L151">
        <v>58</v>
      </c>
      <c r="M151" s="2">
        <v>17</v>
      </c>
      <c r="N151" s="2">
        <v>12.81</v>
      </c>
      <c r="O151" s="2">
        <v>13.07</v>
      </c>
      <c r="P151" s="2">
        <v>11.07</v>
      </c>
      <c r="Q151" s="2">
        <v>11.2</v>
      </c>
      <c r="R151" s="2">
        <v>11.49</v>
      </c>
      <c r="S151" s="2">
        <v>11.51</v>
      </c>
      <c r="T151" s="3">
        <f t="shared" si="8"/>
        <v>0.31</v>
      </c>
      <c r="U151" s="4">
        <f t="shared" si="9"/>
        <v>0.0276785714285715</v>
      </c>
      <c r="V151" s="2">
        <v>11.09</v>
      </c>
      <c r="W151" s="2">
        <v>10.92</v>
      </c>
      <c r="X151" s="3">
        <f t="shared" si="10"/>
        <v>-0.4</v>
      </c>
      <c r="Y151" s="4">
        <f t="shared" si="11"/>
        <v>-0.0366300366300367</v>
      </c>
      <c r="Z151" s="2">
        <v>10.83</v>
      </c>
      <c r="AA151" s="2">
        <v>11.02</v>
      </c>
    </row>
    <row r="152" spans="1:27">
      <c r="A152">
        <v>123198</v>
      </c>
      <c r="B152" t="s">
        <v>334</v>
      </c>
      <c r="C152" s="5">
        <v>45085</v>
      </c>
      <c r="D152">
        <v>371098</v>
      </c>
      <c r="E152">
        <v>301098</v>
      </c>
      <c r="F152" t="s">
        <v>335</v>
      </c>
      <c r="G152">
        <v>0.0020882571</v>
      </c>
      <c r="H152" s="5">
        <v>45114</v>
      </c>
      <c r="I152" t="s">
        <v>110</v>
      </c>
      <c r="J152" s="5">
        <v>44987</v>
      </c>
      <c r="K152" s="5">
        <v>45027</v>
      </c>
      <c r="L152">
        <v>98</v>
      </c>
      <c r="M152" s="2">
        <v>58</v>
      </c>
      <c r="N152" s="2">
        <v>17.66</v>
      </c>
      <c r="O152" s="2">
        <v>17.67</v>
      </c>
      <c r="P152" s="2">
        <v>16.77</v>
      </c>
      <c r="Q152" s="2">
        <v>16.88</v>
      </c>
      <c r="R152" s="2">
        <v>12.52</v>
      </c>
      <c r="S152" s="2">
        <v>12.45</v>
      </c>
      <c r="T152" s="3">
        <f t="shared" si="8"/>
        <v>-4.43</v>
      </c>
      <c r="U152" s="4">
        <f t="shared" si="9"/>
        <v>-0.262440758293839</v>
      </c>
      <c r="V152" s="2">
        <v>11.66</v>
      </c>
      <c r="W152" s="2">
        <v>12.08</v>
      </c>
      <c r="X152" s="3">
        <f t="shared" si="10"/>
        <v>-0.859999999999999</v>
      </c>
      <c r="Y152" s="4">
        <f t="shared" si="11"/>
        <v>-0.0711920529801324</v>
      </c>
      <c r="Z152" s="2">
        <v>12.11</v>
      </c>
      <c r="AA152" s="2">
        <v>12.05</v>
      </c>
    </row>
    <row r="153" spans="1:27">
      <c r="A153">
        <v>123197</v>
      </c>
      <c r="B153" t="s">
        <v>336</v>
      </c>
      <c r="C153" s="5">
        <v>45054</v>
      </c>
      <c r="D153">
        <v>370480</v>
      </c>
      <c r="E153">
        <v>300480</v>
      </c>
      <c r="F153" t="s">
        <v>337</v>
      </c>
      <c r="G153">
        <v>0.0005682849</v>
      </c>
      <c r="H153" s="5">
        <v>45075</v>
      </c>
      <c r="I153" t="s">
        <v>39</v>
      </c>
      <c r="J153" s="5">
        <v>44807</v>
      </c>
      <c r="K153" s="5">
        <v>44880</v>
      </c>
      <c r="L153">
        <v>247</v>
      </c>
      <c r="M153" s="2">
        <v>174</v>
      </c>
      <c r="N153" s="2">
        <v>16.89</v>
      </c>
      <c r="O153" s="2">
        <v>16.55</v>
      </c>
      <c r="P153" s="2">
        <v>15.62</v>
      </c>
      <c r="Q153" s="2">
        <v>16.64</v>
      </c>
      <c r="R153" s="2">
        <v>22.01</v>
      </c>
      <c r="S153" s="2">
        <v>21.17</v>
      </c>
      <c r="T153" s="3">
        <f t="shared" si="8"/>
        <v>4.53</v>
      </c>
      <c r="U153" s="4">
        <f t="shared" si="9"/>
        <v>0.272235576923077</v>
      </c>
      <c r="V153" s="2">
        <v>20.61</v>
      </c>
      <c r="W153" s="2">
        <v>21.16</v>
      </c>
      <c r="X153" s="3">
        <f t="shared" si="10"/>
        <v>-1.4</v>
      </c>
      <c r="Y153" s="4">
        <f t="shared" si="11"/>
        <v>-0.0661625708884689</v>
      </c>
      <c r="Z153" s="2">
        <v>22.4</v>
      </c>
      <c r="AA153" s="2">
        <v>22.54</v>
      </c>
    </row>
    <row r="154" spans="1:27">
      <c r="A154">
        <v>118034</v>
      </c>
      <c r="B154" t="s">
        <v>338</v>
      </c>
      <c r="C154" s="5">
        <v>45036</v>
      </c>
      <c r="D154">
        <v>718223</v>
      </c>
      <c r="E154">
        <v>688223</v>
      </c>
      <c r="F154" t="s">
        <v>339</v>
      </c>
      <c r="G154">
        <v>0.01087005</v>
      </c>
      <c r="H154" s="5">
        <v>45065</v>
      </c>
      <c r="I154" t="s">
        <v>47</v>
      </c>
      <c r="J154" s="5">
        <v>44971</v>
      </c>
      <c r="K154" s="5">
        <v>45020</v>
      </c>
      <c r="L154">
        <v>65</v>
      </c>
      <c r="M154" s="2">
        <v>16</v>
      </c>
      <c r="N154" s="2">
        <v>14.61</v>
      </c>
      <c r="O154" s="2">
        <v>14.49</v>
      </c>
      <c r="P154" s="2">
        <v>14.17</v>
      </c>
      <c r="Q154" s="2">
        <v>13.63</v>
      </c>
      <c r="R154" s="2">
        <v>13.56</v>
      </c>
      <c r="S154" s="2">
        <v>13.33</v>
      </c>
      <c r="T154" s="3">
        <f t="shared" si="8"/>
        <v>-0.300000000000001</v>
      </c>
      <c r="U154" s="4">
        <f t="shared" si="9"/>
        <v>-0.0220102714600147</v>
      </c>
      <c r="V154" s="2">
        <v>13.1</v>
      </c>
      <c r="W154" s="2">
        <v>12.63</v>
      </c>
      <c r="X154" s="3">
        <f t="shared" si="10"/>
        <v>-0.460000000000001</v>
      </c>
      <c r="Y154" s="4">
        <f t="shared" si="11"/>
        <v>-0.0364212193190816</v>
      </c>
      <c r="Z154" s="2">
        <v>12.2</v>
      </c>
      <c r="AA154" s="2">
        <v>12.31</v>
      </c>
    </row>
    <row r="155" spans="1:27">
      <c r="A155">
        <v>123196</v>
      </c>
      <c r="B155" t="s">
        <v>340</v>
      </c>
      <c r="C155" s="5">
        <v>45034</v>
      </c>
      <c r="D155">
        <v>370645</v>
      </c>
      <c r="E155">
        <v>300645</v>
      </c>
      <c r="F155" t="s">
        <v>341</v>
      </c>
      <c r="G155">
        <v>0.0006970395</v>
      </c>
      <c r="H155" s="5">
        <v>45065</v>
      </c>
      <c r="I155" t="s">
        <v>39</v>
      </c>
      <c r="J155" s="5">
        <v>44881</v>
      </c>
      <c r="K155" s="5">
        <v>45005</v>
      </c>
      <c r="L155">
        <v>153</v>
      </c>
      <c r="M155" s="2">
        <v>29</v>
      </c>
      <c r="N155" s="2">
        <v>27.5</v>
      </c>
      <c r="O155" s="2">
        <v>28.15</v>
      </c>
      <c r="P155" s="2">
        <v>29.01</v>
      </c>
      <c r="Q155" s="2">
        <v>28.84</v>
      </c>
      <c r="R155" s="2">
        <v>31.61</v>
      </c>
      <c r="S155" s="2">
        <v>31.39</v>
      </c>
      <c r="T155" s="3">
        <f t="shared" si="8"/>
        <v>2.55</v>
      </c>
      <c r="U155" s="4">
        <f t="shared" si="9"/>
        <v>0.0884188626907074</v>
      </c>
      <c r="V155" s="2">
        <v>29.78</v>
      </c>
      <c r="W155" s="2">
        <v>29.88</v>
      </c>
      <c r="X155" s="3">
        <f t="shared" si="10"/>
        <v>-1.83</v>
      </c>
      <c r="Y155" s="4">
        <f t="shared" si="11"/>
        <v>-0.0612449799196787</v>
      </c>
      <c r="Z155" s="2">
        <v>28.15</v>
      </c>
      <c r="AA155" s="2">
        <v>28</v>
      </c>
    </row>
    <row r="156" spans="1:27">
      <c r="A156">
        <v>123195</v>
      </c>
      <c r="B156" t="s">
        <v>342</v>
      </c>
      <c r="C156" s="5">
        <v>45033</v>
      </c>
      <c r="D156">
        <v>370487</v>
      </c>
      <c r="E156">
        <v>300487</v>
      </c>
      <c r="F156" t="s">
        <v>343</v>
      </c>
      <c r="G156">
        <v>0.0008360413</v>
      </c>
      <c r="H156" s="5">
        <v>45054</v>
      </c>
      <c r="I156" t="s">
        <v>39</v>
      </c>
      <c r="J156" s="5">
        <v>44988</v>
      </c>
      <c r="K156" s="5">
        <v>45013</v>
      </c>
      <c r="L156">
        <v>45</v>
      </c>
      <c r="M156" s="2">
        <v>20</v>
      </c>
      <c r="N156" s="2">
        <v>98.67</v>
      </c>
      <c r="O156" s="2">
        <v>98.75</v>
      </c>
      <c r="P156" s="2">
        <v>92.8</v>
      </c>
      <c r="Q156" s="2">
        <v>90.99</v>
      </c>
      <c r="R156" s="2">
        <v>90.01</v>
      </c>
      <c r="S156" s="2">
        <v>91.71</v>
      </c>
      <c r="T156" s="3">
        <f t="shared" si="8"/>
        <v>0.719999999999999</v>
      </c>
      <c r="U156" s="4">
        <f t="shared" si="9"/>
        <v>0.0079129574678536</v>
      </c>
      <c r="V156" s="2">
        <v>91.71</v>
      </c>
      <c r="W156" s="2">
        <v>90.64</v>
      </c>
      <c r="X156" s="3">
        <f t="shared" si="10"/>
        <v>1.69999999999999</v>
      </c>
      <c r="Y156" s="4">
        <f t="shared" si="11"/>
        <v>0.0187555163283317</v>
      </c>
      <c r="Z156" s="2">
        <v>87.66</v>
      </c>
      <c r="AA156" s="2">
        <v>89.33</v>
      </c>
    </row>
    <row r="157" spans="1:27">
      <c r="A157">
        <v>123194</v>
      </c>
      <c r="B157" t="s">
        <v>344</v>
      </c>
      <c r="C157" s="5">
        <v>45030</v>
      </c>
      <c r="D157">
        <v>371015</v>
      </c>
      <c r="E157">
        <v>301015</v>
      </c>
      <c r="F157" t="s">
        <v>345</v>
      </c>
      <c r="G157">
        <v>0.0010600487</v>
      </c>
      <c r="H157" s="5">
        <v>45051</v>
      </c>
      <c r="I157" t="s">
        <v>44</v>
      </c>
      <c r="J157" s="5">
        <v>44971</v>
      </c>
      <c r="K157" s="5">
        <v>45013</v>
      </c>
      <c r="L157">
        <v>59</v>
      </c>
      <c r="M157" s="2">
        <v>17</v>
      </c>
      <c r="N157" s="2">
        <v>27.73</v>
      </c>
      <c r="O157" s="2">
        <v>27.81</v>
      </c>
      <c r="P157" s="2">
        <v>26.07</v>
      </c>
      <c r="Q157" s="2">
        <v>26.56</v>
      </c>
      <c r="R157" s="2">
        <v>28.55</v>
      </c>
      <c r="S157" s="2">
        <v>28.96</v>
      </c>
      <c r="T157" s="3">
        <f t="shared" si="8"/>
        <v>2.4</v>
      </c>
      <c r="U157" s="4">
        <f t="shared" si="9"/>
        <v>0.0903614457831326</v>
      </c>
      <c r="V157" s="2">
        <v>28.1</v>
      </c>
      <c r="W157" s="2">
        <v>28.44</v>
      </c>
      <c r="X157" s="3">
        <f t="shared" si="10"/>
        <v>-0.449999999999999</v>
      </c>
      <c r="Y157" s="4">
        <f t="shared" si="11"/>
        <v>-0.0158227848101266</v>
      </c>
      <c r="Z157" s="2">
        <v>28.88</v>
      </c>
      <c r="AA157" s="2">
        <v>27.91</v>
      </c>
    </row>
    <row r="158" spans="1:27">
      <c r="A158">
        <v>123193</v>
      </c>
      <c r="B158" t="s">
        <v>346</v>
      </c>
      <c r="C158" s="5">
        <v>45029</v>
      </c>
      <c r="D158">
        <v>370787</v>
      </c>
      <c r="E158">
        <v>300787</v>
      </c>
      <c r="F158" t="s">
        <v>347</v>
      </c>
      <c r="G158">
        <v>0.0012747352</v>
      </c>
      <c r="H158" s="5">
        <v>45055</v>
      </c>
      <c r="I158" t="s">
        <v>44</v>
      </c>
      <c r="J158" s="5">
        <v>44890</v>
      </c>
      <c r="K158" s="5">
        <v>44970</v>
      </c>
      <c r="L158">
        <v>139</v>
      </c>
      <c r="M158" s="2">
        <v>59</v>
      </c>
      <c r="N158" s="2">
        <v>30.75</v>
      </c>
      <c r="O158" s="2">
        <v>29.83</v>
      </c>
      <c r="P158" s="2">
        <v>31.3</v>
      </c>
      <c r="Q158" s="2">
        <v>32.03</v>
      </c>
      <c r="R158" s="2">
        <v>34.2</v>
      </c>
      <c r="S158" s="2">
        <v>35.1</v>
      </c>
      <c r="T158" s="3">
        <f t="shared" si="8"/>
        <v>3.07</v>
      </c>
      <c r="U158" s="4">
        <f t="shared" si="9"/>
        <v>0.0958476428348423</v>
      </c>
      <c r="V158" s="2">
        <v>33.98</v>
      </c>
      <c r="W158" s="2">
        <v>32.84</v>
      </c>
      <c r="X158" s="3">
        <f t="shared" si="10"/>
        <v>-0.220000000000006</v>
      </c>
      <c r="Y158" s="4">
        <f t="shared" si="11"/>
        <v>-0.00669914738124257</v>
      </c>
      <c r="Z158" s="2">
        <v>26.54</v>
      </c>
      <c r="AA158" s="2">
        <v>27.33</v>
      </c>
    </row>
    <row r="159" spans="1:27">
      <c r="A159">
        <v>123192</v>
      </c>
      <c r="B159" t="s">
        <v>348</v>
      </c>
      <c r="C159" s="5">
        <v>45029</v>
      </c>
      <c r="D159">
        <v>370856</v>
      </c>
      <c r="E159">
        <v>300856</v>
      </c>
      <c r="F159" t="s">
        <v>349</v>
      </c>
      <c r="G159">
        <v>0.0010951456</v>
      </c>
      <c r="H159" s="5">
        <v>45057</v>
      </c>
      <c r="I159" t="s">
        <v>44</v>
      </c>
      <c r="J159" s="5">
        <v>44981</v>
      </c>
      <c r="K159" s="5">
        <v>45020</v>
      </c>
      <c r="L159">
        <v>48</v>
      </c>
      <c r="M159" s="2">
        <v>9</v>
      </c>
      <c r="N159" s="2">
        <v>58.99</v>
      </c>
      <c r="O159" s="2">
        <v>57.61</v>
      </c>
      <c r="P159" s="2">
        <v>53.69</v>
      </c>
      <c r="Q159" s="2">
        <v>53.3</v>
      </c>
      <c r="R159" s="2">
        <v>54.97</v>
      </c>
      <c r="S159" s="2">
        <v>53.32</v>
      </c>
      <c r="T159" s="3">
        <f t="shared" si="8"/>
        <v>0.0200000000000031</v>
      </c>
      <c r="U159" s="4">
        <f t="shared" si="9"/>
        <v>0.000375234521576044</v>
      </c>
      <c r="V159" s="2">
        <v>52.02</v>
      </c>
      <c r="W159" s="2">
        <v>53.65</v>
      </c>
      <c r="X159" s="3">
        <f t="shared" si="10"/>
        <v>-2.95</v>
      </c>
      <c r="Y159" s="4">
        <f t="shared" si="11"/>
        <v>-0.0549860205032618</v>
      </c>
      <c r="Z159" s="2">
        <v>67.15</v>
      </c>
      <c r="AA159" s="2">
        <v>66.89</v>
      </c>
    </row>
    <row r="160" spans="1:27">
      <c r="A160">
        <v>123191</v>
      </c>
      <c r="B160" t="s">
        <v>350</v>
      </c>
      <c r="C160" s="5">
        <v>45026</v>
      </c>
      <c r="D160">
        <v>370918</v>
      </c>
      <c r="E160">
        <v>300918</v>
      </c>
      <c r="F160" t="s">
        <v>351</v>
      </c>
      <c r="G160">
        <v>0.0006109102</v>
      </c>
      <c r="H160" s="5">
        <v>45044</v>
      </c>
      <c r="I160" t="s">
        <v>44</v>
      </c>
      <c r="J160" s="5">
        <v>44938</v>
      </c>
      <c r="K160" s="5">
        <v>44970</v>
      </c>
      <c r="L160">
        <v>88</v>
      </c>
      <c r="M160" s="2">
        <v>56</v>
      </c>
      <c r="N160" s="2">
        <v>10</v>
      </c>
      <c r="O160" s="2">
        <v>10.15</v>
      </c>
      <c r="P160" s="2">
        <v>10.8</v>
      </c>
      <c r="Q160" s="2">
        <v>10.98</v>
      </c>
      <c r="R160" s="2">
        <v>12.74</v>
      </c>
      <c r="S160" s="2">
        <v>12.7</v>
      </c>
      <c r="T160" s="3">
        <f t="shared" si="8"/>
        <v>1.72</v>
      </c>
      <c r="U160" s="4">
        <f t="shared" si="9"/>
        <v>0.156648451730419</v>
      </c>
      <c r="V160" s="2">
        <v>12.01</v>
      </c>
      <c r="W160" s="2">
        <v>11.48</v>
      </c>
      <c r="X160" s="3">
        <f t="shared" si="10"/>
        <v>-0.73</v>
      </c>
      <c r="Y160" s="4">
        <f t="shared" si="11"/>
        <v>-0.0635888501742161</v>
      </c>
      <c r="Z160" s="2">
        <v>11.38</v>
      </c>
      <c r="AA160" s="2">
        <v>11.74</v>
      </c>
    </row>
    <row r="161" spans="1:27">
      <c r="A161">
        <v>123190</v>
      </c>
      <c r="B161" t="s">
        <v>352</v>
      </c>
      <c r="C161" s="5">
        <v>45023</v>
      </c>
      <c r="D161">
        <v>370409</v>
      </c>
      <c r="E161">
        <v>300409</v>
      </c>
      <c r="F161" t="s">
        <v>353</v>
      </c>
      <c r="G161">
        <v>0.0072192519</v>
      </c>
      <c r="H161" s="5">
        <v>45041</v>
      </c>
      <c r="I161" t="s">
        <v>44</v>
      </c>
      <c r="J161" s="5">
        <v>44911</v>
      </c>
      <c r="K161" s="5">
        <v>44970</v>
      </c>
      <c r="L161">
        <v>112</v>
      </c>
      <c r="M161" s="2">
        <v>53</v>
      </c>
      <c r="N161" s="2">
        <v>16.63</v>
      </c>
      <c r="O161" s="2">
        <v>16.47</v>
      </c>
      <c r="P161" s="2">
        <v>17.17</v>
      </c>
      <c r="Q161" s="2">
        <v>17</v>
      </c>
      <c r="R161" s="2">
        <v>15.66</v>
      </c>
      <c r="S161" s="2">
        <v>15.5</v>
      </c>
      <c r="T161" s="3">
        <f t="shared" si="8"/>
        <v>-1.5</v>
      </c>
      <c r="U161" s="4">
        <f t="shared" si="9"/>
        <v>-0.0882352941176471</v>
      </c>
      <c r="V161" s="2">
        <v>14.58</v>
      </c>
      <c r="W161" s="2">
        <v>14.84</v>
      </c>
      <c r="X161" s="3">
        <f t="shared" si="10"/>
        <v>-1.08</v>
      </c>
      <c r="Y161" s="4">
        <f t="shared" si="11"/>
        <v>-0.0727762803234501</v>
      </c>
      <c r="Z161" s="2">
        <v>13.41</v>
      </c>
      <c r="AA161" s="2">
        <v>12.9</v>
      </c>
    </row>
    <row r="162" spans="1:27">
      <c r="A162">
        <v>123189</v>
      </c>
      <c r="B162" t="s">
        <v>354</v>
      </c>
      <c r="C162" s="5">
        <v>45022</v>
      </c>
      <c r="D162">
        <v>370967</v>
      </c>
      <c r="E162">
        <v>300967</v>
      </c>
      <c r="F162" t="s">
        <v>355</v>
      </c>
      <c r="G162">
        <v>0.0007801534</v>
      </c>
      <c r="H162" s="5">
        <v>45041</v>
      </c>
      <c r="I162" t="s">
        <v>110</v>
      </c>
      <c r="J162" s="5">
        <v>44812</v>
      </c>
      <c r="K162" s="5">
        <v>44973</v>
      </c>
      <c r="L162">
        <v>210</v>
      </c>
      <c r="M162" s="2">
        <v>49</v>
      </c>
      <c r="N162" s="2">
        <v>17.4</v>
      </c>
      <c r="O162" s="2">
        <v>17.16</v>
      </c>
      <c r="P162" s="2">
        <v>17.36</v>
      </c>
      <c r="Q162" s="2">
        <v>16.8</v>
      </c>
      <c r="R162" s="2">
        <v>19.28</v>
      </c>
      <c r="S162" s="2">
        <v>19.47</v>
      </c>
      <c r="T162" s="3">
        <f t="shared" si="8"/>
        <v>2.67</v>
      </c>
      <c r="U162" s="4">
        <f t="shared" si="9"/>
        <v>0.158928571428571</v>
      </c>
      <c r="V162" s="2">
        <v>18.75</v>
      </c>
      <c r="W162" s="2">
        <v>19.81</v>
      </c>
      <c r="X162" s="3">
        <f t="shared" si="10"/>
        <v>-0.530000000000001</v>
      </c>
      <c r="Y162" s="4">
        <f t="shared" si="11"/>
        <v>-0.0267541645633519</v>
      </c>
      <c r="Z162" s="2">
        <v>16.58</v>
      </c>
      <c r="AA162" s="2">
        <v>17.02</v>
      </c>
    </row>
    <row r="163" spans="1:27">
      <c r="A163">
        <v>123187</v>
      </c>
      <c r="B163" t="s">
        <v>356</v>
      </c>
      <c r="C163" s="5">
        <v>45020</v>
      </c>
      <c r="D163">
        <v>371186</v>
      </c>
      <c r="E163">
        <v>301186</v>
      </c>
      <c r="F163" t="s">
        <v>357</v>
      </c>
      <c r="G163">
        <v>0.0004562974</v>
      </c>
      <c r="H163" s="5">
        <v>45041</v>
      </c>
      <c r="I163" t="s">
        <v>110</v>
      </c>
      <c r="J163" s="5">
        <v>44981</v>
      </c>
      <c r="K163" s="5">
        <v>45005</v>
      </c>
      <c r="L163">
        <v>39</v>
      </c>
      <c r="M163" s="2">
        <v>15</v>
      </c>
      <c r="N163" s="2">
        <v>33.99</v>
      </c>
      <c r="O163" s="2">
        <v>34.36</v>
      </c>
      <c r="P163" s="2">
        <v>30.73</v>
      </c>
      <c r="Q163" s="2">
        <v>30.94</v>
      </c>
      <c r="R163" s="2">
        <v>34.69</v>
      </c>
      <c r="S163" s="2">
        <v>35.31</v>
      </c>
      <c r="T163" s="3">
        <f t="shared" si="8"/>
        <v>4.37</v>
      </c>
      <c r="U163" s="4">
        <f t="shared" si="9"/>
        <v>0.141241111829347</v>
      </c>
      <c r="V163" s="2">
        <v>33.15</v>
      </c>
      <c r="W163" s="2">
        <v>31.6</v>
      </c>
      <c r="X163" s="3">
        <f t="shared" si="10"/>
        <v>-1.54</v>
      </c>
      <c r="Y163" s="4">
        <f t="shared" si="11"/>
        <v>-0.0487341772151898</v>
      </c>
      <c r="Z163" s="2">
        <v>27.98</v>
      </c>
      <c r="AA163" s="2">
        <v>27.3</v>
      </c>
    </row>
    <row r="164" spans="1:27">
      <c r="A164">
        <v>123188</v>
      </c>
      <c r="B164" t="s">
        <v>358</v>
      </c>
      <c r="C164" s="5">
        <v>45020</v>
      </c>
      <c r="D164">
        <v>370740</v>
      </c>
      <c r="E164">
        <v>300740</v>
      </c>
      <c r="F164" t="s">
        <v>359</v>
      </c>
      <c r="G164">
        <v>0.0011610488</v>
      </c>
      <c r="H164" s="5">
        <v>45041</v>
      </c>
      <c r="I164" t="s">
        <v>39</v>
      </c>
      <c r="J164" s="5">
        <v>44918</v>
      </c>
      <c r="K164" s="5">
        <v>44974</v>
      </c>
      <c r="L164">
        <v>102</v>
      </c>
      <c r="M164" s="2">
        <v>46</v>
      </c>
      <c r="N164" s="2">
        <v>14.49</v>
      </c>
      <c r="O164" s="2">
        <v>14.07</v>
      </c>
      <c r="P164" s="2">
        <v>13.96</v>
      </c>
      <c r="Q164" s="2">
        <v>14.5</v>
      </c>
      <c r="R164" s="2">
        <v>14.04</v>
      </c>
      <c r="S164" s="2">
        <v>14.25</v>
      </c>
      <c r="T164" s="3">
        <f t="shared" si="8"/>
        <v>-0.25</v>
      </c>
      <c r="U164" s="4">
        <f t="shared" si="9"/>
        <v>-0.0172413793103448</v>
      </c>
      <c r="V164" s="2">
        <v>13.79</v>
      </c>
      <c r="W164" s="2">
        <v>13.73</v>
      </c>
      <c r="X164" s="3">
        <f t="shared" si="10"/>
        <v>-0.25</v>
      </c>
      <c r="Y164" s="4">
        <f t="shared" si="11"/>
        <v>-0.0182083029861617</v>
      </c>
      <c r="Z164" s="2">
        <v>14.01</v>
      </c>
      <c r="AA164" s="2">
        <v>13.6</v>
      </c>
    </row>
    <row r="165" spans="1:27">
      <c r="A165">
        <v>123185</v>
      </c>
      <c r="B165" t="s">
        <v>360</v>
      </c>
      <c r="C165" s="5">
        <v>45016</v>
      </c>
      <c r="D165">
        <v>371046</v>
      </c>
      <c r="E165">
        <v>301046</v>
      </c>
      <c r="F165" t="s">
        <v>361</v>
      </c>
      <c r="G165">
        <v>0.0018787062</v>
      </c>
      <c r="H165" s="5">
        <v>45036</v>
      </c>
      <c r="I165" t="s">
        <v>39</v>
      </c>
      <c r="J165" s="5">
        <v>44925</v>
      </c>
      <c r="K165" s="5">
        <v>44971</v>
      </c>
      <c r="L165">
        <v>91</v>
      </c>
      <c r="M165" s="2">
        <v>45</v>
      </c>
      <c r="N165" s="2">
        <v>33.94</v>
      </c>
      <c r="O165" s="2">
        <v>34.65</v>
      </c>
      <c r="P165" s="2">
        <v>43.9</v>
      </c>
      <c r="Q165" s="2">
        <v>45.08</v>
      </c>
      <c r="R165" s="2">
        <v>36.39</v>
      </c>
      <c r="S165" s="2">
        <v>36.25</v>
      </c>
      <c r="T165" s="3">
        <f t="shared" si="8"/>
        <v>-8.83</v>
      </c>
      <c r="U165" s="4">
        <f t="shared" si="9"/>
        <v>-0.195874001774623</v>
      </c>
      <c r="V165" s="2">
        <v>35.16</v>
      </c>
      <c r="W165" s="2">
        <v>34.91</v>
      </c>
      <c r="X165" s="3">
        <f t="shared" si="10"/>
        <v>-1.23</v>
      </c>
      <c r="Y165" s="4">
        <f t="shared" si="11"/>
        <v>-0.0352334574620454</v>
      </c>
      <c r="Z165" s="2">
        <v>32</v>
      </c>
      <c r="AA165" s="2">
        <v>31.57</v>
      </c>
    </row>
    <row r="166" spans="1:27">
      <c r="A166">
        <v>123186</v>
      </c>
      <c r="B166" t="s">
        <v>362</v>
      </c>
      <c r="C166" s="5">
        <v>45016</v>
      </c>
      <c r="D166">
        <v>370986</v>
      </c>
      <c r="E166">
        <v>300986</v>
      </c>
      <c r="F166" t="s">
        <v>363</v>
      </c>
      <c r="G166">
        <v>0.0009688248</v>
      </c>
      <c r="H166" s="5">
        <v>45037</v>
      </c>
      <c r="I166" t="s">
        <v>39</v>
      </c>
      <c r="J166" s="5">
        <v>44974</v>
      </c>
      <c r="K166" s="5">
        <v>45005</v>
      </c>
      <c r="L166">
        <v>42</v>
      </c>
      <c r="M166" s="2">
        <v>11</v>
      </c>
      <c r="N166" s="2">
        <v>40.09</v>
      </c>
      <c r="O166" s="2">
        <v>39.29</v>
      </c>
      <c r="P166" s="2">
        <v>40.57</v>
      </c>
      <c r="Q166" s="2">
        <v>40</v>
      </c>
      <c r="R166" s="2">
        <v>39.33</v>
      </c>
      <c r="S166" s="2">
        <v>40.03</v>
      </c>
      <c r="T166" s="3">
        <f t="shared" si="8"/>
        <v>0.0300000000000011</v>
      </c>
      <c r="U166" s="4">
        <f t="shared" si="9"/>
        <v>0.000750000000000028</v>
      </c>
      <c r="V166" s="2">
        <v>38.87</v>
      </c>
      <c r="W166" s="2">
        <v>39.28</v>
      </c>
      <c r="X166" s="3">
        <f t="shared" si="10"/>
        <v>-0.460000000000001</v>
      </c>
      <c r="Y166" s="4">
        <f t="shared" si="11"/>
        <v>-0.0117107942973524</v>
      </c>
      <c r="Z166" s="2">
        <v>35.07</v>
      </c>
      <c r="AA166" s="2">
        <v>34.53</v>
      </c>
    </row>
    <row r="167" spans="1:27">
      <c r="A167">
        <v>123183</v>
      </c>
      <c r="B167" t="s">
        <v>364</v>
      </c>
      <c r="C167" s="5">
        <v>45008</v>
      </c>
      <c r="D167">
        <v>370501</v>
      </c>
      <c r="E167">
        <v>300501</v>
      </c>
      <c r="F167" t="s">
        <v>365</v>
      </c>
      <c r="G167">
        <v>0.001257266</v>
      </c>
      <c r="H167" s="5">
        <v>45036</v>
      </c>
      <c r="I167" t="s">
        <v>44</v>
      </c>
      <c r="J167" s="5">
        <v>44869</v>
      </c>
      <c r="K167" s="5">
        <v>44958</v>
      </c>
      <c r="L167">
        <v>139</v>
      </c>
      <c r="M167" s="2">
        <v>50</v>
      </c>
      <c r="N167" s="2">
        <v>14.4</v>
      </c>
      <c r="O167" s="2">
        <v>14.62</v>
      </c>
      <c r="P167" s="2">
        <v>15.6</v>
      </c>
      <c r="Q167" s="2">
        <v>15.76</v>
      </c>
      <c r="R167" s="2">
        <v>17.65</v>
      </c>
      <c r="S167" s="2">
        <v>17.75</v>
      </c>
      <c r="T167" s="3">
        <f t="shared" si="8"/>
        <v>1.99</v>
      </c>
      <c r="U167" s="4">
        <f t="shared" si="9"/>
        <v>0.126269035532995</v>
      </c>
      <c r="V167" s="2">
        <v>16.98</v>
      </c>
      <c r="W167" s="2">
        <v>17.07</v>
      </c>
      <c r="X167" s="3">
        <f t="shared" si="10"/>
        <v>-0.669999999999998</v>
      </c>
      <c r="Y167" s="4">
        <f t="shared" si="11"/>
        <v>-0.0392501464557702</v>
      </c>
      <c r="Z167" s="2">
        <v>16</v>
      </c>
      <c r="AA167" s="2">
        <v>15.84</v>
      </c>
    </row>
    <row r="168" spans="1:27">
      <c r="A168">
        <v>123184</v>
      </c>
      <c r="B168" t="s">
        <v>366</v>
      </c>
      <c r="C168" s="5">
        <v>45008</v>
      </c>
      <c r="D168">
        <v>370872</v>
      </c>
      <c r="E168">
        <v>300872</v>
      </c>
      <c r="F168" t="s">
        <v>367</v>
      </c>
      <c r="G168">
        <v>0.0033529257</v>
      </c>
      <c r="H168" s="5">
        <v>45034</v>
      </c>
      <c r="I168" t="s">
        <v>44</v>
      </c>
      <c r="J168" s="5">
        <v>44881</v>
      </c>
      <c r="K168" s="5">
        <v>44945</v>
      </c>
      <c r="L168">
        <v>127</v>
      </c>
      <c r="M168" s="2">
        <v>63</v>
      </c>
      <c r="N168" s="2">
        <v>14.29</v>
      </c>
      <c r="O168" s="2">
        <v>14.35</v>
      </c>
      <c r="P168" s="2">
        <v>13.52</v>
      </c>
      <c r="Q168" s="2">
        <v>13.63</v>
      </c>
      <c r="R168" s="2">
        <v>14.79</v>
      </c>
      <c r="S168" s="2">
        <v>15.11</v>
      </c>
      <c r="T168" s="3">
        <f t="shared" si="8"/>
        <v>1.48</v>
      </c>
      <c r="U168" s="4">
        <f t="shared" si="9"/>
        <v>0.108584005869406</v>
      </c>
      <c r="V168" s="2">
        <v>14.78</v>
      </c>
      <c r="W168" s="2">
        <v>15.07</v>
      </c>
      <c r="X168" s="3">
        <f t="shared" si="10"/>
        <v>-0.00999999999999979</v>
      </c>
      <c r="Y168" s="4">
        <f t="shared" si="11"/>
        <v>-0.000663570006635686</v>
      </c>
      <c r="Z168" s="2">
        <v>15.76</v>
      </c>
      <c r="AA168" s="2">
        <v>15.35</v>
      </c>
    </row>
    <row r="169" spans="1:27">
      <c r="A169">
        <v>123182</v>
      </c>
      <c r="B169" t="s">
        <v>368</v>
      </c>
      <c r="C169" s="5">
        <v>45007</v>
      </c>
      <c r="D169">
        <v>370900</v>
      </c>
      <c r="E169">
        <v>300900</v>
      </c>
      <c r="F169" t="s">
        <v>369</v>
      </c>
      <c r="G169">
        <v>0.0018586896</v>
      </c>
      <c r="H169" s="5">
        <v>45033</v>
      </c>
      <c r="I169" t="s">
        <v>39</v>
      </c>
      <c r="J169" s="5">
        <v>44881</v>
      </c>
      <c r="K169" s="5">
        <v>44945</v>
      </c>
      <c r="L169">
        <v>126</v>
      </c>
      <c r="M169" s="2">
        <v>62</v>
      </c>
      <c r="N169" s="2">
        <v>29.64</v>
      </c>
      <c r="O169" s="2">
        <v>29.45</v>
      </c>
      <c r="P169" s="2">
        <v>28.56</v>
      </c>
      <c r="Q169" s="2">
        <v>29.29</v>
      </c>
      <c r="R169" s="2">
        <v>31.5</v>
      </c>
      <c r="S169" s="2">
        <v>32.47</v>
      </c>
      <c r="T169" s="3">
        <f t="shared" si="8"/>
        <v>3.18</v>
      </c>
      <c r="U169" s="4">
        <f t="shared" si="9"/>
        <v>0.108569477637419</v>
      </c>
      <c r="V169" s="2">
        <v>31.72</v>
      </c>
      <c r="W169" s="2">
        <v>32.23</v>
      </c>
      <c r="X169" s="3">
        <f t="shared" si="10"/>
        <v>0.219999999999999</v>
      </c>
      <c r="Y169" s="4">
        <f t="shared" si="11"/>
        <v>0.00682593856655287</v>
      </c>
      <c r="Z169" s="2">
        <v>31.09</v>
      </c>
      <c r="AA169" s="2">
        <v>31.21</v>
      </c>
    </row>
    <row r="170" spans="1:27">
      <c r="A170">
        <v>118033</v>
      </c>
      <c r="B170" t="s">
        <v>370</v>
      </c>
      <c r="C170" s="5">
        <v>45006</v>
      </c>
      <c r="D170">
        <v>718268</v>
      </c>
      <c r="E170">
        <v>688268</v>
      </c>
      <c r="F170" t="s">
        <v>371</v>
      </c>
      <c r="G170">
        <v>0.00520423</v>
      </c>
      <c r="H170" s="5">
        <v>45030</v>
      </c>
      <c r="I170" t="s">
        <v>44</v>
      </c>
      <c r="J170" s="5">
        <v>44890</v>
      </c>
      <c r="K170" s="5">
        <v>44961</v>
      </c>
      <c r="L170">
        <v>116</v>
      </c>
      <c r="M170" s="2">
        <v>45</v>
      </c>
      <c r="N170" s="2">
        <v>85.8</v>
      </c>
      <c r="O170" s="2">
        <v>82.41</v>
      </c>
      <c r="P170" s="2">
        <v>83.77</v>
      </c>
      <c r="Q170" s="2">
        <v>81.3</v>
      </c>
      <c r="R170" s="2">
        <v>83.91</v>
      </c>
      <c r="S170" s="2">
        <v>86.38</v>
      </c>
      <c r="T170" s="3">
        <f t="shared" si="8"/>
        <v>5.08</v>
      </c>
      <c r="U170" s="4">
        <f t="shared" si="9"/>
        <v>0.0624846248462484</v>
      </c>
      <c r="V170" s="2">
        <v>84.96</v>
      </c>
      <c r="W170" s="2">
        <v>86</v>
      </c>
      <c r="X170" s="3">
        <f t="shared" si="10"/>
        <v>1.05</v>
      </c>
      <c r="Y170" s="4">
        <f t="shared" si="11"/>
        <v>0.0122093023255814</v>
      </c>
      <c r="Z170" s="2">
        <v>94.43</v>
      </c>
      <c r="AA170" s="2">
        <v>101.99</v>
      </c>
    </row>
    <row r="171" spans="1:27">
      <c r="A171">
        <v>123180</v>
      </c>
      <c r="B171" t="s">
        <v>372</v>
      </c>
      <c r="C171" s="5">
        <v>44994</v>
      </c>
      <c r="D171">
        <v>370837</v>
      </c>
      <c r="E171">
        <v>300837</v>
      </c>
      <c r="F171" t="s">
        <v>373</v>
      </c>
      <c r="G171">
        <v>0.0012734856</v>
      </c>
      <c r="H171" s="5">
        <v>45013</v>
      </c>
      <c r="I171" t="s">
        <v>44</v>
      </c>
      <c r="J171" s="5">
        <v>44911</v>
      </c>
      <c r="K171" s="5">
        <v>44971</v>
      </c>
      <c r="L171">
        <v>83</v>
      </c>
      <c r="M171" s="2">
        <v>23</v>
      </c>
      <c r="N171" s="2">
        <v>41.89</v>
      </c>
      <c r="O171" s="2">
        <v>41.4</v>
      </c>
      <c r="P171" s="2">
        <v>46.8</v>
      </c>
      <c r="Q171" s="2">
        <v>45.79</v>
      </c>
      <c r="R171" s="2">
        <v>48.5</v>
      </c>
      <c r="S171" s="2">
        <v>49.18</v>
      </c>
      <c r="T171" s="3">
        <f t="shared" si="8"/>
        <v>3.39</v>
      </c>
      <c r="U171" s="4">
        <f t="shared" si="9"/>
        <v>0.0740336317973357</v>
      </c>
      <c r="V171" s="2">
        <v>48.05</v>
      </c>
      <c r="W171" s="2">
        <v>47.8</v>
      </c>
      <c r="X171" s="3">
        <f t="shared" si="10"/>
        <v>-0.450000000000003</v>
      </c>
      <c r="Y171" s="4">
        <f t="shared" si="11"/>
        <v>-0.00941422594142265</v>
      </c>
      <c r="Z171" s="2">
        <v>43.73</v>
      </c>
      <c r="AA171" s="2">
        <v>45.75</v>
      </c>
    </row>
    <row r="172" spans="1:27">
      <c r="A172">
        <v>118032</v>
      </c>
      <c r="B172" t="s">
        <v>374</v>
      </c>
      <c r="C172" s="5">
        <v>44993</v>
      </c>
      <c r="D172">
        <v>718357</v>
      </c>
      <c r="E172">
        <v>688357</v>
      </c>
      <c r="F172" t="s">
        <v>375</v>
      </c>
      <c r="G172">
        <v>0.00231615</v>
      </c>
      <c r="H172" s="5">
        <v>45023</v>
      </c>
      <c r="I172" t="s">
        <v>44</v>
      </c>
      <c r="J172" s="5">
        <v>44881</v>
      </c>
      <c r="K172" s="5">
        <v>44972</v>
      </c>
      <c r="L172">
        <v>112</v>
      </c>
      <c r="M172" s="2">
        <v>21</v>
      </c>
      <c r="N172" s="2">
        <v>123.9</v>
      </c>
      <c r="O172" s="2">
        <v>114.98</v>
      </c>
      <c r="P172" s="2">
        <v>117.3</v>
      </c>
      <c r="Q172" s="2">
        <v>115.02</v>
      </c>
      <c r="R172" s="2">
        <v>123.12</v>
      </c>
      <c r="S172" s="2">
        <v>122.96</v>
      </c>
      <c r="T172" s="3">
        <f t="shared" si="8"/>
        <v>7.94</v>
      </c>
      <c r="U172" s="4">
        <f t="shared" si="9"/>
        <v>0.0690314727873413</v>
      </c>
      <c r="V172" s="2">
        <v>119.8</v>
      </c>
      <c r="W172" s="2">
        <v>117.61</v>
      </c>
      <c r="X172" s="3">
        <f t="shared" si="10"/>
        <v>-3.32000000000001</v>
      </c>
      <c r="Y172" s="4">
        <f t="shared" si="11"/>
        <v>-0.0282288921010119</v>
      </c>
      <c r="Z172" s="2">
        <v>95.98</v>
      </c>
      <c r="AA172" s="2">
        <v>97.18</v>
      </c>
    </row>
    <row r="173" spans="1:27">
      <c r="A173">
        <v>123179</v>
      </c>
      <c r="B173" t="s">
        <v>376</v>
      </c>
      <c r="C173" s="5">
        <v>44992</v>
      </c>
      <c r="D173">
        <v>370973</v>
      </c>
      <c r="E173">
        <v>300973</v>
      </c>
      <c r="F173" t="s">
        <v>377</v>
      </c>
      <c r="G173">
        <v>0.0019133484</v>
      </c>
      <c r="H173" s="5">
        <v>45012</v>
      </c>
      <c r="I173" t="s">
        <v>44</v>
      </c>
      <c r="J173" s="5">
        <v>44875</v>
      </c>
      <c r="K173" s="5">
        <v>44945</v>
      </c>
      <c r="L173">
        <v>117</v>
      </c>
      <c r="M173" s="2">
        <v>47</v>
      </c>
      <c r="N173" s="2">
        <v>87.51</v>
      </c>
      <c r="O173" s="2">
        <v>88.6</v>
      </c>
      <c r="P173" s="2">
        <v>93.32</v>
      </c>
      <c r="Q173" s="2">
        <v>92.1</v>
      </c>
      <c r="R173" s="2">
        <v>96.58</v>
      </c>
      <c r="S173" s="2">
        <v>100.51</v>
      </c>
      <c r="T173" s="3">
        <f t="shared" si="8"/>
        <v>8.41000000000001</v>
      </c>
      <c r="U173" s="4">
        <f t="shared" si="9"/>
        <v>0.0913137893593921</v>
      </c>
      <c r="V173" s="2">
        <v>99.69</v>
      </c>
      <c r="W173" s="2">
        <v>99.84</v>
      </c>
      <c r="X173" s="3">
        <f t="shared" si="10"/>
        <v>3.11</v>
      </c>
      <c r="Y173" s="4">
        <f t="shared" si="11"/>
        <v>0.0311498397435897</v>
      </c>
      <c r="Z173" s="2">
        <v>101.22</v>
      </c>
      <c r="AA173" s="2">
        <v>99.88</v>
      </c>
    </row>
    <row r="174" spans="1:27">
      <c r="A174">
        <v>123178</v>
      </c>
      <c r="B174" t="s">
        <v>378</v>
      </c>
      <c r="C174" s="5">
        <v>44991</v>
      </c>
      <c r="D174">
        <v>370401</v>
      </c>
      <c r="E174">
        <v>300401</v>
      </c>
      <c r="F174" t="s">
        <v>379</v>
      </c>
      <c r="G174">
        <v>0.0041808277</v>
      </c>
      <c r="H174" s="5">
        <v>45008</v>
      </c>
      <c r="I174" t="s">
        <v>44</v>
      </c>
      <c r="J174" s="5">
        <v>44881</v>
      </c>
      <c r="K174" s="5">
        <v>44971</v>
      </c>
      <c r="L174">
        <v>110</v>
      </c>
      <c r="M174" s="2">
        <v>20</v>
      </c>
      <c r="N174" s="2">
        <v>16.51</v>
      </c>
      <c r="O174" s="2">
        <v>16.51</v>
      </c>
      <c r="P174" s="2">
        <v>15.53</v>
      </c>
      <c r="Q174" s="2">
        <v>15.89</v>
      </c>
      <c r="R174" s="2">
        <v>15.2</v>
      </c>
      <c r="S174" s="2">
        <v>14.8</v>
      </c>
      <c r="T174" s="3">
        <f t="shared" si="8"/>
        <v>-1.09</v>
      </c>
      <c r="U174" s="4">
        <f t="shared" si="9"/>
        <v>-0.0685966016362492</v>
      </c>
      <c r="V174" s="2">
        <v>14.38</v>
      </c>
      <c r="W174" s="2">
        <v>14.62</v>
      </c>
      <c r="X174" s="3">
        <f t="shared" si="10"/>
        <v>-0.819999999999999</v>
      </c>
      <c r="Y174" s="4">
        <f t="shared" si="11"/>
        <v>-0.0560875512995895</v>
      </c>
      <c r="Z174" s="2">
        <v>14.3</v>
      </c>
      <c r="AA174" s="2">
        <v>14.31</v>
      </c>
    </row>
    <row r="175" spans="1:27">
      <c r="A175">
        <v>123177</v>
      </c>
      <c r="B175" t="s">
        <v>380</v>
      </c>
      <c r="C175" s="5">
        <v>44987</v>
      </c>
      <c r="D175">
        <v>370826</v>
      </c>
      <c r="E175">
        <v>300826</v>
      </c>
      <c r="F175" t="s">
        <v>381</v>
      </c>
      <c r="G175">
        <v>0.0007691134</v>
      </c>
      <c r="H175" s="5">
        <v>45009</v>
      </c>
      <c r="I175" t="s">
        <v>39</v>
      </c>
      <c r="J175" s="5">
        <v>44890</v>
      </c>
      <c r="K175" s="5">
        <v>44971</v>
      </c>
      <c r="L175">
        <v>97</v>
      </c>
      <c r="M175" s="2">
        <v>16</v>
      </c>
      <c r="N175" s="2">
        <v>12.48</v>
      </c>
      <c r="O175" s="2">
        <v>12.51</v>
      </c>
      <c r="P175" s="2">
        <v>13.23</v>
      </c>
      <c r="Q175" s="2">
        <v>13.55</v>
      </c>
      <c r="R175" s="2">
        <v>14.05</v>
      </c>
      <c r="S175" s="2">
        <v>14.39</v>
      </c>
      <c r="T175" s="3">
        <f t="shared" si="8"/>
        <v>0.84</v>
      </c>
      <c r="U175" s="4">
        <f t="shared" si="9"/>
        <v>0.0619926199261992</v>
      </c>
      <c r="V175" s="2">
        <v>13.85</v>
      </c>
      <c r="W175" s="2">
        <v>13.94</v>
      </c>
      <c r="X175" s="3">
        <f t="shared" si="10"/>
        <v>-0.200000000000001</v>
      </c>
      <c r="Y175" s="4">
        <f t="shared" si="11"/>
        <v>-0.0143472022955524</v>
      </c>
      <c r="Z175" s="2">
        <v>14.65</v>
      </c>
      <c r="AA175" s="2">
        <v>14.71</v>
      </c>
    </row>
    <row r="176" spans="1:27">
      <c r="A176">
        <v>123176</v>
      </c>
      <c r="B176" t="s">
        <v>382</v>
      </c>
      <c r="C176" s="5">
        <v>44987</v>
      </c>
      <c r="D176">
        <v>370567</v>
      </c>
      <c r="E176">
        <v>300567</v>
      </c>
      <c r="F176" t="s">
        <v>383</v>
      </c>
      <c r="G176">
        <v>0.0043882511</v>
      </c>
      <c r="H176" s="5">
        <v>45007</v>
      </c>
      <c r="I176" t="s">
        <v>44</v>
      </c>
      <c r="J176" s="5">
        <v>44863</v>
      </c>
      <c r="K176" s="5">
        <v>44965</v>
      </c>
      <c r="L176">
        <v>124</v>
      </c>
      <c r="M176" s="2">
        <v>22</v>
      </c>
      <c r="N176" s="2">
        <v>52</v>
      </c>
      <c r="O176" s="2">
        <v>51.2</v>
      </c>
      <c r="P176" s="2">
        <v>61.3</v>
      </c>
      <c r="Q176" s="2">
        <v>60.96</v>
      </c>
      <c r="R176" s="2">
        <v>63.23</v>
      </c>
      <c r="S176" s="2">
        <v>63.23</v>
      </c>
      <c r="T176" s="3">
        <f t="shared" si="8"/>
        <v>2.27</v>
      </c>
      <c r="U176" s="4">
        <f t="shared" si="9"/>
        <v>0.0372375328083989</v>
      </c>
      <c r="V176" s="2">
        <v>62.39</v>
      </c>
      <c r="W176" s="2">
        <v>62.88</v>
      </c>
      <c r="X176" s="3">
        <f t="shared" si="10"/>
        <v>-0.839999999999996</v>
      </c>
      <c r="Y176" s="4">
        <f t="shared" si="11"/>
        <v>-0.0133587786259541</v>
      </c>
      <c r="Z176" s="2">
        <v>67.76</v>
      </c>
      <c r="AA176" s="2">
        <v>65.18</v>
      </c>
    </row>
    <row r="177" spans="1:27">
      <c r="A177">
        <v>123175</v>
      </c>
      <c r="B177" t="s">
        <v>384</v>
      </c>
      <c r="C177" s="5">
        <v>44979</v>
      </c>
      <c r="D177">
        <v>370614</v>
      </c>
      <c r="E177">
        <v>300614</v>
      </c>
      <c r="F177" t="s">
        <v>385</v>
      </c>
      <c r="G177">
        <v>0.0014455717</v>
      </c>
      <c r="H177" s="5">
        <v>45002</v>
      </c>
      <c r="I177" t="s">
        <v>110</v>
      </c>
      <c r="J177" s="5">
        <v>44811</v>
      </c>
      <c r="K177" s="5">
        <v>44876</v>
      </c>
      <c r="L177">
        <v>168</v>
      </c>
      <c r="M177" s="2">
        <v>103</v>
      </c>
      <c r="N177" s="2">
        <v>25.9</v>
      </c>
      <c r="O177" s="2">
        <v>26.6</v>
      </c>
      <c r="P177" s="2">
        <v>26.19</v>
      </c>
      <c r="Q177" s="2">
        <v>25.7</v>
      </c>
      <c r="R177" s="2">
        <v>28.82</v>
      </c>
      <c r="S177" s="2">
        <v>29.36</v>
      </c>
      <c r="T177" s="3">
        <f t="shared" si="8"/>
        <v>3.66</v>
      </c>
      <c r="U177" s="4">
        <f t="shared" si="9"/>
        <v>0.142412451361868</v>
      </c>
      <c r="V177" s="2">
        <v>28.39</v>
      </c>
      <c r="W177" s="2">
        <v>29.48</v>
      </c>
      <c r="X177" s="3">
        <f t="shared" si="10"/>
        <v>-0.43</v>
      </c>
      <c r="Y177" s="4">
        <f t="shared" si="11"/>
        <v>-0.0145861601085482</v>
      </c>
      <c r="Z177" s="2">
        <v>26.53</v>
      </c>
      <c r="AA177" s="2">
        <v>26.66</v>
      </c>
    </row>
    <row r="178" spans="1:27">
      <c r="A178">
        <v>123174</v>
      </c>
      <c r="B178" t="s">
        <v>386</v>
      </c>
      <c r="C178" s="5">
        <v>44972</v>
      </c>
      <c r="D178">
        <v>370258</v>
      </c>
      <c r="E178">
        <v>300258</v>
      </c>
      <c r="F178" t="s">
        <v>387</v>
      </c>
      <c r="G178">
        <v>0.0014511423</v>
      </c>
      <c r="H178" s="5">
        <v>44992</v>
      </c>
      <c r="I178" t="s">
        <v>44</v>
      </c>
      <c r="J178" s="5">
        <v>44882</v>
      </c>
      <c r="K178" s="5">
        <v>44944</v>
      </c>
      <c r="L178">
        <v>90</v>
      </c>
      <c r="M178" s="2">
        <v>28</v>
      </c>
      <c r="N178" s="2">
        <v>12.81</v>
      </c>
      <c r="O178" s="2">
        <v>12.84</v>
      </c>
      <c r="P178" s="2">
        <v>12.19</v>
      </c>
      <c r="Q178" s="2">
        <v>12.19</v>
      </c>
      <c r="R178" s="2">
        <v>13.29</v>
      </c>
      <c r="S178" s="2">
        <v>13.1</v>
      </c>
      <c r="T178" s="3">
        <f t="shared" si="8"/>
        <v>0.91</v>
      </c>
      <c r="U178" s="4">
        <f t="shared" si="9"/>
        <v>0.0746513535684988</v>
      </c>
      <c r="V178" s="2">
        <v>12.69</v>
      </c>
      <c r="W178" s="2">
        <v>12.69</v>
      </c>
      <c r="X178" s="3">
        <f t="shared" si="10"/>
        <v>-0.6</v>
      </c>
      <c r="Y178" s="4">
        <f t="shared" si="11"/>
        <v>-0.0472813238770685</v>
      </c>
      <c r="Z178" s="2">
        <v>11.75</v>
      </c>
      <c r="AA178" s="2">
        <v>11.43</v>
      </c>
    </row>
    <row r="179" spans="1:27">
      <c r="A179">
        <v>118031</v>
      </c>
      <c r="B179" t="s">
        <v>388</v>
      </c>
      <c r="C179" s="5">
        <v>44970</v>
      </c>
      <c r="D179">
        <v>718599</v>
      </c>
      <c r="E179">
        <v>688599</v>
      </c>
      <c r="F179" t="s">
        <v>389</v>
      </c>
      <c r="G179">
        <v>0.02789406</v>
      </c>
      <c r="H179" s="5">
        <v>45000</v>
      </c>
      <c r="I179" t="s">
        <v>29</v>
      </c>
      <c r="J179" s="5">
        <v>44881</v>
      </c>
      <c r="K179" s="5">
        <v>44961</v>
      </c>
      <c r="L179">
        <v>89</v>
      </c>
      <c r="M179" s="2">
        <v>9</v>
      </c>
      <c r="N179" s="2">
        <v>66.1</v>
      </c>
      <c r="O179" s="2">
        <v>66.18</v>
      </c>
      <c r="P179" s="2">
        <v>66.67</v>
      </c>
      <c r="Q179" s="2">
        <v>65.89</v>
      </c>
      <c r="R179" s="2">
        <v>66.43</v>
      </c>
      <c r="S179" s="2">
        <v>65.88</v>
      </c>
      <c r="T179" s="3">
        <f t="shared" si="8"/>
        <v>-0.0100000000000051</v>
      </c>
      <c r="U179" s="4">
        <f t="shared" si="9"/>
        <v>-0.000151768098345805</v>
      </c>
      <c r="V179" s="2">
        <v>64.99</v>
      </c>
      <c r="W179" s="2">
        <v>64.26</v>
      </c>
      <c r="X179" s="3">
        <f t="shared" si="10"/>
        <v>-1.44000000000001</v>
      </c>
      <c r="Y179" s="4">
        <f t="shared" si="11"/>
        <v>-0.0224089635854344</v>
      </c>
      <c r="Z179" s="2">
        <v>57.15</v>
      </c>
      <c r="AA179" s="2">
        <v>56.96</v>
      </c>
    </row>
    <row r="180" spans="1:27">
      <c r="A180">
        <v>118030</v>
      </c>
      <c r="B180" t="s">
        <v>390</v>
      </c>
      <c r="C180" s="5">
        <v>44925</v>
      </c>
      <c r="D180">
        <v>718002</v>
      </c>
      <c r="E180">
        <v>688002</v>
      </c>
      <c r="F180" t="s">
        <v>391</v>
      </c>
      <c r="G180">
        <v>0.00512519</v>
      </c>
      <c r="H180" s="5">
        <v>44967</v>
      </c>
      <c r="I180" t="s">
        <v>29</v>
      </c>
      <c r="J180" s="5">
        <v>44834</v>
      </c>
      <c r="K180" s="5">
        <v>44880</v>
      </c>
      <c r="L180">
        <v>91</v>
      </c>
      <c r="M180" s="2">
        <v>45</v>
      </c>
      <c r="N180" s="2">
        <v>38.43</v>
      </c>
      <c r="O180" s="2">
        <v>38.02</v>
      </c>
      <c r="P180" s="2">
        <v>43.88</v>
      </c>
      <c r="Q180" s="2">
        <v>44.54</v>
      </c>
      <c r="R180" s="2">
        <v>37.81</v>
      </c>
      <c r="S180" s="2">
        <v>38.53</v>
      </c>
      <c r="T180" s="3">
        <f t="shared" si="8"/>
        <v>-6.01</v>
      </c>
      <c r="U180" s="4">
        <f t="shared" si="9"/>
        <v>-0.134934889986529</v>
      </c>
      <c r="V180" s="2">
        <v>38.01</v>
      </c>
      <c r="W180" s="2">
        <v>37.19</v>
      </c>
      <c r="X180" s="3">
        <f t="shared" si="10"/>
        <v>0.199999999999996</v>
      </c>
      <c r="Y180" s="4">
        <f t="shared" si="11"/>
        <v>0.0053777897284215</v>
      </c>
      <c r="Z180" s="2">
        <v>47.35</v>
      </c>
      <c r="AA180" s="2">
        <v>48.05</v>
      </c>
    </row>
    <row r="181" spans="1:27">
      <c r="A181">
        <v>123173</v>
      </c>
      <c r="B181" t="s">
        <v>392</v>
      </c>
      <c r="C181" s="5">
        <v>44925</v>
      </c>
      <c r="D181">
        <v>370605</v>
      </c>
      <c r="E181">
        <v>300605</v>
      </c>
      <c r="F181" t="s">
        <v>393</v>
      </c>
      <c r="G181">
        <v>0.0007199338</v>
      </c>
      <c r="H181" s="5">
        <v>44965</v>
      </c>
      <c r="I181" t="s">
        <v>287</v>
      </c>
      <c r="J181" s="5">
        <v>44806</v>
      </c>
      <c r="K181" s="5">
        <v>44852</v>
      </c>
      <c r="L181">
        <v>119</v>
      </c>
      <c r="M181" s="2">
        <v>73</v>
      </c>
      <c r="N181" s="2">
        <v>12.22</v>
      </c>
      <c r="O181" s="2">
        <v>12.56</v>
      </c>
      <c r="P181" s="2">
        <v>12.36</v>
      </c>
      <c r="Q181" s="2">
        <v>12.42</v>
      </c>
      <c r="R181" s="2">
        <v>14</v>
      </c>
      <c r="S181" s="2">
        <v>13.84</v>
      </c>
      <c r="T181" s="3">
        <f t="shared" si="8"/>
        <v>1.42</v>
      </c>
      <c r="U181" s="4">
        <f t="shared" si="9"/>
        <v>0.114331723027375</v>
      </c>
      <c r="V181" s="2">
        <v>13.55</v>
      </c>
      <c r="W181" s="2">
        <v>13.75</v>
      </c>
      <c r="X181" s="3">
        <f t="shared" si="10"/>
        <v>-0.449999999999999</v>
      </c>
      <c r="Y181" s="4">
        <f t="shared" si="11"/>
        <v>-0.0327272727272727</v>
      </c>
      <c r="Z181" s="2">
        <v>15.38</v>
      </c>
      <c r="AA181" s="2">
        <v>15.11</v>
      </c>
    </row>
    <row r="182" spans="1:27">
      <c r="A182">
        <v>118029</v>
      </c>
      <c r="B182" t="s">
        <v>394</v>
      </c>
      <c r="C182" s="5">
        <v>44910</v>
      </c>
      <c r="D182">
        <v>718350</v>
      </c>
      <c r="E182">
        <v>688350</v>
      </c>
      <c r="F182" t="s">
        <v>395</v>
      </c>
      <c r="G182">
        <v>0.00078808</v>
      </c>
      <c r="H182" s="5">
        <v>44935</v>
      </c>
      <c r="I182" t="s">
        <v>110</v>
      </c>
      <c r="J182" s="5">
        <v>44826</v>
      </c>
      <c r="K182" s="5">
        <v>44880</v>
      </c>
      <c r="L182">
        <v>84</v>
      </c>
      <c r="M182" s="2">
        <v>30</v>
      </c>
      <c r="N182" s="2">
        <v>18.31</v>
      </c>
      <c r="O182" s="2">
        <v>18.43</v>
      </c>
      <c r="P182" s="2">
        <v>19.09</v>
      </c>
      <c r="Q182" s="2">
        <v>19.19</v>
      </c>
      <c r="R182" s="2">
        <v>20.56</v>
      </c>
      <c r="S182" s="2">
        <v>20.52</v>
      </c>
      <c r="T182" s="3">
        <f t="shared" si="8"/>
        <v>1.33</v>
      </c>
      <c r="U182" s="4">
        <f t="shared" si="9"/>
        <v>0.0693069306930692</v>
      </c>
      <c r="V182" s="2">
        <v>20.28</v>
      </c>
      <c r="W182" s="2">
        <v>19.9</v>
      </c>
      <c r="X182" s="3">
        <f t="shared" si="10"/>
        <v>-0.279999999999998</v>
      </c>
      <c r="Y182" s="4">
        <f t="shared" si="11"/>
        <v>-0.0140703517587938</v>
      </c>
      <c r="Z182" s="2">
        <v>18</v>
      </c>
      <c r="AA182" s="2">
        <v>18.66</v>
      </c>
    </row>
    <row r="183" spans="1:27">
      <c r="A183">
        <v>123172</v>
      </c>
      <c r="B183" t="s">
        <v>396</v>
      </c>
      <c r="C183" s="5">
        <v>44910</v>
      </c>
      <c r="D183">
        <v>371017</v>
      </c>
      <c r="E183">
        <v>301017</v>
      </c>
      <c r="F183" t="s">
        <v>397</v>
      </c>
      <c r="G183">
        <v>0.001298266</v>
      </c>
      <c r="H183" s="5">
        <v>44932</v>
      </c>
      <c r="I183" t="s">
        <v>44</v>
      </c>
      <c r="J183" s="5">
        <v>44792</v>
      </c>
      <c r="K183" s="5">
        <v>44886</v>
      </c>
      <c r="L183">
        <v>118</v>
      </c>
      <c r="M183" s="2">
        <v>24</v>
      </c>
      <c r="N183" s="2">
        <v>17.14</v>
      </c>
      <c r="O183" s="2">
        <v>16.97</v>
      </c>
      <c r="P183" s="2">
        <v>19.05</v>
      </c>
      <c r="Q183" s="2">
        <v>18.81</v>
      </c>
      <c r="R183" s="2">
        <v>21</v>
      </c>
      <c r="S183" s="2">
        <v>20.4</v>
      </c>
      <c r="T183" s="3">
        <f t="shared" si="8"/>
        <v>1.59</v>
      </c>
      <c r="U183" s="4">
        <f t="shared" si="9"/>
        <v>0.0845295055821372</v>
      </c>
      <c r="V183" s="2">
        <v>19.85</v>
      </c>
      <c r="W183" s="2">
        <v>20.2</v>
      </c>
      <c r="X183" s="3">
        <f t="shared" si="10"/>
        <v>-1.15</v>
      </c>
      <c r="Y183" s="4">
        <f t="shared" si="11"/>
        <v>-0.0569306930693069</v>
      </c>
      <c r="Z183" s="2">
        <v>18.09</v>
      </c>
      <c r="AA183" s="2">
        <v>17.78</v>
      </c>
    </row>
    <row r="184" spans="1:27">
      <c r="A184">
        <v>118028</v>
      </c>
      <c r="B184" t="s">
        <v>398</v>
      </c>
      <c r="C184" s="5">
        <v>44901</v>
      </c>
      <c r="D184">
        <v>718219</v>
      </c>
      <c r="E184">
        <v>688219</v>
      </c>
      <c r="F184" t="s">
        <v>399</v>
      </c>
      <c r="G184">
        <v>0.00102553</v>
      </c>
      <c r="H184" s="5">
        <v>44930</v>
      </c>
      <c r="I184" t="s">
        <v>44</v>
      </c>
      <c r="J184" s="5">
        <v>44533</v>
      </c>
      <c r="K184" s="8">
        <v>44637</v>
      </c>
      <c r="L184">
        <v>368</v>
      </c>
      <c r="M184" s="2">
        <v>264</v>
      </c>
      <c r="N184" s="2">
        <v>12.78</v>
      </c>
      <c r="O184" s="2">
        <v>12.5</v>
      </c>
      <c r="P184" s="2">
        <v>9.2</v>
      </c>
      <c r="Q184" s="2">
        <v>9.6</v>
      </c>
      <c r="R184" s="2">
        <v>9.48</v>
      </c>
      <c r="S184" s="2">
        <v>9.49</v>
      </c>
      <c r="T184" s="3">
        <f t="shared" si="8"/>
        <v>-0.109999999999999</v>
      </c>
      <c r="U184" s="4">
        <f t="shared" si="9"/>
        <v>-0.0114583333333333</v>
      </c>
      <c r="V184" s="2">
        <v>9.05</v>
      </c>
      <c r="W184" s="2">
        <v>9.07</v>
      </c>
      <c r="X184" s="3">
        <f t="shared" si="10"/>
        <v>-0.43</v>
      </c>
      <c r="Y184" s="4">
        <f t="shared" si="11"/>
        <v>-0.0474090407938258</v>
      </c>
      <c r="Z184" s="2">
        <v>8.63</v>
      </c>
      <c r="AA184" s="2">
        <v>8.66</v>
      </c>
    </row>
    <row r="185" spans="1:27">
      <c r="A185">
        <v>123171</v>
      </c>
      <c r="B185" t="s">
        <v>400</v>
      </c>
      <c r="C185" s="5">
        <v>44893</v>
      </c>
      <c r="D185">
        <v>370966</v>
      </c>
      <c r="E185">
        <v>300966</v>
      </c>
      <c r="F185" t="s">
        <v>401</v>
      </c>
      <c r="G185">
        <v>0.0008545904</v>
      </c>
      <c r="H185" s="5">
        <v>44911</v>
      </c>
      <c r="I185" t="s">
        <v>110</v>
      </c>
      <c r="J185" s="5">
        <v>44820</v>
      </c>
      <c r="K185" s="8">
        <v>44876</v>
      </c>
      <c r="L185">
        <v>73</v>
      </c>
      <c r="M185" s="2">
        <v>17</v>
      </c>
      <c r="N185" s="2">
        <v>25.25</v>
      </c>
      <c r="O185" s="2">
        <v>24.51</v>
      </c>
      <c r="P185" s="2">
        <v>27.46</v>
      </c>
      <c r="Q185" s="2">
        <v>27.08</v>
      </c>
      <c r="R185" s="2">
        <v>27.23</v>
      </c>
      <c r="S185" s="2">
        <v>26.92</v>
      </c>
      <c r="T185" s="3">
        <f t="shared" si="8"/>
        <v>-0.159999999999997</v>
      </c>
      <c r="U185" s="4">
        <f t="shared" si="9"/>
        <v>-0.00590841949778422</v>
      </c>
      <c r="V185" s="2">
        <v>26.3</v>
      </c>
      <c r="W185" s="2">
        <v>27.03</v>
      </c>
      <c r="X185" s="3">
        <f t="shared" si="10"/>
        <v>-0.93</v>
      </c>
      <c r="Y185" s="4">
        <f t="shared" si="11"/>
        <v>-0.0344062153163152</v>
      </c>
      <c r="Z185" s="2">
        <v>33</v>
      </c>
      <c r="AA185" s="2">
        <v>36.2</v>
      </c>
    </row>
    <row r="186" spans="1:27">
      <c r="A186">
        <v>118027</v>
      </c>
      <c r="B186" t="s">
        <v>402</v>
      </c>
      <c r="C186" s="5">
        <v>44893</v>
      </c>
      <c r="D186">
        <v>718066</v>
      </c>
      <c r="E186">
        <v>688066</v>
      </c>
      <c r="F186" t="s">
        <v>403</v>
      </c>
      <c r="G186">
        <v>0.0033846</v>
      </c>
      <c r="H186" s="5">
        <v>44917</v>
      </c>
      <c r="I186" t="s">
        <v>404</v>
      </c>
      <c r="J186" s="5">
        <v>44820</v>
      </c>
      <c r="K186" s="5">
        <v>44880</v>
      </c>
      <c r="L186">
        <v>73</v>
      </c>
      <c r="M186" s="2">
        <v>13</v>
      </c>
      <c r="N186" s="2">
        <v>76</v>
      </c>
      <c r="O186" s="2">
        <v>76.84</v>
      </c>
      <c r="P186" s="2">
        <v>86</v>
      </c>
      <c r="Q186" s="2">
        <v>88.51</v>
      </c>
      <c r="R186" s="2">
        <v>83.38</v>
      </c>
      <c r="S186" s="2">
        <v>81</v>
      </c>
      <c r="T186" s="3">
        <f t="shared" si="8"/>
        <v>-7.51000000000001</v>
      </c>
      <c r="U186" s="4">
        <f t="shared" si="9"/>
        <v>-0.0848491695853576</v>
      </c>
      <c r="V186" s="2">
        <v>79.3</v>
      </c>
      <c r="W186" s="2">
        <v>79.62</v>
      </c>
      <c r="X186" s="3">
        <f t="shared" si="10"/>
        <v>-4.08</v>
      </c>
      <c r="Y186" s="4">
        <f t="shared" si="11"/>
        <v>-0.0512434061793519</v>
      </c>
      <c r="Z186" s="2">
        <v>77</v>
      </c>
      <c r="AA186" s="2">
        <v>76.99</v>
      </c>
    </row>
    <row r="187" spans="1:27">
      <c r="A187">
        <v>123170</v>
      </c>
      <c r="B187" t="s">
        <v>405</v>
      </c>
      <c r="C187" s="5">
        <v>44889</v>
      </c>
      <c r="D187">
        <v>370346</v>
      </c>
      <c r="E187">
        <v>300346</v>
      </c>
      <c r="F187" t="s">
        <v>406</v>
      </c>
      <c r="G187">
        <v>0.0034265105</v>
      </c>
      <c r="H187" s="5">
        <v>44910</v>
      </c>
      <c r="I187" t="s">
        <v>44</v>
      </c>
      <c r="J187" s="5">
        <v>44762</v>
      </c>
      <c r="K187" s="8">
        <v>44875</v>
      </c>
      <c r="L187">
        <v>127</v>
      </c>
      <c r="M187" s="2">
        <v>14</v>
      </c>
      <c r="N187" s="2">
        <v>32.2</v>
      </c>
      <c r="O187" s="2">
        <v>31.85</v>
      </c>
      <c r="P187" s="2">
        <v>33.01</v>
      </c>
      <c r="Q187" s="2">
        <v>32.82</v>
      </c>
      <c r="R187" s="2">
        <v>34.02</v>
      </c>
      <c r="S187" s="2">
        <v>33.2</v>
      </c>
      <c r="T187" s="3">
        <f t="shared" si="8"/>
        <v>0.380000000000003</v>
      </c>
      <c r="U187" s="4">
        <f t="shared" si="9"/>
        <v>0.0115783059110299</v>
      </c>
      <c r="V187" s="2">
        <v>32.91</v>
      </c>
      <c r="W187" s="2">
        <v>32.53</v>
      </c>
      <c r="X187" s="3">
        <f t="shared" si="10"/>
        <v>-1.11000000000001</v>
      </c>
      <c r="Y187" s="4">
        <f t="shared" si="11"/>
        <v>-0.0341223486012913</v>
      </c>
      <c r="Z187" s="2">
        <v>30.85</v>
      </c>
      <c r="AA187" s="2">
        <v>32.26</v>
      </c>
    </row>
    <row r="188" spans="1:27">
      <c r="A188">
        <v>123168</v>
      </c>
      <c r="B188" t="s">
        <v>407</v>
      </c>
      <c r="C188" s="5">
        <v>44888</v>
      </c>
      <c r="D188">
        <v>370891</v>
      </c>
      <c r="E188">
        <v>300891</v>
      </c>
      <c r="F188" t="s">
        <v>408</v>
      </c>
      <c r="G188">
        <v>0.0017122918</v>
      </c>
      <c r="H188" s="5">
        <v>44909</v>
      </c>
      <c r="I188" t="s">
        <v>44</v>
      </c>
      <c r="J188" s="5">
        <v>44762</v>
      </c>
      <c r="K188" s="8">
        <v>44792</v>
      </c>
      <c r="L188">
        <v>126</v>
      </c>
      <c r="M188" s="2">
        <v>96</v>
      </c>
      <c r="N188" s="2">
        <v>12.6</v>
      </c>
      <c r="O188" s="2">
        <v>13.39</v>
      </c>
      <c r="P188" s="2">
        <v>12.9</v>
      </c>
      <c r="Q188" s="2">
        <v>12.61</v>
      </c>
      <c r="R188" s="2">
        <v>11.07</v>
      </c>
      <c r="S188" s="2">
        <v>11</v>
      </c>
      <c r="T188" s="3">
        <f t="shared" si="8"/>
        <v>-1.61</v>
      </c>
      <c r="U188" s="4">
        <f t="shared" si="9"/>
        <v>-0.127676447264076</v>
      </c>
      <c r="V188" s="2">
        <v>10.71</v>
      </c>
      <c r="W188" s="2">
        <v>10.39</v>
      </c>
      <c r="X188" s="3">
        <f t="shared" si="10"/>
        <v>-0.359999999999999</v>
      </c>
      <c r="Y188" s="4">
        <f t="shared" si="11"/>
        <v>-0.0346487006737247</v>
      </c>
      <c r="Z188" s="2">
        <v>10.19</v>
      </c>
      <c r="AA188" s="2">
        <v>10.13</v>
      </c>
    </row>
    <row r="189" spans="1:27">
      <c r="A189">
        <v>123169</v>
      </c>
      <c r="B189" t="s">
        <v>409</v>
      </c>
      <c r="C189" s="5">
        <v>44888</v>
      </c>
      <c r="D189">
        <v>370224</v>
      </c>
      <c r="E189">
        <v>300224</v>
      </c>
      <c r="F189" t="s">
        <v>410</v>
      </c>
      <c r="G189">
        <v>0.0034231574</v>
      </c>
      <c r="H189" s="5">
        <v>44907</v>
      </c>
      <c r="I189" t="s">
        <v>44</v>
      </c>
      <c r="J189" s="5">
        <v>44825</v>
      </c>
      <c r="K189" s="8">
        <v>44876</v>
      </c>
      <c r="L189">
        <v>63</v>
      </c>
      <c r="M189" s="2">
        <v>12</v>
      </c>
      <c r="N189" s="2">
        <v>12.79</v>
      </c>
      <c r="O189" s="2">
        <v>13.03</v>
      </c>
      <c r="P189" s="2">
        <v>13.7</v>
      </c>
      <c r="Q189" s="2">
        <v>13.4</v>
      </c>
      <c r="R189" s="2">
        <v>13.53</v>
      </c>
      <c r="S189" s="2">
        <v>13.36</v>
      </c>
      <c r="T189" s="3">
        <f t="shared" si="8"/>
        <v>-0.0400000000000009</v>
      </c>
      <c r="U189" s="4">
        <f t="shared" si="9"/>
        <v>-0.00298507462686574</v>
      </c>
      <c r="V189" s="2">
        <v>13.03</v>
      </c>
      <c r="W189" s="2">
        <v>12.86</v>
      </c>
      <c r="X189" s="3">
        <f t="shared" si="10"/>
        <v>-0.5</v>
      </c>
      <c r="Y189" s="4">
        <f t="shared" si="11"/>
        <v>-0.0388802488335925</v>
      </c>
      <c r="Z189" s="2">
        <v>12.83</v>
      </c>
      <c r="AA189" s="2">
        <v>12.74</v>
      </c>
    </row>
    <row r="190" spans="1:27">
      <c r="A190">
        <v>123167</v>
      </c>
      <c r="B190" t="s">
        <v>411</v>
      </c>
      <c r="C190" s="5">
        <v>44882</v>
      </c>
      <c r="D190">
        <v>370975</v>
      </c>
      <c r="E190">
        <v>300975</v>
      </c>
      <c r="F190" t="s">
        <v>412</v>
      </c>
      <c r="G190">
        <v>0.0006649965</v>
      </c>
      <c r="H190" s="5">
        <v>44904</v>
      </c>
      <c r="I190" t="s">
        <v>39</v>
      </c>
      <c r="J190" s="5">
        <v>44776</v>
      </c>
      <c r="K190" s="8">
        <v>44799</v>
      </c>
      <c r="L190">
        <v>106</v>
      </c>
      <c r="M190" s="2">
        <v>83</v>
      </c>
      <c r="N190" s="2">
        <v>8.09</v>
      </c>
      <c r="O190" s="2">
        <v>8.14</v>
      </c>
      <c r="P190" s="2">
        <v>8.15</v>
      </c>
      <c r="Q190" s="2">
        <v>8.14</v>
      </c>
      <c r="R190" s="2">
        <v>7.46</v>
      </c>
      <c r="S190" s="2">
        <v>7.43</v>
      </c>
      <c r="T190" s="3">
        <f t="shared" si="8"/>
        <v>-0.710000000000001</v>
      </c>
      <c r="U190" s="4">
        <f t="shared" si="9"/>
        <v>-0.0872235872235873</v>
      </c>
      <c r="V190" s="2">
        <v>7.21</v>
      </c>
      <c r="W190" s="2">
        <v>7.22</v>
      </c>
      <c r="X190" s="3">
        <f t="shared" si="10"/>
        <v>-0.25</v>
      </c>
      <c r="Y190" s="4">
        <f t="shared" si="11"/>
        <v>-0.0346260387811634</v>
      </c>
      <c r="Z190" s="2">
        <v>7.04</v>
      </c>
      <c r="AA190" s="2">
        <v>6.82</v>
      </c>
    </row>
    <row r="191" spans="1:27">
      <c r="A191">
        <v>123166</v>
      </c>
      <c r="B191" t="s">
        <v>413</v>
      </c>
      <c r="C191" s="5">
        <v>44867</v>
      </c>
      <c r="D191">
        <v>370876</v>
      </c>
      <c r="E191">
        <v>300876</v>
      </c>
      <c r="F191" t="s">
        <v>414</v>
      </c>
      <c r="G191">
        <v>0.0003409429</v>
      </c>
      <c r="H191" s="5">
        <v>44890</v>
      </c>
      <c r="I191" t="s">
        <v>110</v>
      </c>
      <c r="J191" s="5">
        <v>44755</v>
      </c>
      <c r="K191" s="8">
        <v>44799</v>
      </c>
      <c r="L191">
        <v>112</v>
      </c>
      <c r="M191" s="2">
        <v>68</v>
      </c>
      <c r="N191" s="2">
        <v>23.4</v>
      </c>
      <c r="O191" s="2">
        <v>23.14</v>
      </c>
      <c r="P191" s="2">
        <v>26.13</v>
      </c>
      <c r="Q191" s="2">
        <v>26.19</v>
      </c>
      <c r="R191" s="2">
        <v>26.88</v>
      </c>
      <c r="S191" s="2">
        <v>26.86</v>
      </c>
      <c r="T191" s="3">
        <f t="shared" si="8"/>
        <v>0.669999999999998</v>
      </c>
      <c r="U191" s="4">
        <f t="shared" si="9"/>
        <v>0.025582283314242</v>
      </c>
      <c r="V191" s="2">
        <v>25.53</v>
      </c>
      <c r="W191" s="2">
        <v>25.8</v>
      </c>
      <c r="X191" s="3">
        <f t="shared" si="10"/>
        <v>-1.35</v>
      </c>
      <c r="Y191" s="4">
        <f t="shared" si="11"/>
        <v>-0.0523255813953487</v>
      </c>
      <c r="Z191" s="2">
        <v>31.14</v>
      </c>
      <c r="AA191" s="2">
        <v>30.55</v>
      </c>
    </row>
    <row r="192" spans="1:27">
      <c r="A192">
        <v>123165</v>
      </c>
      <c r="B192" t="s">
        <v>415</v>
      </c>
      <c r="C192" s="5">
        <v>44861</v>
      </c>
      <c r="D192">
        <v>370041</v>
      </c>
      <c r="E192">
        <v>300041</v>
      </c>
      <c r="F192" t="s">
        <v>416</v>
      </c>
      <c r="G192">
        <v>0.0026221841</v>
      </c>
      <c r="H192" s="5">
        <v>44880</v>
      </c>
      <c r="I192" t="s">
        <v>44</v>
      </c>
      <c r="J192" s="5">
        <v>44784</v>
      </c>
      <c r="K192" s="8">
        <v>44811</v>
      </c>
      <c r="L192">
        <v>77</v>
      </c>
      <c r="M192" s="2">
        <v>50</v>
      </c>
      <c r="N192" s="2">
        <v>21.96</v>
      </c>
      <c r="O192" s="2">
        <v>24.02</v>
      </c>
      <c r="P192" s="2">
        <v>20.36</v>
      </c>
      <c r="Q192" s="2">
        <v>21.11</v>
      </c>
      <c r="R192" s="2">
        <v>16</v>
      </c>
      <c r="S192" s="2">
        <v>15.79</v>
      </c>
      <c r="T192" s="3">
        <f t="shared" si="8"/>
        <v>-5.32</v>
      </c>
      <c r="U192" s="4">
        <f t="shared" si="9"/>
        <v>-0.252013263855992</v>
      </c>
      <c r="V192" s="2">
        <v>15.58</v>
      </c>
      <c r="W192" s="2">
        <v>15.51</v>
      </c>
      <c r="X192" s="3">
        <f t="shared" si="10"/>
        <v>-0.42</v>
      </c>
      <c r="Y192" s="4">
        <f t="shared" si="11"/>
        <v>-0.0270793036750484</v>
      </c>
      <c r="Z192" s="2">
        <v>17.07</v>
      </c>
      <c r="AA192" s="2">
        <v>17.87</v>
      </c>
    </row>
    <row r="193" spans="1:27">
      <c r="A193">
        <v>123164</v>
      </c>
      <c r="B193" t="s">
        <v>417</v>
      </c>
      <c r="C193" s="5">
        <v>44855</v>
      </c>
      <c r="D193">
        <v>370925</v>
      </c>
      <c r="E193">
        <v>300925</v>
      </c>
      <c r="F193" t="s">
        <v>418</v>
      </c>
      <c r="G193">
        <v>0.0014980607</v>
      </c>
      <c r="H193" s="5">
        <v>44879</v>
      </c>
      <c r="I193" t="s">
        <v>39</v>
      </c>
      <c r="J193" s="5">
        <v>44776</v>
      </c>
      <c r="K193" s="8">
        <v>44799</v>
      </c>
      <c r="L193">
        <v>79</v>
      </c>
      <c r="M193" s="2">
        <v>56</v>
      </c>
      <c r="N193" s="2">
        <v>11.3</v>
      </c>
      <c r="O193" s="2">
        <v>11.3</v>
      </c>
      <c r="P193" s="2">
        <v>11.46</v>
      </c>
      <c r="Q193" s="2">
        <v>11.29</v>
      </c>
      <c r="R193" s="2">
        <v>11.25</v>
      </c>
      <c r="S193" s="2">
        <v>11.23</v>
      </c>
      <c r="T193" s="3">
        <f t="shared" si="8"/>
        <v>-0.0599999999999987</v>
      </c>
      <c r="U193" s="4">
        <f t="shared" si="9"/>
        <v>-0.00531443755535861</v>
      </c>
      <c r="V193" s="2">
        <v>10.98</v>
      </c>
      <c r="W193" s="2">
        <v>11.3</v>
      </c>
      <c r="X193" s="3">
        <f t="shared" si="10"/>
        <v>-0.27</v>
      </c>
      <c r="Y193" s="4">
        <f t="shared" si="11"/>
        <v>-0.0238938053097345</v>
      </c>
      <c r="Z193" s="2">
        <v>12.3</v>
      </c>
      <c r="AA193" s="2">
        <v>12.15</v>
      </c>
    </row>
    <row r="194" spans="1:27">
      <c r="A194">
        <v>123163</v>
      </c>
      <c r="B194" t="s">
        <v>419</v>
      </c>
      <c r="C194" s="5">
        <v>44848</v>
      </c>
      <c r="D194">
        <v>370984</v>
      </c>
      <c r="E194">
        <v>300984</v>
      </c>
      <c r="F194" t="s">
        <v>420</v>
      </c>
      <c r="G194">
        <v>0.0006837546</v>
      </c>
      <c r="H194" s="5">
        <v>44872</v>
      </c>
      <c r="I194" t="s">
        <v>110</v>
      </c>
      <c r="J194" s="5">
        <v>44777</v>
      </c>
      <c r="K194" s="8">
        <v>44799</v>
      </c>
      <c r="L194">
        <v>71</v>
      </c>
      <c r="M194" s="2">
        <v>49</v>
      </c>
      <c r="N194" s="2">
        <v>28.21</v>
      </c>
      <c r="O194" s="2">
        <v>28.4</v>
      </c>
      <c r="P194" s="2">
        <v>29.28</v>
      </c>
      <c r="Q194" s="2">
        <v>29.01</v>
      </c>
      <c r="R194" s="2">
        <v>24.11</v>
      </c>
      <c r="S194" s="2">
        <v>25.3</v>
      </c>
      <c r="T194" s="3">
        <f t="shared" si="8"/>
        <v>-3.71</v>
      </c>
      <c r="U194" s="4">
        <f t="shared" si="9"/>
        <v>-0.127886935539469</v>
      </c>
      <c r="V194" s="2">
        <v>24.86</v>
      </c>
      <c r="W194" s="2">
        <v>24.92</v>
      </c>
      <c r="X194" s="3">
        <f t="shared" si="10"/>
        <v>0.75</v>
      </c>
      <c r="Y194" s="4">
        <f t="shared" si="11"/>
        <v>0.0300963081861958</v>
      </c>
      <c r="Z194" s="2">
        <v>23.79</v>
      </c>
      <c r="AA194" s="2">
        <v>23.48</v>
      </c>
    </row>
    <row r="195" spans="1:27">
      <c r="A195">
        <v>123162</v>
      </c>
      <c r="B195" t="s">
        <v>421</v>
      </c>
      <c r="C195" s="5">
        <v>44848</v>
      </c>
      <c r="D195">
        <v>370486</v>
      </c>
      <c r="E195">
        <v>300486</v>
      </c>
      <c r="F195" t="s">
        <v>422</v>
      </c>
      <c r="G195">
        <v>0.0022080868</v>
      </c>
      <c r="H195" s="5">
        <v>44869</v>
      </c>
      <c r="I195" t="s">
        <v>404</v>
      </c>
      <c r="J195" s="5">
        <v>44749</v>
      </c>
      <c r="K195" s="8">
        <v>44792</v>
      </c>
      <c r="L195">
        <v>99</v>
      </c>
      <c r="M195" s="2">
        <v>56</v>
      </c>
      <c r="N195" s="2">
        <v>9.48</v>
      </c>
      <c r="O195" s="2">
        <v>9.6</v>
      </c>
      <c r="P195" s="2">
        <v>10.12</v>
      </c>
      <c r="Q195" s="2">
        <v>9.74</v>
      </c>
      <c r="R195" s="2">
        <v>7.6</v>
      </c>
      <c r="S195" s="2">
        <v>7.84</v>
      </c>
      <c r="T195" s="3">
        <f t="shared" ref="T195:T258" si="12">S195-Q195</f>
        <v>-1.9</v>
      </c>
      <c r="U195" s="4">
        <f t="shared" ref="U195:U258" si="13">T195/Q195</f>
        <v>-0.195071868583162</v>
      </c>
      <c r="V195" s="2">
        <v>7.61</v>
      </c>
      <c r="W195" s="2">
        <v>7.79</v>
      </c>
      <c r="X195" s="3">
        <f t="shared" ref="X195:X258" si="14">V195-R195</f>
        <v>0.0100000000000007</v>
      </c>
      <c r="Y195" s="4">
        <f t="shared" ref="Y195:Y258" si="15">X195/W195</f>
        <v>0.00128369704749688</v>
      </c>
      <c r="Z195" s="2">
        <v>9.17</v>
      </c>
      <c r="AA195" s="2">
        <v>8.92</v>
      </c>
    </row>
    <row r="196" spans="1:27">
      <c r="A196">
        <v>123161</v>
      </c>
      <c r="B196" t="s">
        <v>423</v>
      </c>
      <c r="C196" s="5">
        <v>44845</v>
      </c>
      <c r="D196">
        <v>370850</v>
      </c>
      <c r="E196">
        <v>300850</v>
      </c>
      <c r="F196" t="s">
        <v>424</v>
      </c>
      <c r="G196">
        <v>0.0041980672</v>
      </c>
      <c r="H196" s="5">
        <v>44861</v>
      </c>
      <c r="I196" t="s">
        <v>29</v>
      </c>
      <c r="J196" s="5">
        <v>44784</v>
      </c>
      <c r="K196" s="8">
        <v>44823</v>
      </c>
      <c r="L196">
        <v>61</v>
      </c>
      <c r="M196" s="2">
        <v>22</v>
      </c>
      <c r="N196" s="2">
        <v>90.51</v>
      </c>
      <c r="O196" s="2">
        <v>88.94</v>
      </c>
      <c r="P196" s="2">
        <v>79.14</v>
      </c>
      <c r="Q196" s="2">
        <v>82</v>
      </c>
      <c r="R196" s="2">
        <v>88.1</v>
      </c>
      <c r="S196" s="2">
        <v>82.2</v>
      </c>
      <c r="T196" s="3">
        <f t="shared" si="12"/>
        <v>0.200000000000003</v>
      </c>
      <c r="U196" s="4">
        <f t="shared" si="13"/>
        <v>0.00243902439024394</v>
      </c>
      <c r="V196" s="2">
        <v>81.09</v>
      </c>
      <c r="W196" s="2">
        <v>82.86</v>
      </c>
      <c r="X196" s="3">
        <f t="shared" si="14"/>
        <v>-7.00999999999999</v>
      </c>
      <c r="Y196" s="4">
        <f t="shared" si="15"/>
        <v>-0.0846005310161718</v>
      </c>
      <c r="Z196" s="2">
        <v>80</v>
      </c>
      <c r="AA196" s="2">
        <v>76.55</v>
      </c>
    </row>
    <row r="197" spans="1:27">
      <c r="A197">
        <v>123160</v>
      </c>
      <c r="B197" t="s">
        <v>425</v>
      </c>
      <c r="C197" s="5">
        <v>44832</v>
      </c>
      <c r="D197">
        <v>370992</v>
      </c>
      <c r="E197">
        <v>300992</v>
      </c>
      <c r="F197" t="s">
        <v>426</v>
      </c>
      <c r="G197">
        <v>0.0011807313</v>
      </c>
      <c r="H197" s="5">
        <v>44859</v>
      </c>
      <c r="I197" t="s">
        <v>110</v>
      </c>
      <c r="J197" s="5">
        <v>44749</v>
      </c>
      <c r="K197" s="8">
        <v>44813</v>
      </c>
      <c r="L197">
        <v>83</v>
      </c>
      <c r="M197" s="2">
        <v>19</v>
      </c>
      <c r="N197" s="2">
        <v>20.42</v>
      </c>
      <c r="O197" s="2">
        <v>20.15</v>
      </c>
      <c r="P197" s="2">
        <v>24.08</v>
      </c>
      <c r="Q197" s="2">
        <v>23.64</v>
      </c>
      <c r="R197" s="2">
        <v>25</v>
      </c>
      <c r="S197" s="2">
        <v>25.33</v>
      </c>
      <c r="T197" s="3">
        <f t="shared" si="12"/>
        <v>1.69</v>
      </c>
      <c r="U197" s="4">
        <f t="shared" si="13"/>
        <v>0.0714890016920473</v>
      </c>
      <c r="V197" s="2">
        <v>24.63</v>
      </c>
      <c r="W197" s="2">
        <v>26.35</v>
      </c>
      <c r="X197" s="3">
        <f t="shared" si="14"/>
        <v>-0.370000000000001</v>
      </c>
      <c r="Y197" s="4">
        <f t="shared" si="15"/>
        <v>-0.0140417457305503</v>
      </c>
      <c r="Z197" s="2">
        <v>22.36</v>
      </c>
      <c r="AA197" s="2">
        <v>22.69</v>
      </c>
    </row>
    <row r="198" spans="1:27">
      <c r="A198">
        <v>118021</v>
      </c>
      <c r="B198" t="s">
        <v>427</v>
      </c>
      <c r="C198" s="5">
        <v>44831</v>
      </c>
      <c r="D198">
        <v>718590</v>
      </c>
      <c r="E198">
        <v>688590</v>
      </c>
      <c r="F198" t="s">
        <v>428</v>
      </c>
      <c r="G198">
        <v>0.00210647</v>
      </c>
      <c r="H198" s="5">
        <v>44867</v>
      </c>
      <c r="I198" t="s">
        <v>110</v>
      </c>
      <c r="J198" s="5">
        <v>44732</v>
      </c>
      <c r="K198" s="8">
        <v>44781</v>
      </c>
      <c r="L198">
        <v>99</v>
      </c>
      <c r="M198" s="2">
        <v>50</v>
      </c>
      <c r="N198" s="2">
        <v>14.51</v>
      </c>
      <c r="O198" s="2">
        <v>14.5</v>
      </c>
      <c r="P198" s="2">
        <v>11.61</v>
      </c>
      <c r="Q198" s="2">
        <v>11.34</v>
      </c>
      <c r="R198" s="2">
        <v>10.1</v>
      </c>
      <c r="S198" s="2">
        <v>9.85</v>
      </c>
      <c r="T198" s="3">
        <f t="shared" si="12"/>
        <v>-1.49</v>
      </c>
      <c r="U198" s="4">
        <f t="shared" si="13"/>
        <v>-0.131393298059965</v>
      </c>
      <c r="V198" s="2">
        <v>9.4</v>
      </c>
      <c r="W198" s="2">
        <v>9.36</v>
      </c>
      <c r="X198" s="3">
        <f t="shared" si="14"/>
        <v>-0.699999999999999</v>
      </c>
      <c r="Y198" s="4">
        <f t="shared" si="15"/>
        <v>-0.0747863247863247</v>
      </c>
      <c r="Z198" s="2">
        <v>10.84</v>
      </c>
      <c r="AA198" s="2">
        <v>10.55</v>
      </c>
    </row>
    <row r="199" spans="1:27">
      <c r="A199">
        <v>123159</v>
      </c>
      <c r="B199" t="s">
        <v>429</v>
      </c>
      <c r="C199" s="5">
        <v>44831</v>
      </c>
      <c r="D199">
        <v>371002</v>
      </c>
      <c r="E199">
        <v>301002</v>
      </c>
      <c r="F199" t="s">
        <v>430</v>
      </c>
      <c r="G199">
        <v>0.0009864816</v>
      </c>
      <c r="H199" s="5">
        <v>44858</v>
      </c>
      <c r="I199" t="s">
        <v>44</v>
      </c>
      <c r="J199" s="5">
        <v>44729</v>
      </c>
      <c r="K199" s="8">
        <v>44782</v>
      </c>
      <c r="L199">
        <v>102</v>
      </c>
      <c r="M199" s="2">
        <v>49</v>
      </c>
      <c r="N199" s="2">
        <v>23.13</v>
      </c>
      <c r="O199" s="2">
        <v>23.66</v>
      </c>
      <c r="P199" s="2">
        <v>25.23</v>
      </c>
      <c r="Q199" s="2">
        <v>26.08</v>
      </c>
      <c r="R199" s="2">
        <v>22.19</v>
      </c>
      <c r="S199" s="2">
        <v>21.86</v>
      </c>
      <c r="T199" s="3">
        <f t="shared" si="12"/>
        <v>-4.22</v>
      </c>
      <c r="U199" s="4">
        <f t="shared" si="13"/>
        <v>-0.16180981595092</v>
      </c>
      <c r="V199" s="2">
        <v>21.03</v>
      </c>
      <c r="W199" s="2">
        <v>21.06</v>
      </c>
      <c r="X199" s="3">
        <f t="shared" si="14"/>
        <v>-1.16</v>
      </c>
      <c r="Y199" s="4">
        <f t="shared" si="15"/>
        <v>-0.0550807217473884</v>
      </c>
      <c r="Z199" s="2">
        <v>20.48</v>
      </c>
      <c r="AA199" s="2">
        <v>20.05</v>
      </c>
    </row>
    <row r="200" spans="1:27">
      <c r="A200">
        <v>123158</v>
      </c>
      <c r="B200" t="s">
        <v>431</v>
      </c>
      <c r="C200" s="5">
        <v>44830</v>
      </c>
      <c r="D200">
        <v>370037</v>
      </c>
      <c r="E200">
        <v>300037</v>
      </c>
      <c r="F200" t="s">
        <v>432</v>
      </c>
      <c r="G200">
        <v>0.0055403768</v>
      </c>
      <c r="H200" s="5">
        <v>44855</v>
      </c>
      <c r="I200" t="s">
        <v>29</v>
      </c>
      <c r="J200" s="5">
        <v>44776</v>
      </c>
      <c r="K200" s="8">
        <v>44811</v>
      </c>
      <c r="L200">
        <v>54</v>
      </c>
      <c r="M200" s="2">
        <v>19</v>
      </c>
      <c r="N200" s="2">
        <v>45.67</v>
      </c>
      <c r="O200" s="2">
        <v>45.27</v>
      </c>
      <c r="P200" s="2">
        <v>42.1</v>
      </c>
      <c r="Q200" s="2">
        <v>42.78</v>
      </c>
      <c r="R200" s="2">
        <v>42.03</v>
      </c>
      <c r="S200" s="2">
        <v>42.78</v>
      </c>
      <c r="T200" s="3">
        <f t="shared" si="12"/>
        <v>0</v>
      </c>
      <c r="U200" s="4">
        <f t="shared" si="13"/>
        <v>0</v>
      </c>
      <c r="V200" s="2">
        <v>42.17</v>
      </c>
      <c r="W200" s="2">
        <v>42.15</v>
      </c>
      <c r="X200" s="3">
        <f t="shared" si="14"/>
        <v>0.140000000000001</v>
      </c>
      <c r="Y200" s="4">
        <f t="shared" si="15"/>
        <v>0.00332147093712931</v>
      </c>
      <c r="Z200" s="2">
        <v>44.18</v>
      </c>
      <c r="AA200" s="2">
        <v>44.01</v>
      </c>
    </row>
    <row r="201" spans="1:27">
      <c r="A201">
        <v>123157</v>
      </c>
      <c r="B201" t="s">
        <v>433</v>
      </c>
      <c r="C201" s="5">
        <v>44803</v>
      </c>
      <c r="D201">
        <v>370663</v>
      </c>
      <c r="E201">
        <v>300663</v>
      </c>
      <c r="F201" t="s">
        <v>434</v>
      </c>
      <c r="G201">
        <v>0.0031160271</v>
      </c>
      <c r="H201" s="5">
        <v>44824</v>
      </c>
      <c r="I201" t="s">
        <v>110</v>
      </c>
      <c r="J201" s="5">
        <v>44727</v>
      </c>
      <c r="K201" s="8">
        <v>44783</v>
      </c>
      <c r="L201">
        <v>76</v>
      </c>
      <c r="M201" s="2">
        <v>20</v>
      </c>
      <c r="N201" s="2">
        <v>14.85</v>
      </c>
      <c r="O201" s="2">
        <v>15.23</v>
      </c>
      <c r="P201" s="2">
        <v>15.95</v>
      </c>
      <c r="Q201" s="2">
        <v>15.86</v>
      </c>
      <c r="R201" s="2">
        <v>14.69</v>
      </c>
      <c r="S201" s="2">
        <v>14.92</v>
      </c>
      <c r="T201" s="3">
        <f t="shared" si="12"/>
        <v>-0.94</v>
      </c>
      <c r="U201" s="4">
        <f t="shared" si="13"/>
        <v>-0.0592686002522068</v>
      </c>
      <c r="V201" s="2">
        <v>14.6</v>
      </c>
      <c r="W201" s="2">
        <v>14.55</v>
      </c>
      <c r="X201" s="3">
        <f t="shared" si="14"/>
        <v>-0.0899999999999999</v>
      </c>
      <c r="Y201" s="4">
        <f t="shared" si="15"/>
        <v>-0.00618556701030927</v>
      </c>
      <c r="Z201" s="2">
        <v>13.9</v>
      </c>
      <c r="AA201" s="2">
        <v>13.93</v>
      </c>
    </row>
    <row r="202" spans="1:27">
      <c r="A202">
        <v>123156</v>
      </c>
      <c r="B202" t="s">
        <v>435</v>
      </c>
      <c r="C202" s="5">
        <v>44789</v>
      </c>
      <c r="D202">
        <v>370839</v>
      </c>
      <c r="E202">
        <v>300839</v>
      </c>
      <c r="F202" t="s">
        <v>436</v>
      </c>
      <c r="G202">
        <v>0.0005633815</v>
      </c>
      <c r="H202" s="5">
        <v>44806</v>
      </c>
      <c r="I202" t="s">
        <v>110</v>
      </c>
      <c r="J202" s="5">
        <v>44708</v>
      </c>
      <c r="K202" s="8">
        <v>44771</v>
      </c>
      <c r="L202">
        <v>81</v>
      </c>
      <c r="M202" s="2">
        <v>18</v>
      </c>
      <c r="N202" s="2">
        <v>17.24</v>
      </c>
      <c r="O202" s="2">
        <v>17.66</v>
      </c>
      <c r="P202" s="2">
        <v>14.14</v>
      </c>
      <c r="Q202" s="2">
        <v>14.24</v>
      </c>
      <c r="R202" s="2">
        <v>15.34</v>
      </c>
      <c r="S202" s="2">
        <v>15.25</v>
      </c>
      <c r="T202" s="3">
        <f t="shared" si="12"/>
        <v>1.01</v>
      </c>
      <c r="U202" s="4">
        <f t="shared" si="13"/>
        <v>0.0709269662921348</v>
      </c>
      <c r="V202" s="2">
        <v>14.01</v>
      </c>
      <c r="W202" s="2">
        <v>14.46</v>
      </c>
      <c r="X202" s="3">
        <f t="shared" si="14"/>
        <v>-1.33</v>
      </c>
      <c r="Y202" s="4">
        <f t="shared" si="15"/>
        <v>-0.0919778699861687</v>
      </c>
      <c r="Z202" s="2">
        <v>13.71</v>
      </c>
      <c r="AA202" s="2">
        <v>13.99</v>
      </c>
    </row>
    <row r="203" spans="1:27">
      <c r="A203">
        <v>123155</v>
      </c>
      <c r="B203" t="s">
        <v>437</v>
      </c>
      <c r="C203" s="5">
        <v>44785</v>
      </c>
      <c r="D203">
        <v>371040</v>
      </c>
      <c r="E203">
        <v>301040</v>
      </c>
      <c r="F203" t="s">
        <v>438</v>
      </c>
      <c r="G203">
        <v>0.0007387851</v>
      </c>
      <c r="H203" s="5">
        <v>44804</v>
      </c>
      <c r="I203" t="s">
        <v>39</v>
      </c>
      <c r="J203" s="5">
        <v>44736</v>
      </c>
      <c r="K203" s="8">
        <v>44762</v>
      </c>
      <c r="L203">
        <v>49</v>
      </c>
      <c r="M203" s="2">
        <v>23</v>
      </c>
      <c r="N203" s="2">
        <v>30.56</v>
      </c>
      <c r="O203" s="2">
        <v>31.38</v>
      </c>
      <c r="P203" s="2">
        <v>34.29</v>
      </c>
      <c r="Q203" s="2">
        <v>35.07</v>
      </c>
      <c r="R203" s="2">
        <v>30.5</v>
      </c>
      <c r="S203" s="2">
        <v>30.98</v>
      </c>
      <c r="T203" s="3">
        <f t="shared" si="12"/>
        <v>-4.09</v>
      </c>
      <c r="U203" s="4">
        <f t="shared" si="13"/>
        <v>-0.116623895067009</v>
      </c>
      <c r="V203" s="2">
        <v>29.22</v>
      </c>
      <c r="W203" s="2">
        <v>28.96</v>
      </c>
      <c r="X203" s="3">
        <f t="shared" si="14"/>
        <v>-1.28</v>
      </c>
      <c r="Y203" s="4">
        <f t="shared" si="15"/>
        <v>-0.0441988950276243</v>
      </c>
      <c r="Z203" s="2">
        <v>24</v>
      </c>
      <c r="AA203" s="2">
        <v>22.84</v>
      </c>
    </row>
    <row r="204" spans="1:27">
      <c r="A204">
        <v>118017</v>
      </c>
      <c r="B204" t="s">
        <v>439</v>
      </c>
      <c r="C204" s="5">
        <v>44781</v>
      </c>
      <c r="D204">
        <v>718328</v>
      </c>
      <c r="E204">
        <v>688328</v>
      </c>
      <c r="F204" t="s">
        <v>440</v>
      </c>
      <c r="G204">
        <v>0.0007305</v>
      </c>
      <c r="H204" s="5">
        <v>44802</v>
      </c>
      <c r="I204" t="s">
        <v>39</v>
      </c>
      <c r="J204" s="5">
        <v>44694</v>
      </c>
      <c r="K204" s="8">
        <v>44733</v>
      </c>
      <c r="L204">
        <v>87</v>
      </c>
      <c r="M204" s="2">
        <v>48</v>
      </c>
      <c r="N204" s="2">
        <v>20.5</v>
      </c>
      <c r="O204" s="2">
        <v>20.44</v>
      </c>
      <c r="P204" s="2">
        <v>24.67</v>
      </c>
      <c r="Q204" s="2">
        <v>24.78</v>
      </c>
      <c r="R204" s="2">
        <v>26</v>
      </c>
      <c r="S204" s="2">
        <v>27.95</v>
      </c>
      <c r="T204" s="3">
        <f t="shared" si="12"/>
        <v>3.17</v>
      </c>
      <c r="U204" s="4">
        <f t="shared" si="13"/>
        <v>0.127925746569814</v>
      </c>
      <c r="V204" s="2">
        <v>28.3</v>
      </c>
      <c r="W204" s="2">
        <v>33.54</v>
      </c>
      <c r="X204" s="3">
        <f t="shared" si="14"/>
        <v>2.3</v>
      </c>
      <c r="Y204" s="4">
        <f t="shared" si="15"/>
        <v>0.0685748360166965</v>
      </c>
      <c r="Z204" s="2">
        <v>27.03</v>
      </c>
      <c r="AA204" s="2">
        <v>27.56</v>
      </c>
    </row>
    <row r="205" spans="1:27">
      <c r="A205">
        <v>118016</v>
      </c>
      <c r="B205" t="s">
        <v>441</v>
      </c>
      <c r="C205" s="5">
        <v>44778</v>
      </c>
      <c r="D205">
        <v>718096</v>
      </c>
      <c r="E205">
        <v>688096</v>
      </c>
      <c r="F205" t="s">
        <v>442</v>
      </c>
      <c r="G205">
        <v>0.00085802</v>
      </c>
      <c r="H205" s="5">
        <v>44798</v>
      </c>
      <c r="I205" t="s">
        <v>110</v>
      </c>
      <c r="J205" s="5">
        <v>44553</v>
      </c>
      <c r="K205" s="8">
        <v>44637</v>
      </c>
      <c r="L205">
        <v>225</v>
      </c>
      <c r="M205" s="2">
        <v>141</v>
      </c>
      <c r="N205" s="2">
        <v>14.5</v>
      </c>
      <c r="O205" s="2">
        <v>14.22</v>
      </c>
      <c r="P205" s="2">
        <v>13.77</v>
      </c>
      <c r="Q205" s="2">
        <v>13.75</v>
      </c>
      <c r="R205" s="2">
        <v>14.58</v>
      </c>
      <c r="S205" s="2">
        <v>14.24</v>
      </c>
      <c r="T205" s="3">
        <f t="shared" si="12"/>
        <v>0.49</v>
      </c>
      <c r="U205" s="4">
        <f t="shared" si="13"/>
        <v>0.0356363636363637</v>
      </c>
      <c r="V205" s="2">
        <v>13.11</v>
      </c>
      <c r="W205" s="2">
        <v>12.79</v>
      </c>
      <c r="X205" s="3">
        <f t="shared" si="14"/>
        <v>-1.47</v>
      </c>
      <c r="Y205" s="4">
        <f t="shared" si="15"/>
        <v>-0.114933541829554</v>
      </c>
      <c r="Z205" s="2">
        <v>12.9</v>
      </c>
      <c r="AA205" s="2">
        <v>12.7</v>
      </c>
    </row>
    <row r="206" spans="1:27">
      <c r="A206">
        <v>118015</v>
      </c>
      <c r="B206" t="s">
        <v>443</v>
      </c>
      <c r="C206" s="5">
        <v>44763</v>
      </c>
      <c r="D206">
        <v>718595</v>
      </c>
      <c r="E206">
        <v>688595</v>
      </c>
      <c r="F206" t="s">
        <v>444</v>
      </c>
      <c r="G206">
        <v>0.00121976</v>
      </c>
      <c r="H206" s="5">
        <v>44791</v>
      </c>
      <c r="I206" t="s">
        <v>39</v>
      </c>
      <c r="J206" s="5">
        <v>44557</v>
      </c>
      <c r="K206" s="8">
        <v>44637</v>
      </c>
      <c r="L206">
        <v>206</v>
      </c>
      <c r="M206" s="2">
        <v>126</v>
      </c>
      <c r="N206" s="2">
        <v>125.99</v>
      </c>
      <c r="O206" s="2">
        <v>120.9</v>
      </c>
      <c r="P206" s="2">
        <v>85.95</v>
      </c>
      <c r="Q206" s="2">
        <v>88.68</v>
      </c>
      <c r="R206" s="2">
        <v>54.94</v>
      </c>
      <c r="S206" s="2">
        <v>53.99</v>
      </c>
      <c r="T206" s="3">
        <f t="shared" si="12"/>
        <v>-34.69</v>
      </c>
      <c r="U206" s="4">
        <f t="shared" si="13"/>
        <v>-0.391181777176364</v>
      </c>
      <c r="V206" s="2">
        <v>53</v>
      </c>
      <c r="W206" s="2">
        <v>53.95</v>
      </c>
      <c r="X206" s="3">
        <f t="shared" si="14"/>
        <v>-1.94</v>
      </c>
      <c r="Y206" s="4">
        <f t="shared" si="15"/>
        <v>-0.0359592215013901</v>
      </c>
      <c r="Z206" s="2">
        <v>55.13</v>
      </c>
      <c r="AA206" s="2">
        <v>56.52</v>
      </c>
    </row>
    <row r="207" spans="1:27">
      <c r="A207">
        <v>123153</v>
      </c>
      <c r="B207" t="s">
        <v>445</v>
      </c>
      <c r="C207" s="5">
        <v>44763</v>
      </c>
      <c r="D207">
        <v>370956</v>
      </c>
      <c r="E207">
        <v>300956</v>
      </c>
      <c r="F207" t="s">
        <v>446</v>
      </c>
      <c r="G207">
        <v>0.0004921466</v>
      </c>
      <c r="H207" s="5">
        <v>44784</v>
      </c>
      <c r="I207" t="s">
        <v>39</v>
      </c>
      <c r="J207" s="5">
        <v>44587</v>
      </c>
      <c r="K207" s="8">
        <v>44693</v>
      </c>
      <c r="L207">
        <v>176</v>
      </c>
      <c r="M207" s="2">
        <v>70</v>
      </c>
      <c r="N207" s="2">
        <v>19.31</v>
      </c>
      <c r="O207" s="2">
        <v>19.55</v>
      </c>
      <c r="P207" s="2">
        <v>16.42</v>
      </c>
      <c r="Q207" s="2">
        <v>17.28</v>
      </c>
      <c r="R207" s="2">
        <v>19.9</v>
      </c>
      <c r="S207" s="2">
        <v>20.17</v>
      </c>
      <c r="T207" s="3">
        <f t="shared" si="12"/>
        <v>2.89</v>
      </c>
      <c r="U207" s="4">
        <f t="shared" si="13"/>
        <v>0.16724537037037</v>
      </c>
      <c r="V207" s="2">
        <v>18.75</v>
      </c>
      <c r="W207" s="2">
        <v>18.6</v>
      </c>
      <c r="X207" s="3">
        <f t="shared" si="14"/>
        <v>-1.15</v>
      </c>
      <c r="Y207" s="4">
        <f t="shared" si="15"/>
        <v>-0.0618279569892472</v>
      </c>
      <c r="Z207" s="2">
        <v>18.11</v>
      </c>
      <c r="AA207" s="2">
        <v>18.2</v>
      </c>
    </row>
    <row r="208" spans="1:27">
      <c r="A208">
        <v>123152</v>
      </c>
      <c r="B208" t="s">
        <v>447</v>
      </c>
      <c r="C208" s="5">
        <v>44763</v>
      </c>
      <c r="D208">
        <v>370727</v>
      </c>
      <c r="E208">
        <v>300727</v>
      </c>
      <c r="F208" t="s">
        <v>448</v>
      </c>
      <c r="G208">
        <v>0.000613369</v>
      </c>
      <c r="H208" s="5">
        <v>44784</v>
      </c>
      <c r="I208" t="s">
        <v>39</v>
      </c>
      <c r="J208" s="5">
        <v>44645</v>
      </c>
      <c r="K208" s="8">
        <v>44734</v>
      </c>
      <c r="L208">
        <v>118</v>
      </c>
      <c r="M208" s="2">
        <v>29</v>
      </c>
      <c r="N208" s="2">
        <v>25.44</v>
      </c>
      <c r="O208" s="2">
        <v>25.02</v>
      </c>
      <c r="P208" s="2">
        <v>28.6</v>
      </c>
      <c r="Q208" s="2">
        <v>28.54</v>
      </c>
      <c r="R208" s="2">
        <v>31</v>
      </c>
      <c r="S208" s="2">
        <v>30.88</v>
      </c>
      <c r="T208" s="3">
        <f t="shared" si="12"/>
        <v>2.34</v>
      </c>
      <c r="U208" s="4">
        <f t="shared" si="13"/>
        <v>0.0819901892081289</v>
      </c>
      <c r="V208" s="2">
        <v>29.12</v>
      </c>
      <c r="W208" s="2">
        <v>28.82</v>
      </c>
      <c r="X208" s="3">
        <f t="shared" si="14"/>
        <v>-1.88</v>
      </c>
      <c r="Y208" s="4">
        <f t="shared" si="15"/>
        <v>-0.0652324774462179</v>
      </c>
      <c r="Z208" s="2">
        <v>41.98</v>
      </c>
      <c r="AA208" s="2">
        <v>45.8</v>
      </c>
    </row>
    <row r="209" spans="1:27">
      <c r="A209">
        <v>118013</v>
      </c>
      <c r="B209" t="s">
        <v>449</v>
      </c>
      <c r="C209" s="5">
        <v>44750</v>
      </c>
      <c r="D209">
        <v>718208</v>
      </c>
      <c r="E209">
        <v>688208</v>
      </c>
      <c r="F209" t="s">
        <v>450</v>
      </c>
      <c r="G209">
        <v>0.0036183</v>
      </c>
      <c r="H209" s="5">
        <v>44770</v>
      </c>
      <c r="I209" t="s">
        <v>29</v>
      </c>
      <c r="J209" s="5">
        <v>44653</v>
      </c>
      <c r="K209" s="8">
        <v>44720</v>
      </c>
      <c r="L209">
        <v>97</v>
      </c>
      <c r="M209" s="2">
        <v>30</v>
      </c>
      <c r="N209" s="2">
        <v>38.52</v>
      </c>
      <c r="O209" s="2">
        <v>37.55</v>
      </c>
      <c r="P209" s="2">
        <v>38.3</v>
      </c>
      <c r="Q209" s="2">
        <v>36.6</v>
      </c>
      <c r="R209" s="2">
        <v>32.03</v>
      </c>
      <c r="S209" s="2">
        <v>32.32</v>
      </c>
      <c r="T209" s="3">
        <f t="shared" si="12"/>
        <v>-4.28</v>
      </c>
      <c r="U209" s="4">
        <f t="shared" si="13"/>
        <v>-0.116939890710383</v>
      </c>
      <c r="V209" s="2">
        <v>31.98</v>
      </c>
      <c r="W209" s="2">
        <v>31.39</v>
      </c>
      <c r="X209" s="3">
        <f t="shared" si="14"/>
        <v>-0.0500000000000007</v>
      </c>
      <c r="Y209" s="4">
        <f t="shared" si="15"/>
        <v>-0.00159286396941703</v>
      </c>
      <c r="Z209" s="2">
        <v>33.2</v>
      </c>
      <c r="AA209" s="2">
        <v>35.1</v>
      </c>
    </row>
    <row r="210" spans="1:27">
      <c r="A210">
        <v>118012</v>
      </c>
      <c r="B210" t="s">
        <v>451</v>
      </c>
      <c r="C210" s="5">
        <v>44747</v>
      </c>
      <c r="D210">
        <v>718321</v>
      </c>
      <c r="E210">
        <v>688321</v>
      </c>
      <c r="F210" t="s">
        <v>452</v>
      </c>
      <c r="G210">
        <v>0.00190876</v>
      </c>
      <c r="H210" s="5">
        <v>44770</v>
      </c>
      <c r="I210" t="s">
        <v>39</v>
      </c>
      <c r="J210" s="5">
        <v>44610</v>
      </c>
      <c r="K210" s="8">
        <v>44733</v>
      </c>
      <c r="L210">
        <v>137</v>
      </c>
      <c r="M210" s="2">
        <v>14</v>
      </c>
      <c r="N210" s="2">
        <v>29.35</v>
      </c>
      <c r="O210" s="2">
        <v>29.82</v>
      </c>
      <c r="P210" s="2">
        <v>24.98</v>
      </c>
      <c r="Q210" s="2">
        <v>24.88</v>
      </c>
      <c r="R210" s="2">
        <v>25.56</v>
      </c>
      <c r="S210" s="2">
        <v>26.78</v>
      </c>
      <c r="T210" s="3">
        <f t="shared" si="12"/>
        <v>1.9</v>
      </c>
      <c r="U210" s="4">
        <f t="shared" si="13"/>
        <v>0.0763665594855306</v>
      </c>
      <c r="V210" s="2">
        <v>26.3</v>
      </c>
      <c r="W210" s="2">
        <v>25.94</v>
      </c>
      <c r="X210" s="3">
        <f t="shared" si="14"/>
        <v>0.740000000000002</v>
      </c>
      <c r="Y210" s="4">
        <f t="shared" si="15"/>
        <v>0.0285273708558212</v>
      </c>
      <c r="Z210" s="2">
        <v>25.05</v>
      </c>
      <c r="AA210" s="2">
        <v>25.27</v>
      </c>
    </row>
    <row r="211" spans="1:27">
      <c r="A211">
        <v>118011</v>
      </c>
      <c r="B211" t="s">
        <v>453</v>
      </c>
      <c r="C211" s="5">
        <v>44746</v>
      </c>
      <c r="D211">
        <v>718689</v>
      </c>
      <c r="E211">
        <v>688689</v>
      </c>
      <c r="F211" t="s">
        <v>454</v>
      </c>
      <c r="G211">
        <v>0.00186904</v>
      </c>
      <c r="H211" s="5">
        <v>44775</v>
      </c>
      <c r="I211" t="s">
        <v>39</v>
      </c>
      <c r="J211" s="5">
        <v>44692</v>
      </c>
      <c r="K211" s="8">
        <v>44723</v>
      </c>
      <c r="L211">
        <v>54</v>
      </c>
      <c r="M211" s="2">
        <v>23</v>
      </c>
      <c r="N211" s="2">
        <v>25.88</v>
      </c>
      <c r="O211" s="2">
        <v>26.56</v>
      </c>
      <c r="P211" s="2">
        <v>29</v>
      </c>
      <c r="Q211" s="2">
        <v>30.03</v>
      </c>
      <c r="R211" s="2">
        <v>32.45</v>
      </c>
      <c r="S211" s="2">
        <v>31.78</v>
      </c>
      <c r="T211" s="3">
        <f t="shared" si="12"/>
        <v>1.75</v>
      </c>
      <c r="U211" s="4">
        <f t="shared" si="13"/>
        <v>0.0582750582750583</v>
      </c>
      <c r="V211" s="2">
        <v>30.6</v>
      </c>
      <c r="W211" s="2">
        <v>29.67</v>
      </c>
      <c r="X211" s="3">
        <f t="shared" si="14"/>
        <v>-1.85</v>
      </c>
      <c r="Y211" s="4">
        <f t="shared" si="15"/>
        <v>-0.0623525446579037</v>
      </c>
      <c r="Z211" s="2">
        <v>30.03</v>
      </c>
      <c r="AA211" s="2">
        <v>29.22</v>
      </c>
    </row>
    <row r="212" spans="1:27">
      <c r="A212">
        <v>123151</v>
      </c>
      <c r="B212" t="s">
        <v>455</v>
      </c>
      <c r="C212" s="5">
        <v>44743</v>
      </c>
      <c r="D212">
        <v>370869</v>
      </c>
      <c r="E212">
        <v>300869</v>
      </c>
      <c r="F212" t="s">
        <v>456</v>
      </c>
      <c r="G212">
        <v>0.0022130983</v>
      </c>
      <c r="H212" s="5">
        <v>44762</v>
      </c>
      <c r="I212" t="s">
        <v>39</v>
      </c>
      <c r="J212" s="5">
        <v>44582</v>
      </c>
      <c r="K212" s="8">
        <v>44701</v>
      </c>
      <c r="L212">
        <v>161</v>
      </c>
      <c r="M212" s="2">
        <v>42</v>
      </c>
      <c r="N212" s="2">
        <v>39</v>
      </c>
      <c r="O212" s="2">
        <v>35.29</v>
      </c>
      <c r="P212" s="2">
        <v>27.1</v>
      </c>
      <c r="Q212" s="2">
        <v>27.79</v>
      </c>
      <c r="R212" s="2">
        <v>28.03</v>
      </c>
      <c r="S212" s="2">
        <v>28.26</v>
      </c>
      <c r="T212" s="3">
        <f t="shared" si="12"/>
        <v>0.470000000000002</v>
      </c>
      <c r="U212" s="4">
        <f t="shared" si="13"/>
        <v>0.0169125584742714</v>
      </c>
      <c r="V212" s="2">
        <v>28.06</v>
      </c>
      <c r="W212" s="2">
        <v>27.58</v>
      </c>
      <c r="X212" s="3">
        <f t="shared" si="14"/>
        <v>0.0299999999999976</v>
      </c>
      <c r="Y212" s="4">
        <f t="shared" si="15"/>
        <v>0.00108774474256699</v>
      </c>
      <c r="Z212" s="2">
        <v>27.68</v>
      </c>
      <c r="AA212" s="2">
        <v>28.01</v>
      </c>
    </row>
    <row r="213" spans="1:27">
      <c r="A213">
        <v>123150</v>
      </c>
      <c r="B213" t="s">
        <v>457</v>
      </c>
      <c r="C213" s="5">
        <v>44742</v>
      </c>
      <c r="D213">
        <v>370406</v>
      </c>
      <c r="E213">
        <v>300406</v>
      </c>
      <c r="F213" t="s">
        <v>458</v>
      </c>
      <c r="G213">
        <v>0.0033260952</v>
      </c>
      <c r="H213" s="5">
        <v>44762</v>
      </c>
      <c r="I213" t="s">
        <v>44</v>
      </c>
      <c r="J213" s="5">
        <v>44641</v>
      </c>
      <c r="K213" s="8">
        <v>44719</v>
      </c>
      <c r="L213">
        <v>101</v>
      </c>
      <c r="M213" s="2">
        <v>23</v>
      </c>
      <c r="N213" s="2">
        <v>19.16</v>
      </c>
      <c r="O213" s="2">
        <v>18.86</v>
      </c>
      <c r="P213" s="2">
        <v>16.88</v>
      </c>
      <c r="Q213" s="2">
        <v>16.73</v>
      </c>
      <c r="R213" s="2">
        <v>18.15</v>
      </c>
      <c r="S213" s="2">
        <v>17.55</v>
      </c>
      <c r="T213" s="3">
        <f t="shared" si="12"/>
        <v>0.82</v>
      </c>
      <c r="U213" s="4">
        <f t="shared" si="13"/>
        <v>0.0490137477585176</v>
      </c>
      <c r="V213" s="2">
        <v>17.45</v>
      </c>
      <c r="W213" s="2">
        <v>17.29</v>
      </c>
      <c r="X213" s="3">
        <f t="shared" si="14"/>
        <v>-0.699999999999999</v>
      </c>
      <c r="Y213" s="4">
        <f t="shared" si="15"/>
        <v>-0.0404858299595141</v>
      </c>
      <c r="Z213" s="2">
        <v>17.53</v>
      </c>
      <c r="AA213" s="2">
        <v>18.51</v>
      </c>
    </row>
    <row r="214" spans="1:27">
      <c r="A214">
        <v>118010</v>
      </c>
      <c r="B214" t="s">
        <v>459</v>
      </c>
      <c r="C214" s="5">
        <v>44740</v>
      </c>
      <c r="D214">
        <v>718026</v>
      </c>
      <c r="E214">
        <v>688026</v>
      </c>
      <c r="F214" t="s">
        <v>460</v>
      </c>
      <c r="G214">
        <v>0.00128853</v>
      </c>
      <c r="H214" s="5">
        <v>44775</v>
      </c>
      <c r="I214" t="s">
        <v>39</v>
      </c>
      <c r="J214" s="5">
        <v>44588</v>
      </c>
      <c r="K214" s="8">
        <v>44631</v>
      </c>
      <c r="L214">
        <v>152</v>
      </c>
      <c r="M214" s="2">
        <v>109</v>
      </c>
      <c r="N214" s="2">
        <v>70</v>
      </c>
      <c r="O214" s="2">
        <v>70.3</v>
      </c>
      <c r="P214" s="2">
        <v>71.4</v>
      </c>
      <c r="Q214" s="2">
        <v>71.6</v>
      </c>
      <c r="R214" s="2">
        <v>50.56</v>
      </c>
      <c r="S214" s="2">
        <v>52.36</v>
      </c>
      <c r="T214" s="3">
        <f t="shared" si="12"/>
        <v>-19.24</v>
      </c>
      <c r="U214" s="4">
        <f t="shared" si="13"/>
        <v>-0.268715083798883</v>
      </c>
      <c r="V214" s="2">
        <v>49.24</v>
      </c>
      <c r="W214" s="2">
        <v>48.86</v>
      </c>
      <c r="X214" s="3">
        <f t="shared" si="14"/>
        <v>-1.32</v>
      </c>
      <c r="Y214" s="4">
        <f t="shared" si="15"/>
        <v>-0.0270159639787147</v>
      </c>
      <c r="Z214" s="2">
        <v>43.39</v>
      </c>
      <c r="AA214" s="2">
        <v>40.58</v>
      </c>
    </row>
    <row r="215" spans="1:27">
      <c r="A215">
        <v>118009</v>
      </c>
      <c r="B215" t="s">
        <v>461</v>
      </c>
      <c r="C215" s="5">
        <v>44736</v>
      </c>
      <c r="D215">
        <v>718059</v>
      </c>
      <c r="E215">
        <v>688059</v>
      </c>
      <c r="F215" t="s">
        <v>462</v>
      </c>
      <c r="G215">
        <v>0.00097933</v>
      </c>
      <c r="H215" s="5">
        <v>44763</v>
      </c>
      <c r="I215" t="s">
        <v>39</v>
      </c>
      <c r="J215" s="5">
        <v>44615</v>
      </c>
      <c r="K215" s="8">
        <v>44720</v>
      </c>
      <c r="L215">
        <v>121</v>
      </c>
      <c r="M215" s="2">
        <v>16</v>
      </c>
      <c r="N215" s="2">
        <v>132.9</v>
      </c>
      <c r="O215" s="2">
        <v>137.61</v>
      </c>
      <c r="P215" s="2">
        <v>132.33</v>
      </c>
      <c r="Q215" s="2">
        <v>133.6</v>
      </c>
      <c r="R215" s="2">
        <v>129.81</v>
      </c>
      <c r="S215" s="2">
        <v>136.5</v>
      </c>
      <c r="T215" s="3">
        <f t="shared" si="12"/>
        <v>2.90000000000001</v>
      </c>
      <c r="U215" s="4">
        <f t="shared" si="13"/>
        <v>0.0217065868263473</v>
      </c>
      <c r="V215" s="2">
        <v>132.89</v>
      </c>
      <c r="W215" s="2">
        <v>138.76</v>
      </c>
      <c r="X215" s="3">
        <f t="shared" si="14"/>
        <v>3.07999999999998</v>
      </c>
      <c r="Y215" s="4">
        <f t="shared" si="15"/>
        <v>0.0221965984433553</v>
      </c>
      <c r="Z215" s="2">
        <v>136.6</v>
      </c>
      <c r="AA215" s="2">
        <v>136.09</v>
      </c>
    </row>
    <row r="216" spans="1:27">
      <c r="A216">
        <v>118008</v>
      </c>
      <c r="B216" t="s">
        <v>463</v>
      </c>
      <c r="C216" s="5">
        <v>44735</v>
      </c>
      <c r="D216">
        <v>718680</v>
      </c>
      <c r="E216">
        <v>688680</v>
      </c>
      <c r="F216" t="s">
        <v>464</v>
      </c>
      <c r="G216">
        <v>0.00217149</v>
      </c>
      <c r="H216" s="5">
        <v>44763</v>
      </c>
      <c r="I216" t="s">
        <v>110</v>
      </c>
      <c r="J216" s="5">
        <v>44644</v>
      </c>
      <c r="K216" s="8">
        <v>44722</v>
      </c>
      <c r="L216">
        <v>91</v>
      </c>
      <c r="M216" s="2">
        <v>13</v>
      </c>
      <c r="N216" s="2">
        <v>213.48</v>
      </c>
      <c r="O216" s="2">
        <v>210.77</v>
      </c>
      <c r="P216" s="2">
        <v>215.68</v>
      </c>
      <c r="Q216" s="2">
        <v>218</v>
      </c>
      <c r="R216" s="2">
        <v>209.86</v>
      </c>
      <c r="S216" s="2">
        <v>209.95</v>
      </c>
      <c r="T216" s="3">
        <f t="shared" si="12"/>
        <v>-8.05000000000001</v>
      </c>
      <c r="U216" s="4">
        <f t="shared" si="13"/>
        <v>-0.0369266055045872</v>
      </c>
      <c r="V216" s="2">
        <v>210.58</v>
      </c>
      <c r="W216" s="2">
        <v>209.1</v>
      </c>
      <c r="X216" s="3">
        <f t="shared" si="14"/>
        <v>0.719999999999999</v>
      </c>
      <c r="Y216" s="4">
        <f t="shared" si="15"/>
        <v>0.00344332855093256</v>
      </c>
      <c r="Z216" s="2">
        <v>215</v>
      </c>
      <c r="AA216" s="2">
        <v>214.17</v>
      </c>
    </row>
    <row r="217" spans="1:27">
      <c r="A217">
        <v>123149</v>
      </c>
      <c r="B217" t="s">
        <v>465</v>
      </c>
      <c r="C217" s="5">
        <v>44732</v>
      </c>
      <c r="D217">
        <v>370185</v>
      </c>
      <c r="E217">
        <v>300185</v>
      </c>
      <c r="F217" t="s">
        <v>466</v>
      </c>
      <c r="G217">
        <v>0.004226389</v>
      </c>
      <c r="H217" s="5">
        <v>44757</v>
      </c>
      <c r="I217" t="s">
        <v>29</v>
      </c>
      <c r="J217" s="5">
        <v>44631</v>
      </c>
      <c r="K217" s="8">
        <v>44700</v>
      </c>
      <c r="L217">
        <v>101</v>
      </c>
      <c r="M217" s="2">
        <v>32</v>
      </c>
      <c r="N217" s="2">
        <v>3.05</v>
      </c>
      <c r="O217" s="2">
        <v>3.08</v>
      </c>
      <c r="P217" s="2">
        <v>2.54</v>
      </c>
      <c r="Q217" s="2">
        <v>2.65</v>
      </c>
      <c r="R217" s="2">
        <v>2.84</v>
      </c>
      <c r="S217" s="2">
        <v>2.91</v>
      </c>
      <c r="T217" s="3">
        <f t="shared" si="12"/>
        <v>0.26</v>
      </c>
      <c r="U217" s="4">
        <f t="shared" si="13"/>
        <v>0.0981132075471699</v>
      </c>
      <c r="V217" s="2">
        <v>2.85</v>
      </c>
      <c r="W217" s="2">
        <v>2.95</v>
      </c>
      <c r="X217" s="3">
        <f t="shared" si="14"/>
        <v>0.0100000000000002</v>
      </c>
      <c r="Y217" s="4">
        <f t="shared" si="15"/>
        <v>0.00338983050847465</v>
      </c>
      <c r="Z217" s="2">
        <v>3.07</v>
      </c>
      <c r="AA217" s="2">
        <v>3.12</v>
      </c>
    </row>
    <row r="218" spans="1:27">
      <c r="A218">
        <v>123148</v>
      </c>
      <c r="B218" t="s">
        <v>467</v>
      </c>
      <c r="C218" s="5">
        <v>44726</v>
      </c>
      <c r="D218">
        <v>370827</v>
      </c>
      <c r="E218">
        <v>300827</v>
      </c>
      <c r="F218" t="s">
        <v>468</v>
      </c>
      <c r="G218">
        <v>0.0014433022</v>
      </c>
      <c r="H218" s="5">
        <v>44743</v>
      </c>
      <c r="I218" t="s">
        <v>39</v>
      </c>
      <c r="J218" s="5">
        <v>44645</v>
      </c>
      <c r="K218" s="8">
        <v>44694</v>
      </c>
      <c r="L218">
        <v>81</v>
      </c>
      <c r="M218" s="2">
        <v>32</v>
      </c>
      <c r="N218" s="2">
        <v>68.56</v>
      </c>
      <c r="O218" s="2">
        <v>67.6</v>
      </c>
      <c r="P218" s="2">
        <v>57.88</v>
      </c>
      <c r="Q218" s="2">
        <v>57.03</v>
      </c>
      <c r="R218" s="2">
        <v>44</v>
      </c>
      <c r="S218" s="2">
        <v>46.53</v>
      </c>
      <c r="T218" s="3">
        <f t="shared" si="12"/>
        <v>-10.5</v>
      </c>
      <c r="U218" s="4">
        <f t="shared" si="13"/>
        <v>-0.184113624408206</v>
      </c>
      <c r="V218" s="2">
        <v>44.47</v>
      </c>
      <c r="W218" s="2">
        <v>47</v>
      </c>
      <c r="X218" s="3">
        <f t="shared" si="14"/>
        <v>0.469999999999999</v>
      </c>
      <c r="Y218" s="4">
        <f t="shared" si="15"/>
        <v>0.00999999999999998</v>
      </c>
      <c r="Z218" s="2">
        <v>51.59</v>
      </c>
      <c r="AA218" s="2">
        <v>49.9</v>
      </c>
    </row>
    <row r="219" spans="1:27">
      <c r="A219">
        <v>123147</v>
      </c>
      <c r="B219" t="s">
        <v>469</v>
      </c>
      <c r="C219" s="5">
        <v>44712</v>
      </c>
      <c r="D219">
        <v>370933</v>
      </c>
      <c r="E219">
        <v>300933</v>
      </c>
      <c r="F219" t="s">
        <v>470</v>
      </c>
      <c r="G219">
        <v>0.0012720896</v>
      </c>
      <c r="H219" s="5">
        <v>44733</v>
      </c>
      <c r="I219" t="s">
        <v>44</v>
      </c>
      <c r="J219" s="5">
        <v>44555</v>
      </c>
      <c r="K219" s="8">
        <v>44670</v>
      </c>
      <c r="L219">
        <v>157</v>
      </c>
      <c r="M219" s="2">
        <v>42</v>
      </c>
      <c r="N219" s="2">
        <v>12.24</v>
      </c>
      <c r="O219" s="2">
        <v>12.42</v>
      </c>
      <c r="P219" s="2">
        <v>7.89</v>
      </c>
      <c r="Q219" s="2">
        <v>7.97</v>
      </c>
      <c r="R219" s="2">
        <v>8.06</v>
      </c>
      <c r="S219" s="2">
        <v>8.4</v>
      </c>
      <c r="T219" s="3">
        <f t="shared" si="12"/>
        <v>0.430000000000001</v>
      </c>
      <c r="U219" s="4">
        <f t="shared" si="13"/>
        <v>0.053952321204517</v>
      </c>
      <c r="V219" s="2">
        <v>7.92</v>
      </c>
      <c r="W219" s="2">
        <v>7.99</v>
      </c>
      <c r="X219" s="3">
        <f t="shared" si="14"/>
        <v>-0.140000000000001</v>
      </c>
      <c r="Y219" s="4">
        <f t="shared" si="15"/>
        <v>-0.0175219023779725</v>
      </c>
      <c r="Z219" s="2">
        <v>8.3</v>
      </c>
      <c r="AA219" s="2">
        <v>8.06</v>
      </c>
    </row>
    <row r="220" spans="1:27">
      <c r="A220">
        <v>123146</v>
      </c>
      <c r="B220" t="s">
        <v>471</v>
      </c>
      <c r="C220" s="5">
        <v>44687</v>
      </c>
      <c r="D220">
        <v>370692</v>
      </c>
      <c r="E220">
        <v>300692</v>
      </c>
      <c r="F220" t="s">
        <v>472</v>
      </c>
      <c r="G220">
        <v>0.0028708956</v>
      </c>
      <c r="H220" s="5">
        <v>44707</v>
      </c>
      <c r="I220" t="s">
        <v>44</v>
      </c>
      <c r="J220" s="5">
        <v>44518</v>
      </c>
      <c r="K220" s="8">
        <v>44578</v>
      </c>
      <c r="L220">
        <v>169</v>
      </c>
      <c r="M220" s="2">
        <v>109</v>
      </c>
      <c r="N220" s="2">
        <v>8</v>
      </c>
      <c r="O220" s="2">
        <v>7.84</v>
      </c>
      <c r="P220" s="2">
        <v>8.46</v>
      </c>
      <c r="Q220" s="2">
        <v>8.73</v>
      </c>
      <c r="R220" s="2">
        <v>6.91</v>
      </c>
      <c r="S220" s="2">
        <v>7.08</v>
      </c>
      <c r="T220" s="3">
        <f t="shared" si="12"/>
        <v>-1.65</v>
      </c>
      <c r="U220" s="4">
        <f t="shared" si="13"/>
        <v>-0.189003436426117</v>
      </c>
      <c r="V220" s="2">
        <v>6.67</v>
      </c>
      <c r="W220" s="2">
        <v>6.67</v>
      </c>
      <c r="X220" s="3">
        <f t="shared" si="14"/>
        <v>-0.24</v>
      </c>
      <c r="Y220" s="4">
        <f t="shared" si="15"/>
        <v>-0.0359820089955023</v>
      </c>
      <c r="Z220" s="2">
        <v>7.14</v>
      </c>
      <c r="AA220" s="2">
        <v>7.14</v>
      </c>
    </row>
    <row r="221" spans="1:27">
      <c r="A221">
        <v>123145</v>
      </c>
      <c r="B221" t="s">
        <v>473</v>
      </c>
      <c r="C221" s="5">
        <v>44671</v>
      </c>
      <c r="D221">
        <v>370725</v>
      </c>
      <c r="E221">
        <v>300725</v>
      </c>
      <c r="F221" t="s">
        <v>474</v>
      </c>
      <c r="G221">
        <v>0.0029664999</v>
      </c>
      <c r="H221" s="5">
        <v>44699</v>
      </c>
      <c r="I221" t="s">
        <v>29</v>
      </c>
      <c r="J221" s="5">
        <v>44526</v>
      </c>
      <c r="K221" s="8">
        <v>44658</v>
      </c>
      <c r="L221">
        <v>145</v>
      </c>
      <c r="M221" s="2">
        <v>13</v>
      </c>
      <c r="N221" s="2">
        <v>148.05</v>
      </c>
      <c r="O221" s="2">
        <v>153.7</v>
      </c>
      <c r="P221" s="2">
        <v>91.73</v>
      </c>
      <c r="Q221" s="2">
        <v>89.66</v>
      </c>
      <c r="R221" s="2">
        <v>83.46</v>
      </c>
      <c r="S221" s="2">
        <v>80.88</v>
      </c>
      <c r="T221" s="3">
        <f t="shared" si="12"/>
        <v>-8.78</v>
      </c>
      <c r="U221" s="4">
        <f t="shared" si="13"/>
        <v>-0.097925496319429</v>
      </c>
      <c r="V221" s="2">
        <v>80.05</v>
      </c>
      <c r="W221" s="2">
        <v>78.28</v>
      </c>
      <c r="X221" s="3">
        <f t="shared" si="14"/>
        <v>-3.41</v>
      </c>
      <c r="Y221" s="4">
        <f t="shared" si="15"/>
        <v>-0.0435615738375063</v>
      </c>
      <c r="Z221" s="2">
        <v>82.87</v>
      </c>
      <c r="AA221" s="2">
        <v>81.87</v>
      </c>
    </row>
    <row r="222" spans="1:27">
      <c r="A222">
        <v>123144</v>
      </c>
      <c r="B222" t="s">
        <v>475</v>
      </c>
      <c r="C222" s="5">
        <v>44662</v>
      </c>
      <c r="D222">
        <v>370305</v>
      </c>
      <c r="E222">
        <v>300305</v>
      </c>
      <c r="F222" t="s">
        <v>476</v>
      </c>
      <c r="G222">
        <v>0.0020619353</v>
      </c>
      <c r="H222" s="5">
        <v>44678</v>
      </c>
      <c r="I222" t="s">
        <v>39</v>
      </c>
      <c r="J222" s="5">
        <v>44560</v>
      </c>
      <c r="K222" s="8">
        <v>44637</v>
      </c>
      <c r="L222">
        <v>102</v>
      </c>
      <c r="M222" s="2">
        <v>25</v>
      </c>
      <c r="N222" s="2">
        <v>18.21</v>
      </c>
      <c r="O222" s="2">
        <v>18.39</v>
      </c>
      <c r="P222" s="2">
        <v>13.9</v>
      </c>
      <c r="Q222" s="2">
        <v>14.3</v>
      </c>
      <c r="R222" s="2">
        <v>13.8</v>
      </c>
      <c r="S222" s="2">
        <v>13.68</v>
      </c>
      <c r="T222" s="3">
        <f t="shared" si="12"/>
        <v>-0.620000000000001</v>
      </c>
      <c r="U222" s="4">
        <f t="shared" si="13"/>
        <v>-0.0433566433566434</v>
      </c>
      <c r="V222" s="2">
        <v>12.69</v>
      </c>
      <c r="W222" s="2">
        <v>12.12</v>
      </c>
      <c r="X222" s="3">
        <f t="shared" si="14"/>
        <v>-1.11</v>
      </c>
      <c r="Y222" s="4">
        <f t="shared" si="15"/>
        <v>-0.0915841584158417</v>
      </c>
      <c r="Z222" s="2">
        <v>9.13</v>
      </c>
      <c r="AA222" s="2">
        <v>9.9</v>
      </c>
    </row>
    <row r="223" spans="1:27">
      <c r="A223">
        <v>118007</v>
      </c>
      <c r="B223" t="s">
        <v>477</v>
      </c>
      <c r="C223" s="5">
        <v>44642</v>
      </c>
      <c r="D223">
        <v>718030</v>
      </c>
      <c r="E223">
        <v>688030</v>
      </c>
      <c r="F223" t="s">
        <v>478</v>
      </c>
      <c r="G223">
        <v>0.00178881</v>
      </c>
      <c r="H223" s="5">
        <v>44672</v>
      </c>
      <c r="I223" t="s">
        <v>110</v>
      </c>
      <c r="J223" s="5">
        <v>44447</v>
      </c>
      <c r="K223" s="8">
        <v>44560</v>
      </c>
      <c r="L223">
        <v>195</v>
      </c>
      <c r="M223" s="2">
        <v>82</v>
      </c>
      <c r="N223" s="2">
        <v>27.58</v>
      </c>
      <c r="O223" s="2">
        <v>27.02</v>
      </c>
      <c r="P223" s="2">
        <v>28.11</v>
      </c>
      <c r="Q223" s="2">
        <v>29.12</v>
      </c>
      <c r="R223" s="2">
        <v>24.67</v>
      </c>
      <c r="S223" s="2">
        <v>23.99</v>
      </c>
      <c r="T223" s="3">
        <f t="shared" si="12"/>
        <v>-5.13</v>
      </c>
      <c r="U223" s="4">
        <f t="shared" si="13"/>
        <v>-0.176167582417582</v>
      </c>
      <c r="V223" s="2">
        <v>23.69</v>
      </c>
      <c r="W223" s="2">
        <v>23.34</v>
      </c>
      <c r="X223" s="3">
        <f t="shared" si="14"/>
        <v>-0.98</v>
      </c>
      <c r="Y223" s="4">
        <f t="shared" si="15"/>
        <v>-0.0419880034275921</v>
      </c>
      <c r="Z223" s="2">
        <v>20.26</v>
      </c>
      <c r="AA223" s="2">
        <v>19.61</v>
      </c>
    </row>
    <row r="224" spans="1:27">
      <c r="A224">
        <v>123142</v>
      </c>
      <c r="B224" t="s">
        <v>479</v>
      </c>
      <c r="C224" s="5">
        <v>44638</v>
      </c>
      <c r="D224">
        <v>370853</v>
      </c>
      <c r="E224">
        <v>300853</v>
      </c>
      <c r="F224" t="s">
        <v>480</v>
      </c>
      <c r="G224">
        <v>0.001392411</v>
      </c>
      <c r="H224" s="5">
        <v>44662</v>
      </c>
      <c r="I224" t="s">
        <v>287</v>
      </c>
      <c r="J224" s="5">
        <v>44554</v>
      </c>
      <c r="K224" s="8">
        <v>44613</v>
      </c>
      <c r="L224">
        <v>84</v>
      </c>
      <c r="M224" s="2">
        <v>25</v>
      </c>
      <c r="N224" s="2">
        <v>41.62</v>
      </c>
      <c r="O224" s="2">
        <v>40.99</v>
      </c>
      <c r="P224" s="2">
        <v>34.32</v>
      </c>
      <c r="Q224" s="2">
        <v>35.38</v>
      </c>
      <c r="R224" s="2">
        <v>32.9</v>
      </c>
      <c r="S224" s="2">
        <v>33.3</v>
      </c>
      <c r="T224" s="3">
        <f t="shared" si="12"/>
        <v>-2.08000000000001</v>
      </c>
      <c r="U224" s="4">
        <f t="shared" si="13"/>
        <v>-0.0587902769926514</v>
      </c>
      <c r="V224" s="2">
        <v>32.98</v>
      </c>
      <c r="W224" s="2">
        <v>32</v>
      </c>
      <c r="X224" s="3">
        <f t="shared" si="14"/>
        <v>0.0799999999999983</v>
      </c>
      <c r="Y224" s="4">
        <f t="shared" si="15"/>
        <v>0.00249999999999995</v>
      </c>
      <c r="Z224" s="2">
        <v>28.69</v>
      </c>
      <c r="AA224" s="2">
        <v>27.37</v>
      </c>
    </row>
    <row r="225" spans="1:27">
      <c r="A225">
        <v>123141</v>
      </c>
      <c r="B225" t="s">
        <v>481</v>
      </c>
      <c r="C225" s="5">
        <v>44635</v>
      </c>
      <c r="D225">
        <v>370283</v>
      </c>
      <c r="E225">
        <v>300283</v>
      </c>
      <c r="F225" t="s">
        <v>482</v>
      </c>
      <c r="G225">
        <v>0.0009422475</v>
      </c>
      <c r="H225" s="5">
        <v>44659</v>
      </c>
      <c r="I225" t="s">
        <v>404</v>
      </c>
      <c r="J225" s="5">
        <v>44489</v>
      </c>
      <c r="K225" s="8">
        <v>44575</v>
      </c>
      <c r="L225">
        <v>146</v>
      </c>
      <c r="M225" s="2">
        <v>60</v>
      </c>
      <c r="N225" s="2">
        <v>7.01</v>
      </c>
      <c r="O225" s="2">
        <v>6.86</v>
      </c>
      <c r="P225" s="2">
        <v>7.06</v>
      </c>
      <c r="Q225" s="2">
        <v>6.83</v>
      </c>
      <c r="R225" s="2">
        <v>6.93</v>
      </c>
      <c r="S225" s="2">
        <v>6.71</v>
      </c>
      <c r="T225" s="3">
        <f t="shared" si="12"/>
        <v>-0.12</v>
      </c>
      <c r="U225" s="4">
        <f t="shared" si="13"/>
        <v>-0.0175695461200586</v>
      </c>
      <c r="V225" s="2">
        <v>6.43</v>
      </c>
      <c r="W225" s="2">
        <v>6.12</v>
      </c>
      <c r="X225" s="3">
        <f t="shared" si="14"/>
        <v>-0.5</v>
      </c>
      <c r="Y225" s="4">
        <f t="shared" si="15"/>
        <v>-0.0816993464052288</v>
      </c>
      <c r="Z225" s="2">
        <v>6.23</v>
      </c>
      <c r="AA225" s="2">
        <v>6.04</v>
      </c>
    </row>
    <row r="226" spans="1:27">
      <c r="A226">
        <v>118006</v>
      </c>
      <c r="B226" t="s">
        <v>483</v>
      </c>
      <c r="C226" s="5">
        <v>44635</v>
      </c>
      <c r="D226">
        <v>718179</v>
      </c>
      <c r="E226">
        <v>688179</v>
      </c>
      <c r="F226" t="s">
        <v>484</v>
      </c>
      <c r="G226">
        <v>0.00076689</v>
      </c>
      <c r="H226" s="5">
        <v>44663</v>
      </c>
      <c r="I226" t="s">
        <v>39</v>
      </c>
      <c r="J226" s="5">
        <v>44552</v>
      </c>
      <c r="K226" s="8">
        <v>44588</v>
      </c>
      <c r="L226">
        <v>83</v>
      </c>
      <c r="M226" s="2">
        <v>47</v>
      </c>
      <c r="N226" s="2">
        <v>74</v>
      </c>
      <c r="O226" s="2">
        <v>78.05</v>
      </c>
      <c r="P226" s="2">
        <v>65.01</v>
      </c>
      <c r="Q226" s="2">
        <v>63.85</v>
      </c>
      <c r="R226" s="2">
        <v>60.3</v>
      </c>
      <c r="S226" s="2">
        <v>58.55</v>
      </c>
      <c r="T226" s="3">
        <f t="shared" si="12"/>
        <v>-5.3</v>
      </c>
      <c r="U226" s="4">
        <f t="shared" si="13"/>
        <v>-0.0830070477682068</v>
      </c>
      <c r="V226" s="2">
        <v>57.59</v>
      </c>
      <c r="W226" s="2">
        <v>53.38</v>
      </c>
      <c r="X226" s="3">
        <f t="shared" si="14"/>
        <v>-2.70999999999999</v>
      </c>
      <c r="Y226" s="4">
        <f t="shared" si="15"/>
        <v>-0.0507680779318095</v>
      </c>
      <c r="Z226" s="2">
        <v>52.56</v>
      </c>
      <c r="AA226" s="2">
        <v>52.62</v>
      </c>
    </row>
    <row r="227" spans="1:27">
      <c r="A227">
        <v>123140</v>
      </c>
      <c r="B227" t="s">
        <v>485</v>
      </c>
      <c r="C227" s="5">
        <v>44634</v>
      </c>
      <c r="D227">
        <v>370743</v>
      </c>
      <c r="E227">
        <v>300743</v>
      </c>
      <c r="F227" t="s">
        <v>486</v>
      </c>
      <c r="G227">
        <v>0.000629557</v>
      </c>
      <c r="H227" s="5">
        <v>44650</v>
      </c>
      <c r="I227" t="s">
        <v>110</v>
      </c>
      <c r="J227" s="5">
        <v>44505</v>
      </c>
      <c r="K227" s="8">
        <v>44561</v>
      </c>
      <c r="L227">
        <v>129</v>
      </c>
      <c r="M227" s="2">
        <v>73</v>
      </c>
      <c r="N227" s="2">
        <v>10.04</v>
      </c>
      <c r="O227" s="2">
        <v>10.03</v>
      </c>
      <c r="P227" s="2">
        <v>11.26</v>
      </c>
      <c r="Q227" s="2">
        <v>11.25</v>
      </c>
      <c r="R227" s="2">
        <v>12.8</v>
      </c>
      <c r="S227" s="2">
        <v>12.83</v>
      </c>
      <c r="T227" s="3">
        <f t="shared" si="12"/>
        <v>1.58</v>
      </c>
      <c r="U227" s="4">
        <f t="shared" si="13"/>
        <v>0.140444444444444</v>
      </c>
      <c r="V227" s="2">
        <v>12.59</v>
      </c>
      <c r="W227" s="2">
        <v>11.81</v>
      </c>
      <c r="X227" s="3">
        <f t="shared" si="14"/>
        <v>-0.210000000000001</v>
      </c>
      <c r="Y227" s="4">
        <f t="shared" si="15"/>
        <v>-0.0177815410668925</v>
      </c>
      <c r="Z227" s="2">
        <v>12.95</v>
      </c>
      <c r="AA227" s="2">
        <v>13.22</v>
      </c>
    </row>
    <row r="228" spans="1:27">
      <c r="A228">
        <v>123139</v>
      </c>
      <c r="B228" t="s">
        <v>487</v>
      </c>
      <c r="C228" s="5">
        <v>44631</v>
      </c>
      <c r="D228">
        <v>370811</v>
      </c>
      <c r="E228">
        <v>300811</v>
      </c>
      <c r="F228" t="s">
        <v>488</v>
      </c>
      <c r="G228">
        <v>0.0008798924</v>
      </c>
      <c r="H228" s="5">
        <v>44651</v>
      </c>
      <c r="I228" t="s">
        <v>39</v>
      </c>
      <c r="J228" s="5">
        <v>44547</v>
      </c>
      <c r="K228" s="8">
        <v>44601</v>
      </c>
      <c r="L228">
        <v>84</v>
      </c>
      <c r="M228" s="2">
        <v>30</v>
      </c>
      <c r="N228" s="2">
        <v>111.87</v>
      </c>
      <c r="O228" s="2">
        <v>111.07</v>
      </c>
      <c r="P228" s="2">
        <v>78.23</v>
      </c>
      <c r="Q228" s="2">
        <v>80.62</v>
      </c>
      <c r="R228" s="2">
        <v>68</v>
      </c>
      <c r="S228" s="2">
        <v>73.05</v>
      </c>
      <c r="T228" s="3">
        <f t="shared" si="12"/>
        <v>-7.57000000000001</v>
      </c>
      <c r="U228" s="4">
        <f t="shared" si="13"/>
        <v>-0.0938972959563385</v>
      </c>
      <c r="V228" s="2">
        <v>71.02</v>
      </c>
      <c r="W228" s="2">
        <v>73.02</v>
      </c>
      <c r="X228" s="3">
        <f t="shared" si="14"/>
        <v>3.02</v>
      </c>
      <c r="Y228" s="4">
        <f t="shared" si="15"/>
        <v>0.041358531909066</v>
      </c>
      <c r="Z228" s="2">
        <v>77.48</v>
      </c>
      <c r="AA228" s="2">
        <v>75.3</v>
      </c>
    </row>
    <row r="229" spans="1:27">
      <c r="A229">
        <v>123138</v>
      </c>
      <c r="B229" t="s">
        <v>489</v>
      </c>
      <c r="C229" s="5">
        <v>44622</v>
      </c>
      <c r="D229">
        <v>370556</v>
      </c>
      <c r="E229">
        <v>300556</v>
      </c>
      <c r="F229" t="s">
        <v>490</v>
      </c>
      <c r="G229">
        <v>0.0012497809</v>
      </c>
      <c r="H229" s="5">
        <v>44642</v>
      </c>
      <c r="I229" t="s">
        <v>110</v>
      </c>
      <c r="J229" s="5">
        <v>44421</v>
      </c>
      <c r="K229" s="8">
        <v>44541</v>
      </c>
      <c r="L229">
        <v>201</v>
      </c>
      <c r="M229" s="2">
        <v>81</v>
      </c>
      <c r="N229" s="2">
        <v>19.7</v>
      </c>
      <c r="O229" s="2">
        <v>19.09</v>
      </c>
      <c r="P229" s="2">
        <v>28.72</v>
      </c>
      <c r="Q229" s="2">
        <v>31.1</v>
      </c>
      <c r="R229" s="2">
        <v>24.29</v>
      </c>
      <c r="S229" s="2">
        <v>24.98</v>
      </c>
      <c r="T229" s="3">
        <f t="shared" si="12"/>
        <v>-6.12</v>
      </c>
      <c r="U229" s="4">
        <f t="shared" si="13"/>
        <v>-0.196784565916399</v>
      </c>
      <c r="V229" s="2">
        <v>24.39</v>
      </c>
      <c r="W229" s="2">
        <v>24.8</v>
      </c>
      <c r="X229" s="3">
        <f t="shared" si="14"/>
        <v>0.100000000000001</v>
      </c>
      <c r="Y229" s="4">
        <f t="shared" si="15"/>
        <v>0.00403225806451619</v>
      </c>
      <c r="Z229" s="2">
        <v>25.46</v>
      </c>
      <c r="AA229" s="2">
        <v>29.72</v>
      </c>
    </row>
    <row r="230" spans="1:27">
      <c r="A230">
        <v>123137</v>
      </c>
      <c r="B230" t="s">
        <v>491</v>
      </c>
      <c r="C230" s="5">
        <v>44602</v>
      </c>
      <c r="D230">
        <v>370763</v>
      </c>
      <c r="E230">
        <v>300763</v>
      </c>
      <c r="F230" t="s">
        <v>492</v>
      </c>
      <c r="G230">
        <v>0.0068897234</v>
      </c>
      <c r="H230" s="5">
        <v>44622</v>
      </c>
      <c r="I230" t="s">
        <v>44</v>
      </c>
      <c r="J230" s="5">
        <v>44533</v>
      </c>
      <c r="K230" s="8">
        <v>44579</v>
      </c>
      <c r="L230">
        <v>69</v>
      </c>
      <c r="M230" s="2">
        <v>23</v>
      </c>
      <c r="N230" s="2">
        <v>248.89</v>
      </c>
      <c r="O230" s="2">
        <v>251.8</v>
      </c>
      <c r="P230" s="2">
        <v>214</v>
      </c>
      <c r="Q230" s="2">
        <v>218.32</v>
      </c>
      <c r="R230" s="2">
        <v>213</v>
      </c>
      <c r="S230" s="2">
        <v>217</v>
      </c>
      <c r="T230" s="3">
        <f t="shared" si="12"/>
        <v>-1.31999999999999</v>
      </c>
      <c r="U230" s="4">
        <f t="shared" si="13"/>
        <v>-0.00604617075851957</v>
      </c>
      <c r="V230" s="2">
        <v>216.34</v>
      </c>
      <c r="W230" s="2">
        <v>206.8</v>
      </c>
      <c r="X230" s="3">
        <f t="shared" si="14"/>
        <v>3.34</v>
      </c>
      <c r="Y230" s="4">
        <f t="shared" si="15"/>
        <v>0.0161508704061896</v>
      </c>
      <c r="Z230" s="2">
        <v>257.19</v>
      </c>
      <c r="AA230" s="2">
        <v>249.5</v>
      </c>
    </row>
    <row r="231" spans="1:27">
      <c r="A231">
        <v>118005</v>
      </c>
      <c r="B231" t="s">
        <v>493</v>
      </c>
      <c r="C231" s="5">
        <v>44588</v>
      </c>
      <c r="D231">
        <v>718116</v>
      </c>
      <c r="E231">
        <v>688116</v>
      </c>
      <c r="F231" t="s">
        <v>494</v>
      </c>
      <c r="G231">
        <v>0.00246365</v>
      </c>
      <c r="H231" s="5">
        <v>44621</v>
      </c>
      <c r="I231" t="s">
        <v>44</v>
      </c>
      <c r="J231" s="5">
        <v>44490</v>
      </c>
      <c r="K231" s="8">
        <v>44531</v>
      </c>
      <c r="L231">
        <v>98</v>
      </c>
      <c r="M231" s="2">
        <v>57</v>
      </c>
      <c r="N231" s="2">
        <v>157.12</v>
      </c>
      <c r="O231" s="2">
        <v>147.77</v>
      </c>
      <c r="P231" s="2">
        <v>160</v>
      </c>
      <c r="Q231" s="2">
        <v>163.98</v>
      </c>
      <c r="R231" s="2">
        <v>150.98</v>
      </c>
      <c r="S231" s="2">
        <v>149.35</v>
      </c>
      <c r="T231" s="3">
        <f t="shared" si="12"/>
        <v>-14.63</v>
      </c>
      <c r="U231" s="4">
        <f t="shared" si="13"/>
        <v>-0.0892181973411391</v>
      </c>
      <c r="V231" s="2">
        <v>148.93</v>
      </c>
      <c r="W231" s="2">
        <v>146.7</v>
      </c>
      <c r="X231" s="3">
        <f t="shared" si="14"/>
        <v>-2.04999999999998</v>
      </c>
      <c r="Y231" s="4">
        <f t="shared" si="15"/>
        <v>-0.0139740967961826</v>
      </c>
      <c r="Z231" s="2">
        <v>154.2</v>
      </c>
      <c r="AA231" s="2">
        <v>152.6</v>
      </c>
    </row>
    <row r="232" spans="1:27">
      <c r="A232">
        <v>123136</v>
      </c>
      <c r="B232" t="s">
        <v>495</v>
      </c>
      <c r="C232" s="5">
        <v>44582</v>
      </c>
      <c r="D232">
        <v>370778</v>
      </c>
      <c r="E232">
        <v>300778</v>
      </c>
      <c r="F232" t="s">
        <v>496</v>
      </c>
      <c r="G232">
        <v>0.0004898785</v>
      </c>
      <c r="H232" s="5">
        <v>44607</v>
      </c>
      <c r="I232" t="s">
        <v>44</v>
      </c>
      <c r="J232" s="5">
        <v>44223</v>
      </c>
      <c r="K232" s="8">
        <v>44302</v>
      </c>
      <c r="L232">
        <v>359</v>
      </c>
      <c r="M232" s="2">
        <v>280</v>
      </c>
      <c r="R232" s="2">
        <v>22.11</v>
      </c>
      <c r="S232" s="2">
        <v>21.94</v>
      </c>
      <c r="T232" s="3">
        <f t="shared" si="12"/>
        <v>21.94</v>
      </c>
      <c r="U232" s="4" t="e">
        <f t="shared" si="13"/>
        <v>#DIV/0!</v>
      </c>
      <c r="V232" s="2">
        <v>20.71</v>
      </c>
      <c r="W232" s="2">
        <v>19.3</v>
      </c>
      <c r="X232" s="3">
        <f t="shared" si="14"/>
        <v>-1.4</v>
      </c>
      <c r="Y232" s="4">
        <f t="shared" si="15"/>
        <v>-0.0725388601036269</v>
      </c>
      <c r="Z232" s="2">
        <v>19.94</v>
      </c>
      <c r="AA232" s="2">
        <v>20.32</v>
      </c>
    </row>
    <row r="233" spans="1:27">
      <c r="A233">
        <v>118004</v>
      </c>
      <c r="B233" t="s">
        <v>497</v>
      </c>
      <c r="C233" s="5">
        <v>44565</v>
      </c>
      <c r="D233">
        <v>718166</v>
      </c>
      <c r="E233">
        <v>688166</v>
      </c>
      <c r="F233" t="s">
        <v>498</v>
      </c>
      <c r="G233">
        <v>0.00185637</v>
      </c>
      <c r="H233" s="5">
        <v>44588</v>
      </c>
      <c r="I233" t="s">
        <v>44</v>
      </c>
      <c r="J233" s="5">
        <v>44482</v>
      </c>
      <c r="K233" s="8">
        <v>44518</v>
      </c>
      <c r="L233">
        <v>83</v>
      </c>
      <c r="M233" s="2">
        <v>47</v>
      </c>
      <c r="N233" s="2">
        <v>29.4</v>
      </c>
      <c r="O233" s="2">
        <v>29.28</v>
      </c>
      <c r="P233" s="2">
        <v>35.63</v>
      </c>
      <c r="Q233" s="2">
        <v>36</v>
      </c>
      <c r="R233" s="2">
        <v>36.45</v>
      </c>
      <c r="S233" s="2">
        <v>36.71</v>
      </c>
      <c r="T233" s="3">
        <f t="shared" si="12"/>
        <v>0.710000000000001</v>
      </c>
      <c r="U233" s="4">
        <f t="shared" si="13"/>
        <v>0.0197222222222222</v>
      </c>
      <c r="V233" s="2">
        <v>36.71</v>
      </c>
      <c r="W233" s="2">
        <v>34.82</v>
      </c>
      <c r="X233" s="3">
        <f t="shared" si="14"/>
        <v>0.259999999999998</v>
      </c>
      <c r="Y233" s="4">
        <f t="shared" si="15"/>
        <v>0.00746697300402062</v>
      </c>
      <c r="Z233" s="2">
        <v>34</v>
      </c>
      <c r="AA233" s="2">
        <v>32.12</v>
      </c>
    </row>
    <row r="234" spans="1:27">
      <c r="A234">
        <v>123135</v>
      </c>
      <c r="B234" t="s">
        <v>499</v>
      </c>
      <c r="C234" s="5">
        <v>44558</v>
      </c>
      <c r="D234">
        <v>370813</v>
      </c>
      <c r="E234">
        <v>300813</v>
      </c>
      <c r="F234" t="s">
        <v>500</v>
      </c>
      <c r="G234">
        <v>0.0004374263</v>
      </c>
      <c r="H234" s="5">
        <v>44580</v>
      </c>
      <c r="I234" t="s">
        <v>39</v>
      </c>
      <c r="J234" s="5">
        <v>44344</v>
      </c>
      <c r="K234" s="8">
        <v>44382</v>
      </c>
      <c r="L234">
        <v>214</v>
      </c>
      <c r="M234" s="2">
        <v>176</v>
      </c>
      <c r="N234" s="2">
        <v>45.54</v>
      </c>
      <c r="O234" s="2">
        <v>44.46</v>
      </c>
      <c r="P234" s="2">
        <v>44.7</v>
      </c>
      <c r="Q234" s="2">
        <v>45.31</v>
      </c>
      <c r="R234" s="2">
        <v>92.85</v>
      </c>
      <c r="S234" s="2">
        <v>91.05</v>
      </c>
      <c r="T234" s="3">
        <f t="shared" si="12"/>
        <v>45.74</v>
      </c>
      <c r="U234" s="4">
        <f t="shared" si="13"/>
        <v>1.00949017876848</v>
      </c>
      <c r="V234" s="2">
        <v>90.05</v>
      </c>
      <c r="W234" s="2">
        <v>92</v>
      </c>
      <c r="X234" s="3">
        <f t="shared" si="14"/>
        <v>-2.8</v>
      </c>
      <c r="Y234" s="4">
        <f t="shared" si="15"/>
        <v>-0.0304347826086956</v>
      </c>
      <c r="Z234" s="2">
        <v>88.02</v>
      </c>
      <c r="AA234" s="2">
        <v>85.74</v>
      </c>
    </row>
    <row r="235" spans="1:27">
      <c r="A235">
        <v>123134</v>
      </c>
      <c r="B235" t="s">
        <v>501</v>
      </c>
      <c r="C235" s="5">
        <v>44557</v>
      </c>
      <c r="D235">
        <v>370863</v>
      </c>
      <c r="E235">
        <v>300863</v>
      </c>
      <c r="F235" t="s">
        <v>156</v>
      </c>
      <c r="G235">
        <v>0.0005265447</v>
      </c>
      <c r="H235" s="5">
        <v>44579</v>
      </c>
      <c r="I235" t="s">
        <v>39</v>
      </c>
      <c r="J235" s="5">
        <v>44427</v>
      </c>
      <c r="K235" s="8">
        <v>44489</v>
      </c>
      <c r="L235">
        <v>130</v>
      </c>
      <c r="M235" s="2">
        <v>68</v>
      </c>
      <c r="N235" s="2">
        <v>69.3</v>
      </c>
      <c r="O235" s="2">
        <v>69.75</v>
      </c>
      <c r="P235" s="2">
        <v>67.31</v>
      </c>
      <c r="Q235" s="2">
        <v>66.41</v>
      </c>
      <c r="R235" s="2">
        <v>100</v>
      </c>
      <c r="S235" s="2">
        <v>101.25</v>
      </c>
      <c r="T235" s="3">
        <f t="shared" si="12"/>
        <v>34.84</v>
      </c>
      <c r="U235" s="4">
        <f t="shared" si="13"/>
        <v>0.524619786176781</v>
      </c>
      <c r="V235" s="2">
        <v>102.01</v>
      </c>
      <c r="W235" s="2">
        <v>98</v>
      </c>
      <c r="X235" s="3">
        <f t="shared" si="14"/>
        <v>2.01000000000001</v>
      </c>
      <c r="Y235" s="4">
        <f t="shared" si="15"/>
        <v>0.0205102040816327</v>
      </c>
      <c r="Z235" s="2">
        <v>87.74</v>
      </c>
      <c r="AA235" s="2">
        <v>83.09</v>
      </c>
    </row>
    <row r="236" spans="1:27">
      <c r="A236">
        <v>123132</v>
      </c>
      <c r="B236" t="s">
        <v>502</v>
      </c>
      <c r="C236" s="5">
        <v>44547</v>
      </c>
      <c r="D236">
        <v>370871</v>
      </c>
      <c r="E236">
        <v>300871</v>
      </c>
      <c r="F236" t="s">
        <v>503</v>
      </c>
      <c r="G236">
        <v>0.0022054859</v>
      </c>
      <c r="H236" s="5">
        <v>44568</v>
      </c>
      <c r="I236" t="s">
        <v>44</v>
      </c>
      <c r="J236" s="5">
        <v>44428</v>
      </c>
      <c r="K236" s="8">
        <v>44523</v>
      </c>
      <c r="L236">
        <v>119</v>
      </c>
      <c r="M236" s="2">
        <v>24</v>
      </c>
      <c r="N236" s="2">
        <v>34.52</v>
      </c>
      <c r="O236" s="2">
        <v>35.95</v>
      </c>
      <c r="P236" s="2">
        <v>27.6</v>
      </c>
      <c r="Q236" s="2">
        <v>27.74</v>
      </c>
      <c r="R236" s="2">
        <v>29.17</v>
      </c>
      <c r="S236" s="2">
        <v>29.35</v>
      </c>
      <c r="T236" s="3">
        <f t="shared" si="12"/>
        <v>1.61</v>
      </c>
      <c r="U236" s="4">
        <f t="shared" si="13"/>
        <v>0.0580389329488105</v>
      </c>
      <c r="V236" s="2">
        <v>28.26</v>
      </c>
      <c r="W236" s="2">
        <v>28.23</v>
      </c>
      <c r="X236" s="3">
        <f t="shared" si="14"/>
        <v>-0.91</v>
      </c>
      <c r="Y236" s="4">
        <f t="shared" si="15"/>
        <v>-0.0322352107686858</v>
      </c>
      <c r="Z236" s="2">
        <v>29.8</v>
      </c>
      <c r="AA236" s="2">
        <v>28.81</v>
      </c>
    </row>
    <row r="237" spans="1:27">
      <c r="A237">
        <v>118003</v>
      </c>
      <c r="B237" t="s">
        <v>504</v>
      </c>
      <c r="C237" s="5">
        <v>44529</v>
      </c>
      <c r="D237">
        <v>718001</v>
      </c>
      <c r="E237">
        <v>688001</v>
      </c>
      <c r="F237" t="s">
        <v>505</v>
      </c>
      <c r="G237">
        <v>0.00227647</v>
      </c>
      <c r="H237" s="5">
        <v>44550</v>
      </c>
      <c r="I237" t="s">
        <v>29</v>
      </c>
      <c r="J237" s="5">
        <v>44482</v>
      </c>
      <c r="K237" s="8">
        <v>44516</v>
      </c>
      <c r="L237">
        <v>47</v>
      </c>
      <c r="M237" s="2">
        <v>13</v>
      </c>
      <c r="N237" s="2">
        <v>34.76</v>
      </c>
      <c r="O237" s="2">
        <v>35.28</v>
      </c>
      <c r="P237" s="2">
        <v>38.39</v>
      </c>
      <c r="Q237" s="2">
        <v>38.2</v>
      </c>
      <c r="R237" s="2">
        <v>39.68</v>
      </c>
      <c r="S237" s="2">
        <v>39.3</v>
      </c>
      <c r="T237" s="3">
        <f t="shared" si="12"/>
        <v>1.09999999999999</v>
      </c>
      <c r="U237" s="4">
        <f t="shared" si="13"/>
        <v>0.0287958115183245</v>
      </c>
      <c r="V237" s="2">
        <v>37.92</v>
      </c>
      <c r="W237" s="2">
        <v>38.01</v>
      </c>
      <c r="X237" s="3">
        <f t="shared" si="14"/>
        <v>-1.76</v>
      </c>
      <c r="Y237" s="4">
        <f t="shared" si="15"/>
        <v>-0.046303604314654</v>
      </c>
      <c r="Z237" s="2">
        <v>35.18</v>
      </c>
      <c r="AA237" s="2">
        <v>34.81</v>
      </c>
    </row>
    <row r="238" spans="1:27">
      <c r="A238">
        <v>123130</v>
      </c>
      <c r="B238" t="s">
        <v>506</v>
      </c>
      <c r="C238" s="5">
        <v>44511</v>
      </c>
      <c r="D238">
        <v>370732</v>
      </c>
      <c r="E238">
        <v>300732</v>
      </c>
      <c r="F238" t="s">
        <v>507</v>
      </c>
      <c r="G238">
        <v>0.0013209989</v>
      </c>
      <c r="H238" s="5">
        <v>44532</v>
      </c>
      <c r="I238" t="s">
        <v>29</v>
      </c>
      <c r="J238" s="5">
        <v>44405</v>
      </c>
      <c r="K238" s="8">
        <v>44490</v>
      </c>
      <c r="L238">
        <v>106</v>
      </c>
      <c r="M238" s="2">
        <v>21</v>
      </c>
      <c r="N238" s="2">
        <v>10.41</v>
      </c>
      <c r="O238" s="2">
        <v>10.13</v>
      </c>
      <c r="P238" s="2">
        <v>11.36</v>
      </c>
      <c r="Q238" s="2">
        <v>11.58</v>
      </c>
      <c r="R238" s="2">
        <v>11.21</v>
      </c>
      <c r="S238" s="2">
        <v>11.25</v>
      </c>
      <c r="T238" s="3">
        <f t="shared" si="12"/>
        <v>-0.33</v>
      </c>
      <c r="U238" s="4">
        <f t="shared" si="13"/>
        <v>-0.0284974093264249</v>
      </c>
      <c r="V238" s="2">
        <v>11.01</v>
      </c>
      <c r="W238" s="2">
        <v>11.15</v>
      </c>
      <c r="X238" s="3">
        <f t="shared" si="14"/>
        <v>-0.200000000000001</v>
      </c>
      <c r="Y238" s="4">
        <f t="shared" si="15"/>
        <v>-0.0179372197309418</v>
      </c>
      <c r="Z238" s="2">
        <v>12.25</v>
      </c>
      <c r="AA238" s="2">
        <v>11.95</v>
      </c>
    </row>
    <row r="239" spans="1:27">
      <c r="A239">
        <v>123129</v>
      </c>
      <c r="B239" t="s">
        <v>508</v>
      </c>
      <c r="C239" s="5">
        <v>44504</v>
      </c>
      <c r="D239">
        <v>370798</v>
      </c>
      <c r="E239">
        <v>300798</v>
      </c>
      <c r="F239" t="s">
        <v>509</v>
      </c>
      <c r="G239">
        <v>0.0041304969</v>
      </c>
      <c r="H239" s="5">
        <v>44524</v>
      </c>
      <c r="I239" t="s">
        <v>39</v>
      </c>
      <c r="J239" s="5">
        <v>44426</v>
      </c>
      <c r="K239" s="8">
        <v>44455</v>
      </c>
      <c r="L239">
        <v>78</v>
      </c>
      <c r="M239" s="2">
        <v>49</v>
      </c>
      <c r="N239" s="2">
        <v>10.11</v>
      </c>
      <c r="O239" s="2">
        <v>10.45</v>
      </c>
      <c r="P239" s="2">
        <v>11.3</v>
      </c>
      <c r="Q239" s="2">
        <v>11.58</v>
      </c>
      <c r="R239" s="2">
        <v>9.3</v>
      </c>
      <c r="S239" s="2">
        <v>9.57</v>
      </c>
      <c r="T239" s="3">
        <f t="shared" si="12"/>
        <v>-2.01</v>
      </c>
      <c r="U239" s="4">
        <f t="shared" si="13"/>
        <v>-0.173575129533679</v>
      </c>
      <c r="V239" s="2">
        <v>9.29</v>
      </c>
      <c r="W239" s="2">
        <v>9.3</v>
      </c>
      <c r="X239" s="3">
        <f t="shared" si="14"/>
        <v>-0.0100000000000016</v>
      </c>
      <c r="Y239" s="4">
        <f t="shared" si="15"/>
        <v>-0.00107526881720447</v>
      </c>
      <c r="Z239" s="2">
        <v>9.86</v>
      </c>
      <c r="AA239" s="2">
        <v>9.75</v>
      </c>
    </row>
    <row r="240" spans="1:27">
      <c r="A240">
        <v>123128</v>
      </c>
      <c r="B240" t="s">
        <v>510</v>
      </c>
      <c r="C240" s="5">
        <v>44501</v>
      </c>
      <c r="D240">
        <v>370483</v>
      </c>
      <c r="E240">
        <v>300483</v>
      </c>
      <c r="F240" t="s">
        <v>511</v>
      </c>
      <c r="G240">
        <v>0.0113842934</v>
      </c>
      <c r="H240" s="5">
        <v>44518</v>
      </c>
      <c r="I240" t="s">
        <v>44</v>
      </c>
      <c r="J240" s="5">
        <v>44365</v>
      </c>
      <c r="K240" s="8">
        <v>44454</v>
      </c>
      <c r="L240">
        <v>136</v>
      </c>
      <c r="M240" s="2">
        <v>47</v>
      </c>
      <c r="N240" s="2">
        <v>14.31</v>
      </c>
      <c r="O240" s="2">
        <v>14.39</v>
      </c>
      <c r="P240" s="2">
        <v>27.23</v>
      </c>
      <c r="Q240" s="2">
        <v>27.45</v>
      </c>
      <c r="R240" s="2">
        <v>19.77</v>
      </c>
      <c r="S240" s="2">
        <v>19.41</v>
      </c>
      <c r="T240" s="3">
        <f t="shared" si="12"/>
        <v>-8.04</v>
      </c>
      <c r="U240" s="4">
        <f t="shared" si="13"/>
        <v>-0.292896174863388</v>
      </c>
      <c r="V240" s="2">
        <v>18.59</v>
      </c>
      <c r="W240" s="2">
        <v>19.39</v>
      </c>
      <c r="X240" s="3">
        <f t="shared" si="14"/>
        <v>-1.18</v>
      </c>
      <c r="Y240" s="4">
        <f t="shared" si="15"/>
        <v>-0.0608561113976276</v>
      </c>
      <c r="Z240" s="2">
        <v>19.36</v>
      </c>
      <c r="AA240" s="2">
        <v>18.95</v>
      </c>
    </row>
    <row r="241" spans="1:27">
      <c r="A241">
        <v>123126</v>
      </c>
      <c r="B241" t="s">
        <v>512</v>
      </c>
      <c r="C241" s="5">
        <v>44449</v>
      </c>
      <c r="D241">
        <v>370243</v>
      </c>
      <c r="E241">
        <v>300243</v>
      </c>
      <c r="F241" t="s">
        <v>513</v>
      </c>
      <c r="G241">
        <v>0.0012073386</v>
      </c>
      <c r="H241" s="5">
        <v>44487</v>
      </c>
      <c r="I241" t="s">
        <v>110</v>
      </c>
      <c r="J241" s="5">
        <v>44218</v>
      </c>
      <c r="K241" s="8">
        <v>44266</v>
      </c>
      <c r="L241">
        <v>231</v>
      </c>
      <c r="M241" s="2">
        <v>183</v>
      </c>
      <c r="R241" s="2">
        <v>18.29</v>
      </c>
      <c r="S241" s="2">
        <v>17.88</v>
      </c>
      <c r="T241" s="3">
        <f t="shared" si="12"/>
        <v>17.88</v>
      </c>
      <c r="U241" s="4" t="e">
        <f t="shared" si="13"/>
        <v>#DIV/0!</v>
      </c>
      <c r="V241" s="2">
        <v>17.19</v>
      </c>
      <c r="W241" s="2">
        <v>17.03</v>
      </c>
      <c r="X241" s="3">
        <f t="shared" si="14"/>
        <v>-1.1</v>
      </c>
      <c r="Y241" s="4">
        <f t="shared" si="15"/>
        <v>-0.0645918966529652</v>
      </c>
      <c r="Z241" s="2">
        <v>14.51</v>
      </c>
      <c r="AA241" s="2">
        <v>14.82</v>
      </c>
    </row>
    <row r="242" spans="1:27">
      <c r="A242">
        <v>123125</v>
      </c>
      <c r="B242" t="s">
        <v>514</v>
      </c>
      <c r="C242" s="5">
        <v>44445</v>
      </c>
      <c r="D242">
        <v>370174</v>
      </c>
      <c r="E242">
        <v>300174</v>
      </c>
      <c r="F242" t="s">
        <v>515</v>
      </c>
      <c r="G242">
        <v>0.0050720323</v>
      </c>
      <c r="H242" s="5">
        <v>44469</v>
      </c>
      <c r="I242" t="s">
        <v>44</v>
      </c>
      <c r="J242" s="5">
        <v>44394</v>
      </c>
      <c r="K242" s="8">
        <v>44432</v>
      </c>
      <c r="L242">
        <v>51</v>
      </c>
      <c r="M242" s="2">
        <v>13</v>
      </c>
      <c r="N242" s="2">
        <v>15.85</v>
      </c>
      <c r="O242" s="2">
        <v>15.5</v>
      </c>
      <c r="P242" s="2">
        <v>18.01</v>
      </c>
      <c r="Q242" s="2">
        <v>17.42</v>
      </c>
      <c r="R242" s="2">
        <v>17.7</v>
      </c>
      <c r="S242" s="2">
        <v>17.53</v>
      </c>
      <c r="T242" s="3">
        <f t="shared" si="12"/>
        <v>0.109999999999999</v>
      </c>
      <c r="U242" s="4">
        <f t="shared" si="13"/>
        <v>0.00631458094144658</v>
      </c>
      <c r="V242" s="2">
        <v>16.88</v>
      </c>
      <c r="W242" s="2">
        <v>16.7</v>
      </c>
      <c r="X242" s="3">
        <f t="shared" si="14"/>
        <v>-0.82</v>
      </c>
      <c r="Y242" s="4">
        <f t="shared" si="15"/>
        <v>-0.0491017964071856</v>
      </c>
      <c r="Z242" s="2">
        <v>16.08</v>
      </c>
      <c r="AA242" s="2">
        <v>15.95</v>
      </c>
    </row>
    <row r="243" spans="1:27">
      <c r="A243">
        <v>123123</v>
      </c>
      <c r="B243" t="s">
        <v>516</v>
      </c>
      <c r="C243" s="5">
        <v>44420</v>
      </c>
      <c r="D243">
        <v>370666</v>
      </c>
      <c r="E243">
        <v>300666</v>
      </c>
      <c r="F243" t="s">
        <v>517</v>
      </c>
      <c r="G243">
        <v>0.0033476722</v>
      </c>
      <c r="H243" s="5">
        <v>44440</v>
      </c>
      <c r="I243" t="s">
        <v>39</v>
      </c>
      <c r="J243" s="5">
        <v>44295</v>
      </c>
      <c r="K243" s="8">
        <v>44391</v>
      </c>
      <c r="L243">
        <v>125</v>
      </c>
      <c r="M243" s="2">
        <v>29</v>
      </c>
      <c r="P243" s="2">
        <v>48.5</v>
      </c>
      <c r="Q243" s="2">
        <v>47.56</v>
      </c>
      <c r="R243" s="2">
        <v>52.68</v>
      </c>
      <c r="S243" s="2">
        <v>52.77</v>
      </c>
      <c r="T243" s="3">
        <f t="shared" si="12"/>
        <v>5.21</v>
      </c>
      <c r="U243" s="4">
        <f t="shared" si="13"/>
        <v>0.109545836837679</v>
      </c>
      <c r="V243" s="2">
        <v>52</v>
      </c>
      <c r="W243" s="2">
        <v>53.95</v>
      </c>
      <c r="X243" s="3">
        <f t="shared" si="14"/>
        <v>-0.68</v>
      </c>
      <c r="Y243" s="4">
        <f t="shared" si="15"/>
        <v>-0.0126042632066728</v>
      </c>
      <c r="Z243" s="2">
        <v>50.98</v>
      </c>
      <c r="AA243" s="2">
        <v>48.95</v>
      </c>
    </row>
    <row r="244" spans="1:27">
      <c r="A244">
        <v>123122</v>
      </c>
      <c r="B244" t="s">
        <v>518</v>
      </c>
      <c r="C244" s="5">
        <v>44414</v>
      </c>
      <c r="D244">
        <v>370613</v>
      </c>
      <c r="E244">
        <v>300613</v>
      </c>
      <c r="F244" t="s">
        <v>519</v>
      </c>
      <c r="G244">
        <v>0.0021179642</v>
      </c>
      <c r="H244" s="5">
        <v>44432</v>
      </c>
      <c r="I244" t="s">
        <v>39</v>
      </c>
      <c r="J244" s="5">
        <v>44315</v>
      </c>
      <c r="K244" s="8">
        <v>44379</v>
      </c>
      <c r="L244">
        <v>99</v>
      </c>
      <c r="M244" s="2">
        <v>35</v>
      </c>
      <c r="P244" s="2">
        <v>150</v>
      </c>
      <c r="Q244" s="2">
        <v>157.6</v>
      </c>
      <c r="R244" s="2">
        <v>189.88</v>
      </c>
      <c r="S244" s="2">
        <v>187.01</v>
      </c>
      <c r="T244" s="3">
        <f t="shared" si="12"/>
        <v>29.41</v>
      </c>
      <c r="U244" s="4">
        <f t="shared" si="13"/>
        <v>0.186611675126904</v>
      </c>
      <c r="V244" s="2">
        <v>182.29</v>
      </c>
      <c r="W244" s="2">
        <v>181.51</v>
      </c>
      <c r="X244" s="3">
        <f t="shared" si="14"/>
        <v>-7.59</v>
      </c>
      <c r="Y244" s="4">
        <f t="shared" si="15"/>
        <v>-0.0418158779130627</v>
      </c>
      <c r="Z244" s="2">
        <v>185.94</v>
      </c>
      <c r="AA244" s="2">
        <v>187.51</v>
      </c>
    </row>
    <row r="245" spans="1:27">
      <c r="A245">
        <v>123121</v>
      </c>
      <c r="B245" t="s">
        <v>520</v>
      </c>
      <c r="C245" s="5">
        <v>44413</v>
      </c>
      <c r="D245">
        <v>370776</v>
      </c>
      <c r="E245">
        <v>300776</v>
      </c>
      <c r="F245" t="s">
        <v>521</v>
      </c>
      <c r="G245">
        <v>0.0012905978</v>
      </c>
      <c r="H245" s="5">
        <v>44435</v>
      </c>
      <c r="I245" t="s">
        <v>44</v>
      </c>
      <c r="J245" s="5">
        <v>44351</v>
      </c>
      <c r="K245" s="8">
        <v>44397</v>
      </c>
      <c r="L245">
        <v>62</v>
      </c>
      <c r="M245" s="2">
        <v>16</v>
      </c>
      <c r="N245" s="2">
        <v>129</v>
      </c>
      <c r="O245" s="2">
        <v>134.6</v>
      </c>
      <c r="P245" s="2">
        <v>176.5</v>
      </c>
      <c r="Q245" s="2">
        <v>188.8</v>
      </c>
      <c r="R245" s="2">
        <v>191.39</v>
      </c>
      <c r="S245" s="2">
        <v>190.49</v>
      </c>
      <c r="T245" s="3">
        <f t="shared" si="12"/>
        <v>1.69</v>
      </c>
      <c r="U245" s="4">
        <f t="shared" si="13"/>
        <v>0.00895127118644067</v>
      </c>
      <c r="V245" s="2">
        <v>185.76</v>
      </c>
      <c r="W245" s="2">
        <v>176</v>
      </c>
      <c r="X245" s="3">
        <f t="shared" si="14"/>
        <v>-5.63</v>
      </c>
      <c r="Y245" s="4">
        <f t="shared" si="15"/>
        <v>-0.0319886363636363</v>
      </c>
      <c r="Z245" s="2">
        <v>181</v>
      </c>
      <c r="AA245" s="2">
        <v>183.3</v>
      </c>
    </row>
    <row r="246" spans="1:27">
      <c r="A246">
        <v>123120</v>
      </c>
      <c r="B246" t="s">
        <v>522</v>
      </c>
      <c r="C246" s="5">
        <v>44407</v>
      </c>
      <c r="D246">
        <v>370263</v>
      </c>
      <c r="E246">
        <v>300263</v>
      </c>
      <c r="F246" t="s">
        <v>523</v>
      </c>
      <c r="G246">
        <v>0.0022189544</v>
      </c>
      <c r="H246" s="5">
        <v>44431</v>
      </c>
      <c r="I246" t="s">
        <v>44</v>
      </c>
      <c r="J246" s="5">
        <v>44260</v>
      </c>
      <c r="K246" s="8">
        <v>44326</v>
      </c>
      <c r="L246">
        <v>147</v>
      </c>
      <c r="M246" s="2">
        <v>81</v>
      </c>
      <c r="R246" s="2">
        <v>7.55</v>
      </c>
      <c r="S246" s="2">
        <v>7.93</v>
      </c>
      <c r="T246" s="3">
        <f t="shared" si="12"/>
        <v>7.93</v>
      </c>
      <c r="U246" s="4" t="e">
        <f t="shared" si="13"/>
        <v>#DIV/0!</v>
      </c>
      <c r="V246" s="2">
        <v>7.78</v>
      </c>
      <c r="W246" s="2">
        <v>8.33</v>
      </c>
      <c r="X246" s="3">
        <f t="shared" si="14"/>
        <v>0.23</v>
      </c>
      <c r="Y246" s="4">
        <f t="shared" si="15"/>
        <v>0.0276110444177672</v>
      </c>
      <c r="Z246" s="2">
        <v>10.5</v>
      </c>
      <c r="AA246" s="2">
        <v>12.17</v>
      </c>
    </row>
    <row r="247" spans="1:27">
      <c r="A247">
        <v>118001</v>
      </c>
      <c r="B247" t="s">
        <v>524</v>
      </c>
      <c r="C247" s="5">
        <v>44400</v>
      </c>
      <c r="D247">
        <v>718598</v>
      </c>
      <c r="E247">
        <v>688598</v>
      </c>
      <c r="F247" t="s">
        <v>525</v>
      </c>
      <c r="G247">
        <v>0.0017707</v>
      </c>
      <c r="H247" s="5">
        <v>44426</v>
      </c>
      <c r="I247" t="s">
        <v>39</v>
      </c>
      <c r="J247" s="5">
        <v>44315</v>
      </c>
      <c r="K247" s="8">
        <v>44363</v>
      </c>
      <c r="L247">
        <v>85</v>
      </c>
      <c r="M247" s="2">
        <v>37</v>
      </c>
      <c r="P247" s="2">
        <v>214.75</v>
      </c>
      <c r="Q247" s="2">
        <v>209.44</v>
      </c>
      <c r="R247" s="2">
        <v>304.16</v>
      </c>
      <c r="S247" s="2">
        <v>292.31</v>
      </c>
      <c r="T247" s="3">
        <f t="shared" si="12"/>
        <v>82.87</v>
      </c>
      <c r="U247" s="4">
        <f t="shared" si="13"/>
        <v>0.395674178762414</v>
      </c>
      <c r="V247" s="2">
        <v>290.36</v>
      </c>
      <c r="W247" s="2">
        <v>294.01</v>
      </c>
      <c r="X247" s="3">
        <f t="shared" si="14"/>
        <v>-13.8</v>
      </c>
      <c r="Y247" s="4">
        <f t="shared" si="15"/>
        <v>-0.0469371790075168</v>
      </c>
      <c r="Z247" s="2">
        <v>285.14</v>
      </c>
      <c r="AA247" s="2">
        <v>283.87</v>
      </c>
    </row>
    <row r="248" spans="1:27">
      <c r="A248">
        <v>123119</v>
      </c>
      <c r="B248" t="s">
        <v>526</v>
      </c>
      <c r="C248" s="5">
        <v>44392</v>
      </c>
      <c r="D248">
        <v>370601</v>
      </c>
      <c r="E248">
        <v>300601</v>
      </c>
      <c r="F248" t="s">
        <v>527</v>
      </c>
      <c r="G248">
        <v>0.0141817815</v>
      </c>
      <c r="H248" s="5">
        <v>44413</v>
      </c>
      <c r="I248" t="s">
        <v>29</v>
      </c>
      <c r="J248" s="5">
        <v>44315</v>
      </c>
      <c r="K248" s="8">
        <v>44354</v>
      </c>
      <c r="L248">
        <v>77</v>
      </c>
      <c r="M248" s="2">
        <v>38</v>
      </c>
      <c r="P248" s="2">
        <v>166.14</v>
      </c>
      <c r="Q248" s="2">
        <v>169.3</v>
      </c>
      <c r="R248" s="2">
        <v>150.92</v>
      </c>
      <c r="S248" s="2">
        <v>152.12</v>
      </c>
      <c r="T248" s="3">
        <f t="shared" si="12"/>
        <v>-17.18</v>
      </c>
      <c r="U248" s="4">
        <f t="shared" si="13"/>
        <v>-0.101476668635558</v>
      </c>
      <c r="V248" s="2">
        <v>152.11</v>
      </c>
      <c r="W248" s="2">
        <v>149.57</v>
      </c>
      <c r="X248" s="3">
        <f t="shared" si="14"/>
        <v>1.19000000000003</v>
      </c>
      <c r="Y248" s="4">
        <f t="shared" si="15"/>
        <v>0.00795614093735392</v>
      </c>
      <c r="Z248" s="2">
        <v>148.1</v>
      </c>
      <c r="AA248" s="2">
        <v>156.4</v>
      </c>
    </row>
    <row r="249" spans="1:27">
      <c r="A249">
        <v>123118</v>
      </c>
      <c r="B249" t="s">
        <v>528</v>
      </c>
      <c r="C249" s="5">
        <v>44384</v>
      </c>
      <c r="D249">
        <v>370779</v>
      </c>
      <c r="E249">
        <v>300779</v>
      </c>
      <c r="F249" t="s">
        <v>529</v>
      </c>
      <c r="G249">
        <v>0.0024427362</v>
      </c>
      <c r="H249" s="5">
        <v>44403</v>
      </c>
      <c r="I249" t="s">
        <v>39</v>
      </c>
      <c r="J249" s="5">
        <v>44236</v>
      </c>
      <c r="K249" s="8">
        <v>44301</v>
      </c>
      <c r="L249">
        <v>148</v>
      </c>
      <c r="M249" s="2">
        <v>83</v>
      </c>
      <c r="R249" s="2">
        <v>17.64</v>
      </c>
      <c r="S249" s="2">
        <v>17.81</v>
      </c>
      <c r="T249" s="3">
        <f t="shared" si="12"/>
        <v>17.81</v>
      </c>
      <c r="U249" s="4" t="e">
        <f t="shared" si="13"/>
        <v>#DIV/0!</v>
      </c>
      <c r="V249" s="2">
        <v>17.31</v>
      </c>
      <c r="W249" s="2">
        <v>17.79</v>
      </c>
      <c r="X249" s="3">
        <f t="shared" si="14"/>
        <v>-0.330000000000002</v>
      </c>
      <c r="Y249" s="4">
        <f t="shared" si="15"/>
        <v>-0.018549747048904</v>
      </c>
      <c r="Z249" s="2">
        <v>19.26</v>
      </c>
      <c r="AA249" s="2">
        <v>18.27</v>
      </c>
    </row>
    <row r="250" spans="1:27">
      <c r="A250">
        <v>123117</v>
      </c>
      <c r="B250" t="s">
        <v>530</v>
      </c>
      <c r="C250" s="5">
        <v>44370</v>
      </c>
      <c r="D250">
        <v>370529</v>
      </c>
      <c r="E250">
        <v>300529</v>
      </c>
      <c r="F250" t="s">
        <v>531</v>
      </c>
      <c r="G250">
        <v>0.0018136556</v>
      </c>
      <c r="H250" s="5">
        <v>44389</v>
      </c>
      <c r="I250" t="s">
        <v>29</v>
      </c>
      <c r="J250" s="5">
        <v>44159</v>
      </c>
      <c r="K250" s="8">
        <v>44193</v>
      </c>
      <c r="L250">
        <v>211</v>
      </c>
      <c r="M250" s="2">
        <v>177</v>
      </c>
      <c r="R250" s="2">
        <v>85.63</v>
      </c>
      <c r="S250" s="2">
        <v>85.35</v>
      </c>
      <c r="T250" s="3">
        <f t="shared" si="12"/>
        <v>85.35</v>
      </c>
      <c r="U250" s="4" t="e">
        <f t="shared" si="13"/>
        <v>#DIV/0!</v>
      </c>
      <c r="V250" s="2">
        <v>85.05</v>
      </c>
      <c r="W250" s="2">
        <v>83.35</v>
      </c>
      <c r="X250" s="3">
        <f t="shared" si="14"/>
        <v>-0.579999999999998</v>
      </c>
      <c r="Y250" s="4">
        <f t="shared" si="15"/>
        <v>-0.00695860827834431</v>
      </c>
      <c r="Z250" s="2">
        <v>82.9</v>
      </c>
      <c r="AA250" s="2">
        <v>85.87</v>
      </c>
    </row>
    <row r="251" spans="1:27">
      <c r="A251">
        <v>123115</v>
      </c>
      <c r="B251" t="s">
        <v>532</v>
      </c>
      <c r="C251" s="5">
        <v>44355</v>
      </c>
      <c r="D251">
        <v>370623</v>
      </c>
      <c r="E251">
        <v>300623</v>
      </c>
      <c r="F251" t="s">
        <v>533</v>
      </c>
      <c r="G251">
        <v>0.0028256096</v>
      </c>
      <c r="H251" s="5">
        <v>44376</v>
      </c>
      <c r="I251" t="s">
        <v>44</v>
      </c>
      <c r="J251" s="5">
        <v>44251</v>
      </c>
      <c r="K251" s="8">
        <v>44301</v>
      </c>
      <c r="L251">
        <v>104</v>
      </c>
      <c r="M251" s="2">
        <v>54</v>
      </c>
      <c r="R251" s="2">
        <v>30.9</v>
      </c>
      <c r="S251" s="2">
        <v>31.23</v>
      </c>
      <c r="T251" s="3">
        <f t="shared" si="12"/>
        <v>31.23</v>
      </c>
      <c r="U251" s="4" t="e">
        <f t="shared" si="13"/>
        <v>#DIV/0!</v>
      </c>
      <c r="V251" s="2">
        <v>31.01</v>
      </c>
      <c r="W251" s="2">
        <v>31.07</v>
      </c>
      <c r="X251" s="3">
        <f t="shared" si="14"/>
        <v>0.110000000000003</v>
      </c>
      <c r="Y251" s="4">
        <f t="shared" si="15"/>
        <v>0.00354039266173167</v>
      </c>
      <c r="Z251" s="2">
        <v>36.62</v>
      </c>
      <c r="AA251" s="2">
        <v>36.85</v>
      </c>
    </row>
    <row r="252" spans="1:27">
      <c r="A252">
        <v>123114</v>
      </c>
      <c r="B252" t="s">
        <v>534</v>
      </c>
      <c r="C252" s="5">
        <v>44341</v>
      </c>
      <c r="D252">
        <v>370775</v>
      </c>
      <c r="E252">
        <v>300775</v>
      </c>
      <c r="F252" t="s">
        <v>535</v>
      </c>
      <c r="G252">
        <v>0.003312021</v>
      </c>
      <c r="H252" s="5">
        <v>44358</v>
      </c>
      <c r="I252" t="s">
        <v>44</v>
      </c>
      <c r="J252" s="5">
        <v>44133</v>
      </c>
      <c r="K252" s="8">
        <v>44307</v>
      </c>
      <c r="L252">
        <v>208</v>
      </c>
      <c r="M252" s="2">
        <v>34</v>
      </c>
      <c r="T252" s="3">
        <f t="shared" si="12"/>
        <v>0</v>
      </c>
      <c r="U252" s="4" t="e">
        <f t="shared" si="13"/>
        <v>#DIV/0!</v>
      </c>
      <c r="X252" s="3">
        <f t="shared" si="14"/>
        <v>0</v>
      </c>
      <c r="Y252" s="4" t="e">
        <f t="shared" si="15"/>
        <v>#DIV/0!</v>
      </c>
      <c r="Z252" s="2">
        <v>37.7</v>
      </c>
      <c r="AA252" s="2">
        <v>36.6</v>
      </c>
    </row>
    <row r="253" spans="1:25">
      <c r="A253">
        <v>123113</v>
      </c>
      <c r="B253" t="s">
        <v>536</v>
      </c>
      <c r="C253" s="5">
        <v>44305</v>
      </c>
      <c r="D253">
        <v>370791</v>
      </c>
      <c r="E253">
        <v>300791</v>
      </c>
      <c r="F253" t="s">
        <v>537</v>
      </c>
      <c r="G253">
        <v>0.0012972269</v>
      </c>
      <c r="H253" s="5">
        <v>44330</v>
      </c>
      <c r="I253" t="s">
        <v>44</v>
      </c>
      <c r="J253" s="5">
        <v>44251</v>
      </c>
      <c r="K253" s="8">
        <v>44281</v>
      </c>
      <c r="L253">
        <v>54</v>
      </c>
      <c r="M253" s="2">
        <v>24</v>
      </c>
      <c r="T253" s="3">
        <f t="shared" si="12"/>
        <v>0</v>
      </c>
      <c r="U253" s="4" t="e">
        <f t="shared" si="13"/>
        <v>#DIV/0!</v>
      </c>
      <c r="X253" s="3">
        <f t="shared" si="14"/>
        <v>0</v>
      </c>
      <c r="Y253" s="4" t="e">
        <f t="shared" si="15"/>
        <v>#DIV/0!</v>
      </c>
    </row>
    <row r="254" spans="1:25">
      <c r="A254">
        <v>123111</v>
      </c>
      <c r="B254" t="s">
        <v>538</v>
      </c>
      <c r="C254" s="5">
        <v>44293</v>
      </c>
      <c r="D254">
        <v>370059</v>
      </c>
      <c r="E254">
        <v>300059</v>
      </c>
      <c r="F254" t="s">
        <v>539</v>
      </c>
      <c r="G254">
        <v>0.0587697466</v>
      </c>
      <c r="H254" s="5">
        <v>44309</v>
      </c>
      <c r="I254" t="s">
        <v>47</v>
      </c>
      <c r="J254" s="5">
        <v>44224</v>
      </c>
      <c r="K254" s="8">
        <v>44280</v>
      </c>
      <c r="L254">
        <v>69</v>
      </c>
      <c r="M254" s="2">
        <v>13</v>
      </c>
      <c r="T254" s="3">
        <f t="shared" si="12"/>
        <v>0</v>
      </c>
      <c r="U254" s="4" t="e">
        <f t="shared" si="13"/>
        <v>#DIV/0!</v>
      </c>
      <c r="X254" s="3">
        <f t="shared" si="14"/>
        <v>0</v>
      </c>
      <c r="Y254" s="4" t="e">
        <f t="shared" si="15"/>
        <v>#DIV/0!</v>
      </c>
    </row>
    <row r="255" spans="1:25">
      <c r="A255">
        <v>123110</v>
      </c>
      <c r="B255" t="s">
        <v>540</v>
      </c>
      <c r="C255" s="5">
        <v>44287</v>
      </c>
      <c r="D255">
        <v>370705</v>
      </c>
      <c r="E255">
        <v>300705</v>
      </c>
      <c r="F255" t="s">
        <v>222</v>
      </c>
      <c r="G255">
        <v>0.0021121042</v>
      </c>
      <c r="H255" s="5">
        <v>44309</v>
      </c>
      <c r="I255" t="s">
        <v>39</v>
      </c>
      <c r="J255" s="5">
        <v>44125</v>
      </c>
      <c r="K255" s="8">
        <v>44209</v>
      </c>
      <c r="L255">
        <v>162</v>
      </c>
      <c r="M255" s="2">
        <v>78</v>
      </c>
      <c r="T255" s="3">
        <f t="shared" si="12"/>
        <v>0</v>
      </c>
      <c r="U255" s="4" t="e">
        <f t="shared" si="13"/>
        <v>#DIV/0!</v>
      </c>
      <c r="X255" s="3">
        <f t="shared" si="14"/>
        <v>0</v>
      </c>
      <c r="Y255" s="4" t="e">
        <f t="shared" si="15"/>
        <v>#DIV/0!</v>
      </c>
    </row>
    <row r="256" spans="1:25">
      <c r="A256">
        <v>123109</v>
      </c>
      <c r="B256" t="s">
        <v>541</v>
      </c>
      <c r="C256" s="5">
        <v>44287</v>
      </c>
      <c r="D256">
        <v>370151</v>
      </c>
      <c r="E256">
        <v>300151</v>
      </c>
      <c r="F256" t="s">
        <v>542</v>
      </c>
      <c r="G256">
        <v>0.0045166298</v>
      </c>
      <c r="H256" s="5">
        <v>44305</v>
      </c>
      <c r="I256" t="s">
        <v>44</v>
      </c>
      <c r="J256" s="5">
        <v>44211</v>
      </c>
      <c r="K256" s="8">
        <v>44266</v>
      </c>
      <c r="L256">
        <v>76</v>
      </c>
      <c r="M256" s="2">
        <v>21</v>
      </c>
      <c r="T256" s="3">
        <f t="shared" si="12"/>
        <v>0</v>
      </c>
      <c r="U256" s="4" t="e">
        <f t="shared" si="13"/>
        <v>#DIV/0!</v>
      </c>
      <c r="X256" s="3">
        <f t="shared" si="14"/>
        <v>0</v>
      </c>
      <c r="Y256" s="4" t="e">
        <f t="shared" si="15"/>
        <v>#DIV/0!</v>
      </c>
    </row>
    <row r="257" spans="1:25">
      <c r="A257">
        <v>123108</v>
      </c>
      <c r="B257" t="s">
        <v>543</v>
      </c>
      <c r="C257" s="5">
        <v>44285</v>
      </c>
      <c r="D257">
        <v>370003</v>
      </c>
      <c r="E257">
        <v>300003</v>
      </c>
      <c r="F257" t="s">
        <v>544</v>
      </c>
      <c r="G257">
        <v>0.0172882477</v>
      </c>
      <c r="H257" s="5">
        <v>44305</v>
      </c>
      <c r="I257" t="s">
        <v>47</v>
      </c>
      <c r="J257" s="5">
        <v>44231</v>
      </c>
      <c r="K257" s="8">
        <v>44267</v>
      </c>
      <c r="L257">
        <v>54</v>
      </c>
      <c r="M257" s="2">
        <v>18</v>
      </c>
      <c r="T257" s="3">
        <f t="shared" si="12"/>
        <v>0</v>
      </c>
      <c r="U257" s="4" t="e">
        <f t="shared" si="13"/>
        <v>#DIV/0!</v>
      </c>
      <c r="X257" s="3">
        <f t="shared" si="14"/>
        <v>0</v>
      </c>
      <c r="Y257" s="4" t="e">
        <f t="shared" si="15"/>
        <v>#DIV/0!</v>
      </c>
    </row>
    <row r="258" spans="1:25">
      <c r="A258">
        <v>123107</v>
      </c>
      <c r="B258" t="s">
        <v>545</v>
      </c>
      <c r="C258" s="5">
        <v>44284</v>
      </c>
      <c r="D258">
        <v>370498</v>
      </c>
      <c r="E258">
        <v>300498</v>
      </c>
      <c r="F258" t="s">
        <v>546</v>
      </c>
      <c r="G258">
        <v>0.0170006161</v>
      </c>
      <c r="H258" s="5">
        <v>44307</v>
      </c>
      <c r="I258" t="s">
        <v>32</v>
      </c>
      <c r="J258" s="5">
        <v>44190</v>
      </c>
      <c r="K258" s="8">
        <v>44236</v>
      </c>
      <c r="L258">
        <v>94</v>
      </c>
      <c r="M258" s="2">
        <v>48</v>
      </c>
      <c r="T258" s="3">
        <f t="shared" si="12"/>
        <v>0</v>
      </c>
      <c r="U258" s="4" t="e">
        <f t="shared" si="13"/>
        <v>#DIV/0!</v>
      </c>
      <c r="X258" s="3">
        <f t="shared" si="14"/>
        <v>0</v>
      </c>
      <c r="Y258" s="4" t="e">
        <f t="shared" si="15"/>
        <v>#DIV/0!</v>
      </c>
    </row>
    <row r="259" spans="1:25">
      <c r="A259">
        <v>123106</v>
      </c>
      <c r="B259" t="s">
        <v>547</v>
      </c>
      <c r="C259" s="5">
        <v>44279</v>
      </c>
      <c r="D259">
        <v>370641</v>
      </c>
      <c r="E259">
        <v>300641</v>
      </c>
      <c r="F259" t="s">
        <v>548</v>
      </c>
      <c r="G259">
        <v>0.0052517895</v>
      </c>
      <c r="H259" s="5">
        <v>44306</v>
      </c>
      <c r="I259" t="s">
        <v>44</v>
      </c>
      <c r="J259" s="5">
        <v>44120</v>
      </c>
      <c r="K259" s="8">
        <v>44173</v>
      </c>
      <c r="L259">
        <v>159</v>
      </c>
      <c r="M259" s="2">
        <v>106</v>
      </c>
      <c r="T259" s="3">
        <f t="shared" ref="T259:T296" si="16">S259-Q259</f>
        <v>0</v>
      </c>
      <c r="U259" s="4" t="e">
        <f t="shared" ref="U259:U296" si="17">T259/Q259</f>
        <v>#DIV/0!</v>
      </c>
      <c r="X259" s="3">
        <f t="shared" ref="X259:X296" si="18">V259-R259</f>
        <v>0</v>
      </c>
      <c r="Y259" s="4" t="e">
        <f t="shared" ref="Y259:Y296" si="19">X259/W259</f>
        <v>#DIV/0!</v>
      </c>
    </row>
    <row r="260" spans="1:25">
      <c r="A260">
        <v>123105</v>
      </c>
      <c r="B260" t="s">
        <v>549</v>
      </c>
      <c r="C260" s="5">
        <v>44274</v>
      </c>
      <c r="D260">
        <v>370229</v>
      </c>
      <c r="E260">
        <v>300229</v>
      </c>
      <c r="F260" t="s">
        <v>550</v>
      </c>
      <c r="G260">
        <v>0.0053683832</v>
      </c>
      <c r="H260" s="5">
        <v>44313</v>
      </c>
      <c r="I260" t="s">
        <v>44</v>
      </c>
      <c r="J260" s="5">
        <v>44097</v>
      </c>
      <c r="K260" s="8">
        <v>44222</v>
      </c>
      <c r="L260">
        <v>177</v>
      </c>
      <c r="M260" s="2">
        <v>52</v>
      </c>
      <c r="T260" s="3">
        <f t="shared" si="16"/>
        <v>0</v>
      </c>
      <c r="U260" s="4" t="e">
        <f t="shared" si="17"/>
        <v>#DIV/0!</v>
      </c>
      <c r="X260" s="3">
        <f t="shared" si="18"/>
        <v>0</v>
      </c>
      <c r="Y260" s="4" t="e">
        <f t="shared" si="19"/>
        <v>#DIV/0!</v>
      </c>
    </row>
    <row r="261" spans="1:25">
      <c r="A261">
        <v>123104</v>
      </c>
      <c r="B261" t="s">
        <v>551</v>
      </c>
      <c r="C261" s="5">
        <v>44271</v>
      </c>
      <c r="D261">
        <v>370253</v>
      </c>
      <c r="E261">
        <v>300253</v>
      </c>
      <c r="F261" t="s">
        <v>552</v>
      </c>
      <c r="G261">
        <v>0.0072930284</v>
      </c>
      <c r="H261" s="5">
        <v>44286</v>
      </c>
      <c r="I261" t="s">
        <v>29</v>
      </c>
      <c r="J261" s="5">
        <v>44195</v>
      </c>
      <c r="K261" s="8">
        <v>44235</v>
      </c>
      <c r="L261">
        <v>76</v>
      </c>
      <c r="M261" s="2">
        <v>36</v>
      </c>
      <c r="T261" s="3">
        <f t="shared" si="16"/>
        <v>0</v>
      </c>
      <c r="U261" s="4" t="e">
        <f t="shared" si="17"/>
        <v>#DIV/0!</v>
      </c>
      <c r="X261" s="3">
        <f t="shared" si="18"/>
        <v>0</v>
      </c>
      <c r="Y261" s="4" t="e">
        <f t="shared" si="19"/>
        <v>#DIV/0!</v>
      </c>
    </row>
    <row r="262" spans="1:25">
      <c r="A262">
        <v>123103</v>
      </c>
      <c r="B262" t="s">
        <v>553</v>
      </c>
      <c r="C262" s="5">
        <v>44267</v>
      </c>
      <c r="D262">
        <v>370767</v>
      </c>
      <c r="E262">
        <v>300767</v>
      </c>
      <c r="F262" t="s">
        <v>554</v>
      </c>
      <c r="G262">
        <v>0.0020636122</v>
      </c>
      <c r="H262" s="5">
        <v>44286</v>
      </c>
      <c r="I262" t="s">
        <v>39</v>
      </c>
      <c r="J262" s="5">
        <v>44183</v>
      </c>
      <c r="K262" s="8">
        <v>44225</v>
      </c>
      <c r="L262">
        <v>84</v>
      </c>
      <c r="M262" s="2">
        <v>42</v>
      </c>
      <c r="T262" s="3">
        <f t="shared" si="16"/>
        <v>0</v>
      </c>
      <c r="U262" s="4" t="e">
        <f t="shared" si="17"/>
        <v>#DIV/0!</v>
      </c>
      <c r="X262" s="3">
        <f t="shared" si="18"/>
        <v>0</v>
      </c>
      <c r="Y262" s="4" t="e">
        <f t="shared" si="19"/>
        <v>#DIV/0!</v>
      </c>
    </row>
    <row r="263" spans="1:25">
      <c r="A263">
        <v>123102</v>
      </c>
      <c r="B263" t="s">
        <v>555</v>
      </c>
      <c r="C263" s="5">
        <v>44267</v>
      </c>
      <c r="D263">
        <v>370490</v>
      </c>
      <c r="E263">
        <v>300490</v>
      </c>
      <c r="F263" t="s">
        <v>556</v>
      </c>
      <c r="G263">
        <v>0.0083448947</v>
      </c>
      <c r="H263" s="5">
        <v>44287</v>
      </c>
      <c r="I263" t="s">
        <v>44</v>
      </c>
      <c r="J263" s="5">
        <v>44056</v>
      </c>
      <c r="K263" s="8">
        <v>44130</v>
      </c>
      <c r="L263">
        <v>211</v>
      </c>
      <c r="M263" s="2">
        <v>137</v>
      </c>
      <c r="T263" s="3">
        <f t="shared" si="16"/>
        <v>0</v>
      </c>
      <c r="U263" s="4" t="e">
        <f t="shared" si="17"/>
        <v>#DIV/0!</v>
      </c>
      <c r="X263" s="3">
        <f t="shared" si="18"/>
        <v>0</v>
      </c>
      <c r="Y263" s="4" t="e">
        <f t="shared" si="19"/>
        <v>#DIV/0!</v>
      </c>
    </row>
    <row r="264" spans="1:25">
      <c r="A264">
        <v>123101</v>
      </c>
      <c r="B264" t="s">
        <v>557</v>
      </c>
      <c r="C264" s="5">
        <v>44265</v>
      </c>
      <c r="D264">
        <v>370607</v>
      </c>
      <c r="E264">
        <v>300607</v>
      </c>
      <c r="F264" t="s">
        <v>558</v>
      </c>
      <c r="G264">
        <v>0.0043718239</v>
      </c>
      <c r="H264" s="5">
        <v>44284</v>
      </c>
      <c r="I264" t="s">
        <v>29</v>
      </c>
      <c r="J264" s="5">
        <v>44196</v>
      </c>
      <c r="K264" s="8">
        <v>44237</v>
      </c>
      <c r="L264">
        <v>69</v>
      </c>
      <c r="M264" s="2">
        <v>28</v>
      </c>
      <c r="T264" s="3">
        <f t="shared" si="16"/>
        <v>0</v>
      </c>
      <c r="U264" s="4" t="e">
        <f t="shared" si="17"/>
        <v>#DIV/0!</v>
      </c>
      <c r="X264" s="3">
        <f t="shared" si="18"/>
        <v>0</v>
      </c>
      <c r="Y264" s="4" t="e">
        <f t="shared" si="19"/>
        <v>#DIV/0!</v>
      </c>
    </row>
    <row r="265" spans="1:25">
      <c r="A265">
        <v>118000</v>
      </c>
      <c r="B265" t="s">
        <v>559</v>
      </c>
      <c r="C265" s="5">
        <v>44250</v>
      </c>
      <c r="D265">
        <v>718388</v>
      </c>
      <c r="E265">
        <v>688388</v>
      </c>
      <c r="F265" t="s">
        <v>560</v>
      </c>
      <c r="G265">
        <v>0.00538537</v>
      </c>
      <c r="H265" s="5">
        <v>44270</v>
      </c>
      <c r="I265" t="s">
        <v>39</v>
      </c>
      <c r="J265" s="5">
        <v>44181</v>
      </c>
      <c r="K265" s="8">
        <v>44225</v>
      </c>
      <c r="L265">
        <v>69</v>
      </c>
      <c r="M265" s="2">
        <v>25</v>
      </c>
      <c r="T265" s="3">
        <f t="shared" si="16"/>
        <v>0</v>
      </c>
      <c r="U265" s="4" t="e">
        <f t="shared" si="17"/>
        <v>#DIV/0!</v>
      </c>
      <c r="X265" s="3">
        <f t="shared" si="18"/>
        <v>0</v>
      </c>
      <c r="Y265" s="4" t="e">
        <f t="shared" si="19"/>
        <v>#DIV/0!</v>
      </c>
    </row>
    <row r="266" spans="1:25">
      <c r="A266">
        <v>123100</v>
      </c>
      <c r="B266" t="s">
        <v>561</v>
      </c>
      <c r="C266" s="5">
        <v>44236</v>
      </c>
      <c r="D266">
        <v>370543</v>
      </c>
      <c r="E266">
        <v>300543</v>
      </c>
      <c r="F266" t="s">
        <v>562</v>
      </c>
      <c r="G266">
        <v>0.0057083238</v>
      </c>
      <c r="H266" s="5">
        <v>44271</v>
      </c>
      <c r="I266" t="s">
        <v>44</v>
      </c>
      <c r="J266" s="5">
        <v>44120</v>
      </c>
      <c r="K266" s="8">
        <v>44174</v>
      </c>
      <c r="L266">
        <v>116</v>
      </c>
      <c r="M266" s="2">
        <v>62</v>
      </c>
      <c r="T266" s="3">
        <f t="shared" si="16"/>
        <v>0</v>
      </c>
      <c r="U266" s="4" t="e">
        <f t="shared" si="17"/>
        <v>#DIV/0!</v>
      </c>
      <c r="X266" s="3">
        <f t="shared" si="18"/>
        <v>0</v>
      </c>
      <c r="Y266" s="4" t="e">
        <f t="shared" si="19"/>
        <v>#DIV/0!</v>
      </c>
    </row>
    <row r="267" spans="1:25">
      <c r="A267">
        <v>123098</v>
      </c>
      <c r="B267" t="s">
        <v>563</v>
      </c>
      <c r="C267" s="5">
        <v>44224</v>
      </c>
      <c r="D267">
        <v>370723</v>
      </c>
      <c r="E267">
        <v>300723</v>
      </c>
      <c r="F267" t="s">
        <v>564</v>
      </c>
      <c r="G267">
        <v>0.0009778488</v>
      </c>
      <c r="H267" s="5">
        <v>44250</v>
      </c>
      <c r="I267" t="s">
        <v>44</v>
      </c>
      <c r="J267" s="5">
        <v>44133</v>
      </c>
      <c r="K267" s="8">
        <v>44173</v>
      </c>
      <c r="L267">
        <v>91</v>
      </c>
      <c r="M267" s="2">
        <v>51</v>
      </c>
      <c r="T267" s="3">
        <f t="shared" si="16"/>
        <v>0</v>
      </c>
      <c r="U267" s="4" t="e">
        <f t="shared" si="17"/>
        <v>#DIV/0!</v>
      </c>
      <c r="X267" s="3">
        <f t="shared" si="18"/>
        <v>0</v>
      </c>
      <c r="Y267" s="4" t="e">
        <f t="shared" si="19"/>
        <v>#DIV/0!</v>
      </c>
    </row>
    <row r="268" spans="1:25">
      <c r="A268">
        <v>123097</v>
      </c>
      <c r="B268" t="s">
        <v>565</v>
      </c>
      <c r="C268" s="5">
        <v>44223</v>
      </c>
      <c r="D268">
        <v>370611</v>
      </c>
      <c r="E268">
        <v>300611</v>
      </c>
      <c r="F268" t="s">
        <v>566</v>
      </c>
      <c r="G268">
        <v>0.0017836629</v>
      </c>
      <c r="H268" s="5">
        <v>44251</v>
      </c>
      <c r="I268" t="s">
        <v>39</v>
      </c>
      <c r="J268" s="5">
        <v>44125</v>
      </c>
      <c r="K268" s="8">
        <v>44209</v>
      </c>
      <c r="L268">
        <v>98</v>
      </c>
      <c r="M268" s="2">
        <v>14</v>
      </c>
      <c r="T268" s="3">
        <f t="shared" si="16"/>
        <v>0</v>
      </c>
      <c r="U268" s="4" t="e">
        <f t="shared" si="17"/>
        <v>#DIV/0!</v>
      </c>
      <c r="X268" s="3">
        <f t="shared" si="18"/>
        <v>0</v>
      </c>
      <c r="Y268" s="4" t="e">
        <f t="shared" si="19"/>
        <v>#DIV/0!</v>
      </c>
    </row>
    <row r="269" spans="1:25">
      <c r="A269">
        <v>123096</v>
      </c>
      <c r="B269" t="s">
        <v>567</v>
      </c>
      <c r="C269" s="5">
        <v>44222</v>
      </c>
      <c r="D269">
        <v>370078</v>
      </c>
      <c r="E269">
        <v>300078</v>
      </c>
      <c r="F269" t="s">
        <v>568</v>
      </c>
      <c r="G269">
        <v>0.0054656157</v>
      </c>
      <c r="H269" s="5">
        <v>44256</v>
      </c>
      <c r="I269" t="s">
        <v>569</v>
      </c>
      <c r="J269" s="5">
        <v>44126</v>
      </c>
      <c r="K269" s="8">
        <v>44181</v>
      </c>
      <c r="L269">
        <v>96</v>
      </c>
      <c r="M269" s="2">
        <v>41</v>
      </c>
      <c r="T269" s="3">
        <f t="shared" si="16"/>
        <v>0</v>
      </c>
      <c r="U269" s="4" t="e">
        <f t="shared" si="17"/>
        <v>#DIV/0!</v>
      </c>
      <c r="X269" s="3">
        <f t="shared" si="18"/>
        <v>0</v>
      </c>
      <c r="Y269" s="4" t="e">
        <f t="shared" si="19"/>
        <v>#DIV/0!</v>
      </c>
    </row>
    <row r="270" spans="1:25">
      <c r="A270">
        <v>123094</v>
      </c>
      <c r="B270" t="s">
        <v>570</v>
      </c>
      <c r="C270" s="5">
        <v>44216</v>
      </c>
      <c r="D270">
        <v>370568</v>
      </c>
      <c r="E270">
        <v>300568</v>
      </c>
      <c r="F270" t="s">
        <v>571</v>
      </c>
      <c r="G270">
        <v>0.0052075383</v>
      </c>
      <c r="H270" s="5">
        <v>44286</v>
      </c>
      <c r="I270" t="s">
        <v>29</v>
      </c>
      <c r="J270" s="5">
        <v>44132</v>
      </c>
      <c r="K270" s="8">
        <v>44182</v>
      </c>
      <c r="L270">
        <v>84</v>
      </c>
      <c r="M270" s="2">
        <v>34</v>
      </c>
      <c r="T270" s="3">
        <f t="shared" si="16"/>
        <v>0</v>
      </c>
      <c r="U270" s="4" t="e">
        <f t="shared" si="17"/>
        <v>#DIV/0!</v>
      </c>
      <c r="X270" s="3">
        <f t="shared" si="18"/>
        <v>0</v>
      </c>
      <c r="Y270" s="4" t="e">
        <f t="shared" si="19"/>
        <v>#DIV/0!</v>
      </c>
    </row>
    <row r="271" spans="1:25">
      <c r="A271">
        <v>123093</v>
      </c>
      <c r="B271" t="s">
        <v>572</v>
      </c>
      <c r="C271" s="5">
        <v>44215</v>
      </c>
      <c r="D271">
        <v>370651</v>
      </c>
      <c r="E271">
        <v>300651</v>
      </c>
      <c r="F271" t="s">
        <v>573</v>
      </c>
      <c r="G271">
        <v>0.0004956518</v>
      </c>
      <c r="H271" s="5">
        <v>44245</v>
      </c>
      <c r="I271" t="s">
        <v>39</v>
      </c>
      <c r="J271" s="5">
        <v>44148</v>
      </c>
      <c r="K271" s="8">
        <v>44194</v>
      </c>
      <c r="L271">
        <v>67</v>
      </c>
      <c r="M271" s="2">
        <v>21</v>
      </c>
      <c r="T271" s="3">
        <f t="shared" si="16"/>
        <v>0</v>
      </c>
      <c r="U271" s="4" t="e">
        <f t="shared" si="17"/>
        <v>#DIV/0!</v>
      </c>
      <c r="X271" s="3">
        <f t="shared" si="18"/>
        <v>0</v>
      </c>
      <c r="Y271" s="4" t="e">
        <f t="shared" si="19"/>
        <v>#DIV/0!</v>
      </c>
    </row>
    <row r="272" spans="1:25">
      <c r="A272">
        <v>123091</v>
      </c>
      <c r="B272" t="s">
        <v>574</v>
      </c>
      <c r="C272" s="5">
        <v>44188</v>
      </c>
      <c r="D272">
        <v>370196</v>
      </c>
      <c r="E272">
        <v>300196</v>
      </c>
      <c r="F272" t="s">
        <v>575</v>
      </c>
      <c r="G272">
        <v>0.0014067053</v>
      </c>
      <c r="H272" s="5">
        <v>44211</v>
      </c>
      <c r="I272" t="s">
        <v>29</v>
      </c>
      <c r="J272" s="5">
        <v>44120</v>
      </c>
      <c r="K272" s="8">
        <v>44160</v>
      </c>
      <c r="L272">
        <v>68</v>
      </c>
      <c r="M272" s="2">
        <v>28</v>
      </c>
      <c r="T272" s="3">
        <f t="shared" si="16"/>
        <v>0</v>
      </c>
      <c r="U272" s="4" t="e">
        <f t="shared" si="17"/>
        <v>#DIV/0!</v>
      </c>
      <c r="X272" s="3">
        <f t="shared" si="18"/>
        <v>0</v>
      </c>
      <c r="Y272" s="4" t="e">
        <f t="shared" si="19"/>
        <v>#DIV/0!</v>
      </c>
    </row>
    <row r="273" spans="1:25">
      <c r="A273">
        <v>123090</v>
      </c>
      <c r="B273" t="s">
        <v>576</v>
      </c>
      <c r="C273" s="5">
        <v>44186</v>
      </c>
      <c r="D273">
        <v>370298</v>
      </c>
      <c r="E273">
        <v>300298</v>
      </c>
      <c r="F273" t="s">
        <v>577</v>
      </c>
      <c r="G273">
        <v>0.0024221039</v>
      </c>
      <c r="H273" s="5">
        <v>44208</v>
      </c>
      <c r="I273" t="s">
        <v>29</v>
      </c>
      <c r="J273" s="5">
        <v>44090</v>
      </c>
      <c r="K273" s="8">
        <v>44153</v>
      </c>
      <c r="L273">
        <v>96</v>
      </c>
      <c r="M273" s="2">
        <v>33</v>
      </c>
      <c r="T273" s="3">
        <f t="shared" si="16"/>
        <v>0</v>
      </c>
      <c r="U273" s="4" t="e">
        <f t="shared" si="17"/>
        <v>#DIV/0!</v>
      </c>
      <c r="X273" s="3">
        <f t="shared" si="18"/>
        <v>0</v>
      </c>
      <c r="Y273" s="4" t="e">
        <f t="shared" si="19"/>
        <v>#DIV/0!</v>
      </c>
    </row>
    <row r="274" spans="1:25">
      <c r="A274">
        <v>123089</v>
      </c>
      <c r="B274" t="s">
        <v>578</v>
      </c>
      <c r="C274" s="5">
        <v>44186</v>
      </c>
      <c r="D274">
        <v>370040</v>
      </c>
      <c r="E274">
        <v>300040</v>
      </c>
      <c r="F274" t="s">
        <v>579</v>
      </c>
      <c r="G274">
        <v>0.0021923237</v>
      </c>
      <c r="H274" s="5">
        <v>44204</v>
      </c>
      <c r="I274" t="s">
        <v>44</v>
      </c>
      <c r="J274" s="5">
        <v>44098</v>
      </c>
      <c r="K274" s="8">
        <v>44172</v>
      </c>
      <c r="L274">
        <v>88</v>
      </c>
      <c r="M274" s="2">
        <v>14</v>
      </c>
      <c r="T274" s="3">
        <f t="shared" si="16"/>
        <v>0</v>
      </c>
      <c r="U274" s="4" t="e">
        <f t="shared" si="17"/>
        <v>#DIV/0!</v>
      </c>
      <c r="X274" s="3">
        <f t="shared" si="18"/>
        <v>0</v>
      </c>
      <c r="Y274" s="4" t="e">
        <f t="shared" si="19"/>
        <v>#DIV/0!</v>
      </c>
    </row>
    <row r="275" spans="1:25">
      <c r="A275">
        <v>123088</v>
      </c>
      <c r="B275" t="s">
        <v>580</v>
      </c>
      <c r="C275" s="5">
        <v>44180</v>
      </c>
      <c r="D275">
        <v>370707</v>
      </c>
      <c r="E275">
        <v>300707</v>
      </c>
      <c r="F275" t="s">
        <v>581</v>
      </c>
      <c r="G275">
        <v>0.0015096482</v>
      </c>
      <c r="H275" s="5">
        <v>44202</v>
      </c>
      <c r="I275" t="s">
        <v>39</v>
      </c>
      <c r="J275" s="5">
        <v>44099</v>
      </c>
      <c r="K275" s="8">
        <v>44140</v>
      </c>
      <c r="L275">
        <v>81</v>
      </c>
      <c r="M275" s="2">
        <v>40</v>
      </c>
      <c r="T275" s="3">
        <f t="shared" si="16"/>
        <v>0</v>
      </c>
      <c r="U275" s="4" t="e">
        <f t="shared" si="17"/>
        <v>#DIV/0!</v>
      </c>
      <c r="X275" s="3">
        <f t="shared" si="18"/>
        <v>0</v>
      </c>
      <c r="Y275" s="4" t="e">
        <f t="shared" si="19"/>
        <v>#DIV/0!</v>
      </c>
    </row>
    <row r="276" spans="1:25">
      <c r="A276">
        <v>123086</v>
      </c>
      <c r="B276" t="s">
        <v>582</v>
      </c>
      <c r="C276" s="5">
        <v>44176</v>
      </c>
      <c r="D276">
        <v>370065</v>
      </c>
      <c r="E276">
        <v>300065</v>
      </c>
      <c r="F276" t="s">
        <v>583</v>
      </c>
      <c r="G276">
        <v>0.003484704</v>
      </c>
      <c r="H276" s="5">
        <v>44235</v>
      </c>
      <c r="I276" t="s">
        <v>44</v>
      </c>
      <c r="J276" s="5">
        <v>44098</v>
      </c>
      <c r="K276" s="8">
        <v>44159</v>
      </c>
      <c r="L276">
        <v>78</v>
      </c>
      <c r="M276" s="2">
        <v>17</v>
      </c>
      <c r="T276" s="3">
        <f t="shared" si="16"/>
        <v>0</v>
      </c>
      <c r="U276" s="4" t="e">
        <f t="shared" si="17"/>
        <v>#DIV/0!</v>
      </c>
      <c r="X276" s="3">
        <f t="shared" si="18"/>
        <v>0</v>
      </c>
      <c r="Y276" s="4" t="e">
        <f t="shared" si="19"/>
        <v>#DIV/0!</v>
      </c>
    </row>
    <row r="277" spans="1:25">
      <c r="A277">
        <v>123085</v>
      </c>
      <c r="B277" t="s">
        <v>584</v>
      </c>
      <c r="C277" s="5">
        <v>44176</v>
      </c>
      <c r="D277">
        <v>370057</v>
      </c>
      <c r="E277">
        <v>300057</v>
      </c>
      <c r="F277" t="s">
        <v>585</v>
      </c>
      <c r="G277">
        <v>0.0035536171</v>
      </c>
      <c r="H277" s="5">
        <v>44193</v>
      </c>
      <c r="I277" t="s">
        <v>44</v>
      </c>
      <c r="J277" s="5">
        <v>44099</v>
      </c>
      <c r="K277" s="8">
        <v>44141</v>
      </c>
      <c r="L277">
        <v>77</v>
      </c>
      <c r="M277" s="2">
        <v>35</v>
      </c>
      <c r="T277" s="3">
        <f t="shared" si="16"/>
        <v>0</v>
      </c>
      <c r="U277" s="4" t="e">
        <f t="shared" si="17"/>
        <v>#DIV/0!</v>
      </c>
      <c r="X277" s="3">
        <f t="shared" si="18"/>
        <v>0</v>
      </c>
      <c r="Y277" s="4" t="e">
        <f t="shared" si="19"/>
        <v>#DIV/0!</v>
      </c>
    </row>
    <row r="278" spans="1:25">
      <c r="A278">
        <v>123084</v>
      </c>
      <c r="B278" t="s">
        <v>586</v>
      </c>
      <c r="C278" s="5">
        <v>44175</v>
      </c>
      <c r="D278">
        <v>370499</v>
      </c>
      <c r="E278">
        <v>300499</v>
      </c>
      <c r="F278" t="s">
        <v>587</v>
      </c>
      <c r="G278">
        <v>0.0010784413</v>
      </c>
      <c r="H278" s="5">
        <v>44204</v>
      </c>
      <c r="I278" t="s">
        <v>39</v>
      </c>
      <c r="J278" s="5">
        <v>44091</v>
      </c>
      <c r="K278" s="8">
        <v>44160</v>
      </c>
      <c r="L278">
        <v>84</v>
      </c>
      <c r="M278" s="2">
        <v>15</v>
      </c>
      <c r="T278" s="3">
        <f t="shared" si="16"/>
        <v>0</v>
      </c>
      <c r="U278" s="4" t="e">
        <f t="shared" si="17"/>
        <v>#DIV/0!</v>
      </c>
      <c r="X278" s="3">
        <f t="shared" si="18"/>
        <v>0</v>
      </c>
      <c r="Y278" s="4" t="e">
        <f t="shared" si="19"/>
        <v>#DIV/0!</v>
      </c>
    </row>
    <row r="279" spans="1:25">
      <c r="A279">
        <v>123082</v>
      </c>
      <c r="B279" t="s">
        <v>588</v>
      </c>
      <c r="C279" s="5">
        <v>44172</v>
      </c>
      <c r="D279">
        <v>370016</v>
      </c>
      <c r="E279">
        <v>300016</v>
      </c>
      <c r="F279" t="s">
        <v>589</v>
      </c>
      <c r="G279">
        <v>0.0017313567</v>
      </c>
      <c r="H279" s="5">
        <v>44193</v>
      </c>
      <c r="I279" t="s">
        <v>110</v>
      </c>
      <c r="J279" s="5">
        <v>44084</v>
      </c>
      <c r="K279" s="8">
        <v>44141</v>
      </c>
      <c r="L279">
        <v>88</v>
      </c>
      <c r="M279" s="2">
        <v>31</v>
      </c>
      <c r="T279" s="3">
        <f t="shared" si="16"/>
        <v>0</v>
      </c>
      <c r="U279" s="4" t="e">
        <f t="shared" si="17"/>
        <v>#DIV/0!</v>
      </c>
      <c r="X279" s="3">
        <f t="shared" si="18"/>
        <v>0</v>
      </c>
      <c r="Y279" s="4" t="e">
        <f t="shared" si="19"/>
        <v>#DIV/0!</v>
      </c>
    </row>
    <row r="280" spans="1:25">
      <c r="A280">
        <v>123080</v>
      </c>
      <c r="B280" t="s">
        <v>590</v>
      </c>
      <c r="C280" s="5">
        <v>44167</v>
      </c>
      <c r="D280">
        <v>370517</v>
      </c>
      <c r="E280">
        <v>300517</v>
      </c>
      <c r="F280" t="s">
        <v>591</v>
      </c>
      <c r="G280">
        <v>0.0006796921</v>
      </c>
      <c r="H280" s="5">
        <v>44187</v>
      </c>
      <c r="I280" t="s">
        <v>39</v>
      </c>
      <c r="J280" s="5">
        <v>44042</v>
      </c>
      <c r="K280" s="8">
        <v>44082</v>
      </c>
      <c r="L280">
        <v>125</v>
      </c>
      <c r="M280" s="2">
        <v>85</v>
      </c>
      <c r="T280" s="3">
        <f t="shared" si="16"/>
        <v>0</v>
      </c>
      <c r="U280" s="4" t="e">
        <f t="shared" si="17"/>
        <v>#DIV/0!</v>
      </c>
      <c r="X280" s="3">
        <f t="shared" si="18"/>
        <v>0</v>
      </c>
      <c r="Y280" s="4" t="e">
        <f t="shared" si="19"/>
        <v>#DIV/0!</v>
      </c>
    </row>
    <row r="281" spans="1:25">
      <c r="A281">
        <v>123079</v>
      </c>
      <c r="B281" t="s">
        <v>592</v>
      </c>
      <c r="C281" s="5">
        <v>44166</v>
      </c>
      <c r="D281">
        <v>370772</v>
      </c>
      <c r="E281">
        <v>300772</v>
      </c>
      <c r="F281" t="s">
        <v>593</v>
      </c>
      <c r="G281">
        <v>0.0021538626</v>
      </c>
      <c r="H281" s="5">
        <v>44190</v>
      </c>
      <c r="I281" t="s">
        <v>29</v>
      </c>
      <c r="J281" s="5">
        <v>44064</v>
      </c>
      <c r="K281" s="8">
        <v>44138</v>
      </c>
      <c r="L281">
        <v>102</v>
      </c>
      <c r="M281" s="2">
        <v>28</v>
      </c>
      <c r="T281" s="3">
        <f t="shared" si="16"/>
        <v>0</v>
      </c>
      <c r="U281" s="4" t="e">
        <f t="shared" si="17"/>
        <v>#DIV/0!</v>
      </c>
      <c r="X281" s="3">
        <f t="shared" si="18"/>
        <v>0</v>
      </c>
      <c r="Y281" s="4" t="e">
        <f t="shared" si="19"/>
        <v>#DIV/0!</v>
      </c>
    </row>
    <row r="282" spans="1:25">
      <c r="A282">
        <v>123078</v>
      </c>
      <c r="B282" t="s">
        <v>594</v>
      </c>
      <c r="C282" s="5">
        <v>44162</v>
      </c>
      <c r="D282">
        <v>370398</v>
      </c>
      <c r="E282">
        <v>300398</v>
      </c>
      <c r="F282" t="s">
        <v>595</v>
      </c>
      <c r="G282">
        <v>0.0071449443</v>
      </c>
      <c r="H282" s="5">
        <v>44181</v>
      </c>
      <c r="I282" t="s">
        <v>44</v>
      </c>
      <c r="J282" s="5">
        <v>44042</v>
      </c>
      <c r="K282" s="8">
        <v>44099</v>
      </c>
      <c r="L282">
        <v>120</v>
      </c>
      <c r="M282" s="2">
        <v>63</v>
      </c>
      <c r="T282" s="3">
        <f t="shared" si="16"/>
        <v>0</v>
      </c>
      <c r="U282" s="4" t="e">
        <f t="shared" si="17"/>
        <v>#DIV/0!</v>
      </c>
      <c r="X282" s="3">
        <f t="shared" si="18"/>
        <v>0</v>
      </c>
      <c r="Y282" s="4" t="e">
        <f t="shared" si="19"/>
        <v>#DIV/0!</v>
      </c>
    </row>
    <row r="283" spans="1:25">
      <c r="A283">
        <v>123077</v>
      </c>
      <c r="B283" t="s">
        <v>596</v>
      </c>
      <c r="C283" s="5">
        <v>44158</v>
      </c>
      <c r="D283">
        <v>370170</v>
      </c>
      <c r="E283">
        <v>300170</v>
      </c>
      <c r="F283" t="s">
        <v>597</v>
      </c>
      <c r="G283">
        <v>0.0060069821</v>
      </c>
      <c r="H283" s="5">
        <v>44180</v>
      </c>
      <c r="I283" t="s">
        <v>29</v>
      </c>
      <c r="J283" s="5">
        <v>44098</v>
      </c>
      <c r="K283" s="8">
        <v>44140</v>
      </c>
      <c r="L283">
        <v>60</v>
      </c>
      <c r="M283" s="2">
        <v>18</v>
      </c>
      <c r="T283" s="3">
        <f t="shared" si="16"/>
        <v>0</v>
      </c>
      <c r="U283" s="4" t="e">
        <f t="shared" si="17"/>
        <v>#DIV/0!</v>
      </c>
      <c r="X283" s="3">
        <f t="shared" si="18"/>
        <v>0</v>
      </c>
      <c r="Y283" s="4" t="e">
        <f t="shared" si="19"/>
        <v>#DIV/0!</v>
      </c>
    </row>
    <row r="284" spans="1:25">
      <c r="A284">
        <v>123076</v>
      </c>
      <c r="B284" t="s">
        <v>598</v>
      </c>
      <c r="C284" s="5">
        <v>44154</v>
      </c>
      <c r="D284">
        <v>370429</v>
      </c>
      <c r="E284">
        <v>300429</v>
      </c>
      <c r="F284" t="s">
        <v>599</v>
      </c>
      <c r="G284">
        <v>0.003900825</v>
      </c>
      <c r="H284" s="5">
        <v>44169</v>
      </c>
      <c r="I284" t="s">
        <v>44</v>
      </c>
      <c r="J284" s="5">
        <v>44098</v>
      </c>
      <c r="K284" s="8">
        <v>44137</v>
      </c>
      <c r="L284">
        <v>56</v>
      </c>
      <c r="M284" s="2">
        <v>17</v>
      </c>
      <c r="T284" s="3">
        <f t="shared" si="16"/>
        <v>0</v>
      </c>
      <c r="U284" s="4" t="e">
        <f t="shared" si="17"/>
        <v>#DIV/0!</v>
      </c>
      <c r="X284" s="3">
        <f t="shared" si="18"/>
        <v>0</v>
      </c>
      <c r="Y284" s="4" t="e">
        <f t="shared" si="19"/>
        <v>#DIV/0!</v>
      </c>
    </row>
    <row r="285" spans="1:25">
      <c r="A285">
        <v>123075</v>
      </c>
      <c r="B285" t="s">
        <v>600</v>
      </c>
      <c r="C285" s="5">
        <v>44137</v>
      </c>
      <c r="D285">
        <v>370580</v>
      </c>
      <c r="E285">
        <v>300580</v>
      </c>
      <c r="F285" t="s">
        <v>601</v>
      </c>
      <c r="G285">
        <v>0.0013333329</v>
      </c>
      <c r="H285" s="5">
        <v>44158</v>
      </c>
      <c r="I285" t="s">
        <v>44</v>
      </c>
      <c r="J285" s="5">
        <v>44070</v>
      </c>
      <c r="K285" s="8">
        <v>44121</v>
      </c>
      <c r="L285">
        <v>67</v>
      </c>
      <c r="M285" s="2">
        <v>16</v>
      </c>
      <c r="T285" s="3">
        <f t="shared" si="16"/>
        <v>0</v>
      </c>
      <c r="U285" s="4" t="e">
        <f t="shared" si="17"/>
        <v>#DIV/0!</v>
      </c>
      <c r="X285" s="3">
        <f t="shared" si="18"/>
        <v>0</v>
      </c>
      <c r="Y285" s="4" t="e">
        <f t="shared" si="19"/>
        <v>#DIV/0!</v>
      </c>
    </row>
    <row r="286" spans="1:25">
      <c r="A286">
        <v>123074</v>
      </c>
      <c r="B286" t="s">
        <v>602</v>
      </c>
      <c r="C286" s="5">
        <v>44133</v>
      </c>
      <c r="D286">
        <v>370752</v>
      </c>
      <c r="E286">
        <v>300752</v>
      </c>
      <c r="F286" t="s">
        <v>603</v>
      </c>
      <c r="G286">
        <v>0.001213147</v>
      </c>
      <c r="H286" s="5">
        <v>44151</v>
      </c>
      <c r="I286" t="s">
        <v>44</v>
      </c>
      <c r="J286" s="5">
        <v>44070</v>
      </c>
      <c r="K286" s="8">
        <v>44116</v>
      </c>
      <c r="L286">
        <v>63</v>
      </c>
      <c r="M286" s="2">
        <v>17</v>
      </c>
      <c r="T286" s="3">
        <f t="shared" si="16"/>
        <v>0</v>
      </c>
      <c r="U286" s="4" t="e">
        <f t="shared" si="17"/>
        <v>#DIV/0!</v>
      </c>
      <c r="X286" s="3">
        <f t="shared" si="18"/>
        <v>0</v>
      </c>
      <c r="Y286" s="4" t="e">
        <f t="shared" si="19"/>
        <v>#DIV/0!</v>
      </c>
    </row>
    <row r="287" spans="1:25">
      <c r="A287">
        <v>123073</v>
      </c>
      <c r="B287" t="s">
        <v>604</v>
      </c>
      <c r="C287" s="5">
        <v>44130</v>
      </c>
      <c r="D287">
        <v>370636</v>
      </c>
      <c r="E287">
        <v>300636</v>
      </c>
      <c r="F287" t="s">
        <v>605</v>
      </c>
      <c r="G287">
        <v>0.0019355294</v>
      </c>
      <c r="H287" s="5">
        <v>44151</v>
      </c>
      <c r="I287" t="s">
        <v>39</v>
      </c>
      <c r="J287" s="5">
        <v>44057</v>
      </c>
      <c r="K287" s="8">
        <v>44098</v>
      </c>
      <c r="L287">
        <v>73</v>
      </c>
      <c r="M287" s="2">
        <v>32</v>
      </c>
      <c r="T287" s="3">
        <f t="shared" si="16"/>
        <v>0</v>
      </c>
      <c r="U287" s="4" t="e">
        <f t="shared" si="17"/>
        <v>#DIV/0!</v>
      </c>
      <c r="X287" s="3">
        <f t="shared" si="18"/>
        <v>0</v>
      </c>
      <c r="Y287" s="4" t="e">
        <f t="shared" si="19"/>
        <v>#DIV/0!</v>
      </c>
    </row>
    <row r="288" spans="1:25">
      <c r="A288">
        <v>123071</v>
      </c>
      <c r="B288" t="s">
        <v>606</v>
      </c>
      <c r="C288" s="5">
        <v>44125</v>
      </c>
      <c r="D288">
        <v>370569</v>
      </c>
      <c r="E288">
        <v>300569</v>
      </c>
      <c r="F288" t="s">
        <v>607</v>
      </c>
      <c r="G288">
        <v>0.0025323626</v>
      </c>
      <c r="H288" s="5">
        <v>44160</v>
      </c>
      <c r="I288" t="s">
        <v>44</v>
      </c>
      <c r="J288" s="5">
        <v>44026</v>
      </c>
      <c r="K288" s="8">
        <v>44102</v>
      </c>
      <c r="L288">
        <v>99</v>
      </c>
      <c r="M288" s="2">
        <v>23</v>
      </c>
      <c r="T288" s="3">
        <f t="shared" si="16"/>
        <v>0</v>
      </c>
      <c r="U288" s="4" t="e">
        <f t="shared" si="17"/>
        <v>#DIV/0!</v>
      </c>
      <c r="X288" s="3">
        <f t="shared" si="18"/>
        <v>0</v>
      </c>
      <c r="Y288" s="4" t="e">
        <f t="shared" si="19"/>
        <v>#DIV/0!</v>
      </c>
    </row>
    <row r="289" spans="1:25">
      <c r="A289">
        <v>123072</v>
      </c>
      <c r="B289" t="s">
        <v>608</v>
      </c>
      <c r="C289" s="5">
        <v>44125</v>
      </c>
      <c r="D289">
        <v>370729</v>
      </c>
      <c r="E289">
        <v>300729</v>
      </c>
      <c r="F289" t="s">
        <v>609</v>
      </c>
      <c r="G289">
        <v>0.0001860645</v>
      </c>
      <c r="H289" s="5">
        <v>44145</v>
      </c>
      <c r="I289" t="s">
        <v>39</v>
      </c>
      <c r="J289" s="5">
        <v>44029</v>
      </c>
      <c r="K289" s="8">
        <v>44077</v>
      </c>
      <c r="L289">
        <v>96</v>
      </c>
      <c r="M289" s="2">
        <v>48</v>
      </c>
      <c r="T289" s="3">
        <f t="shared" si="16"/>
        <v>0</v>
      </c>
      <c r="U289" s="4" t="e">
        <f t="shared" si="17"/>
        <v>#DIV/0!</v>
      </c>
      <c r="X289" s="3">
        <f t="shared" si="18"/>
        <v>0</v>
      </c>
      <c r="Y289" s="4" t="e">
        <f t="shared" si="19"/>
        <v>#DIV/0!</v>
      </c>
    </row>
    <row r="290" spans="1:25">
      <c r="A290">
        <v>123070</v>
      </c>
      <c r="B290" t="s">
        <v>610</v>
      </c>
      <c r="C290" s="5">
        <v>44124</v>
      </c>
      <c r="D290">
        <v>370438</v>
      </c>
      <c r="E290">
        <v>300438</v>
      </c>
      <c r="F290" t="s">
        <v>611</v>
      </c>
      <c r="G290">
        <v>0.002757234</v>
      </c>
      <c r="H290" s="5">
        <v>44141</v>
      </c>
      <c r="I290" t="s">
        <v>29</v>
      </c>
      <c r="J290" s="5">
        <v>44042</v>
      </c>
      <c r="K290" s="8">
        <v>44082</v>
      </c>
      <c r="L290">
        <v>82</v>
      </c>
      <c r="M290" s="2">
        <v>42</v>
      </c>
      <c r="T290" s="3">
        <f t="shared" si="16"/>
        <v>0</v>
      </c>
      <c r="U290" s="4" t="e">
        <f t="shared" si="17"/>
        <v>#DIV/0!</v>
      </c>
      <c r="X290" s="3">
        <f t="shared" si="18"/>
        <v>0</v>
      </c>
      <c r="Y290" s="4" t="e">
        <f t="shared" si="19"/>
        <v>#DIV/0!</v>
      </c>
    </row>
    <row r="291" spans="1:25">
      <c r="A291">
        <v>123069</v>
      </c>
      <c r="B291" t="s">
        <v>612</v>
      </c>
      <c r="C291" s="5">
        <v>44120</v>
      </c>
      <c r="D291">
        <v>370505</v>
      </c>
      <c r="E291">
        <v>300505</v>
      </c>
      <c r="F291" t="s">
        <v>613</v>
      </c>
      <c r="G291">
        <v>0.0010466397</v>
      </c>
      <c r="H291" s="5">
        <v>44140</v>
      </c>
      <c r="I291" t="s">
        <v>44</v>
      </c>
      <c r="J291" s="5">
        <v>44049</v>
      </c>
      <c r="K291" s="8">
        <v>44098</v>
      </c>
      <c r="L291">
        <v>71</v>
      </c>
      <c r="M291" s="2">
        <v>22</v>
      </c>
      <c r="T291" s="3">
        <f t="shared" si="16"/>
        <v>0</v>
      </c>
      <c r="U291" s="4" t="e">
        <f t="shared" si="17"/>
        <v>#DIV/0!</v>
      </c>
      <c r="X291" s="3">
        <f t="shared" si="18"/>
        <v>0</v>
      </c>
      <c r="Y291" s="4" t="e">
        <f t="shared" si="19"/>
        <v>#DIV/0!</v>
      </c>
    </row>
    <row r="292" spans="1:25">
      <c r="A292">
        <v>123068</v>
      </c>
      <c r="B292" t="s">
        <v>614</v>
      </c>
      <c r="C292" s="5">
        <v>44119</v>
      </c>
      <c r="D292">
        <v>370657</v>
      </c>
      <c r="E292">
        <v>300657</v>
      </c>
      <c r="F292" t="s">
        <v>615</v>
      </c>
      <c r="G292">
        <v>0.0021791225</v>
      </c>
      <c r="H292" s="5">
        <v>44139</v>
      </c>
      <c r="I292" t="s">
        <v>44</v>
      </c>
      <c r="J292" s="5">
        <v>44036</v>
      </c>
      <c r="K292" s="8">
        <v>44077</v>
      </c>
      <c r="L292">
        <v>83</v>
      </c>
      <c r="M292" s="2">
        <v>42</v>
      </c>
      <c r="T292" s="3">
        <f t="shared" si="16"/>
        <v>0</v>
      </c>
      <c r="U292" s="4" t="e">
        <f t="shared" si="17"/>
        <v>#DIV/0!</v>
      </c>
      <c r="X292" s="3">
        <f t="shared" si="18"/>
        <v>0</v>
      </c>
      <c r="Y292" s="4" t="e">
        <f t="shared" si="19"/>
        <v>#DIV/0!</v>
      </c>
    </row>
    <row r="293" spans="1:25">
      <c r="A293">
        <v>123067</v>
      </c>
      <c r="B293" t="s">
        <v>616</v>
      </c>
      <c r="C293" s="5">
        <v>44091</v>
      </c>
      <c r="D293">
        <v>370382</v>
      </c>
      <c r="E293">
        <v>300382</v>
      </c>
      <c r="F293" t="s">
        <v>617</v>
      </c>
      <c r="G293">
        <v>0.0036756041</v>
      </c>
      <c r="H293" s="5">
        <v>44119</v>
      </c>
      <c r="I293" t="s">
        <v>44</v>
      </c>
      <c r="J293" s="5">
        <v>44039</v>
      </c>
      <c r="K293" s="8">
        <v>44077</v>
      </c>
      <c r="L293">
        <v>52</v>
      </c>
      <c r="M293" s="2">
        <v>14</v>
      </c>
      <c r="T293" s="3">
        <f t="shared" si="16"/>
        <v>0</v>
      </c>
      <c r="U293" s="4" t="e">
        <f t="shared" si="17"/>
        <v>#DIV/0!</v>
      </c>
      <c r="X293" s="3">
        <f t="shared" si="18"/>
        <v>0</v>
      </c>
      <c r="Y293" s="4" t="e">
        <f t="shared" si="19"/>
        <v>#DIV/0!</v>
      </c>
    </row>
    <row r="294" spans="1:25">
      <c r="A294">
        <v>123066</v>
      </c>
      <c r="B294" t="s">
        <v>618</v>
      </c>
      <c r="C294" s="5">
        <v>44090</v>
      </c>
      <c r="D294">
        <v>370687</v>
      </c>
      <c r="E294">
        <v>300687</v>
      </c>
      <c r="F294" t="s">
        <v>619</v>
      </c>
      <c r="G294">
        <v>0.0006229113</v>
      </c>
      <c r="H294" s="5">
        <v>44119</v>
      </c>
      <c r="I294" t="s">
        <v>39</v>
      </c>
      <c r="J294" s="5">
        <v>44039</v>
      </c>
      <c r="K294" s="8">
        <v>44065</v>
      </c>
      <c r="L294">
        <v>51</v>
      </c>
      <c r="M294" s="2">
        <v>25</v>
      </c>
      <c r="T294" s="3">
        <f t="shared" si="16"/>
        <v>0</v>
      </c>
      <c r="U294" s="4" t="e">
        <f t="shared" si="17"/>
        <v>#DIV/0!</v>
      </c>
      <c r="X294" s="3">
        <f t="shared" si="18"/>
        <v>0</v>
      </c>
      <c r="Y294" s="4" t="e">
        <f t="shared" si="19"/>
        <v>#DIV/0!</v>
      </c>
    </row>
    <row r="295" spans="1:25">
      <c r="A295">
        <v>123065</v>
      </c>
      <c r="B295" t="s">
        <v>620</v>
      </c>
      <c r="C295" s="5">
        <v>44078</v>
      </c>
      <c r="D295">
        <v>370246</v>
      </c>
      <c r="E295">
        <v>300246</v>
      </c>
      <c r="F295" t="s">
        <v>621</v>
      </c>
      <c r="G295">
        <v>0.000719054</v>
      </c>
      <c r="H295" s="5">
        <v>44098</v>
      </c>
      <c r="I295" t="s">
        <v>44</v>
      </c>
      <c r="J295" s="5">
        <v>44036</v>
      </c>
      <c r="K295" s="5">
        <v>44064</v>
      </c>
      <c r="L295">
        <v>42</v>
      </c>
      <c r="M295" s="2">
        <v>14</v>
      </c>
      <c r="T295" s="3">
        <f t="shared" si="16"/>
        <v>0</v>
      </c>
      <c r="U295" s="4" t="e">
        <f t="shared" si="17"/>
        <v>#DIV/0!</v>
      </c>
      <c r="X295" s="3">
        <f t="shared" si="18"/>
        <v>0</v>
      </c>
      <c r="Y295" s="4" t="e">
        <f t="shared" si="19"/>
        <v>#DIV/0!</v>
      </c>
    </row>
    <row r="296" spans="1:25">
      <c r="A296">
        <v>123064</v>
      </c>
      <c r="B296" t="s">
        <v>622</v>
      </c>
      <c r="C296" s="5">
        <v>44075</v>
      </c>
      <c r="D296">
        <v>370482</v>
      </c>
      <c r="E296">
        <v>300482</v>
      </c>
      <c r="F296" t="s">
        <v>623</v>
      </c>
      <c r="G296">
        <v>0.0026141902</v>
      </c>
      <c r="H296" s="5">
        <v>44097</v>
      </c>
      <c r="I296" t="s">
        <v>29</v>
      </c>
      <c r="J296" s="5">
        <v>44039</v>
      </c>
      <c r="K296" s="8">
        <v>44064</v>
      </c>
      <c r="L296">
        <v>36</v>
      </c>
      <c r="M296" s="2">
        <v>11</v>
      </c>
      <c r="T296" s="3">
        <f t="shared" si="16"/>
        <v>0</v>
      </c>
      <c r="U296" s="4" t="e">
        <f t="shared" si="17"/>
        <v>#DIV/0!</v>
      </c>
      <c r="X296" s="3">
        <f t="shared" si="18"/>
        <v>0</v>
      </c>
      <c r="Y296" s="4" t="e">
        <f t="shared" si="19"/>
        <v>#DIV/0!</v>
      </c>
    </row>
  </sheetData>
  <autoFilter xmlns:etc="http://www.wps.cn/officeDocument/2017/etCustomData" ref="A1:AA29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可转债股票价格数据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</cp:lastModifiedBy>
  <dcterms:created xsi:type="dcterms:W3CDTF">2025-08-12T08:58:00Z</dcterms:created>
  <dcterms:modified xsi:type="dcterms:W3CDTF">2025-08-12T09:30:01Z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6A45BF836FAC435B9A69169C235DDBEB_13</vt:lpwstr>
  </property>
  <property fmtid="{D5CDD505-2E9C-101B-9397-08002B2CF9AE}" pid="3" name="KSOProductBuildVer">
    <vt:lpwstr>2052-12.1.0.21915</vt:lpwstr>
  </property>
</Properties>
</file>