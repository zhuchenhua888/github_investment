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胜率表" sheetId="1" r:id="rId1"/>
    <sheet name="止盈策略" sheetId="2" r:id="rId2"/>
  </sheets>
  <definedNames>
    <definedName name="_xlnm._FilterDatabase" localSheetId="0" hidden="1">胜率表!$A$1:$F$75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<sst xmlns="http://schemas.openxmlformats.org/spreadsheetml/2006/main" count="171" uniqueCount="131">
  <si>
    <t>逻辑:
根据各项指标统计得分，得分即权益市场的胜率。如60分代表投入权益市场胜率是60%，满分100，0分代表不值得投入权益市场。分值仅代表小甲虫Li个人经验，不构成投资依据。红色数字代表此区域最高分值，若某区域没有红字，代表每行单独打分</t>
  </si>
  <si>
    <t>2025.08.20</t>
  </si>
  <si>
    <t>指标</t>
  </si>
  <si>
    <t>内容</t>
  </si>
  <si>
    <t>分值</t>
  </si>
  <si>
    <t>数据</t>
  </si>
  <si>
    <t>得分</t>
  </si>
  <si>
    <t>估值
满分50</t>
  </si>
  <si>
    <t>中证全指PE-TTM
市值加权
近十年
百分位</t>
  </si>
  <si>
    <t>&lt;10%</t>
  </si>
  <si>
    <t>10%-20%</t>
  </si>
  <si>
    <t/>
  </si>
  <si>
    <t>20%-35%</t>
  </si>
  <si>
    <t>35%-50%</t>
  </si>
  <si>
    <t>50%-80%</t>
  </si>
  <si>
    <t>&gt;80%</t>
  </si>
  <si>
    <t>中证全指PE</t>
  </si>
  <si>
    <t>&lt;15</t>
  </si>
  <si>
    <t>15-17.5</t>
  </si>
  <si>
    <t>17.5-20</t>
  </si>
  <si>
    <t>&gt;20</t>
  </si>
  <si>
    <t>中证全指PB 市值加权 近十年百分位</t>
  </si>
  <si>
    <t>中证全指PB</t>
  </si>
  <si>
    <t>&lt;1.5</t>
  </si>
  <si>
    <t>1.5-1.7</t>
  </si>
  <si>
    <t>1.7-1.85</t>
  </si>
  <si>
    <t>&gt;1.85</t>
  </si>
  <si>
    <t>股债比（中证全指）</t>
  </si>
  <si>
    <t>&gt;2.2</t>
  </si>
  <si>
    <t>1.8-2.2</t>
  </si>
  <si>
    <t>1.5-1.8</t>
  </si>
  <si>
    <t>巴菲特指标
A股市值/GDP</t>
  </si>
  <si>
    <t>&lt;60%</t>
  </si>
  <si>
    <t>60%-80%</t>
  </si>
  <si>
    <t>A股市值/M2</t>
  </si>
  <si>
    <t>&lt;25%</t>
  </si>
  <si>
    <t>25%-35%</t>
  </si>
  <si>
    <t>&gt;35%</t>
  </si>
  <si>
    <t>情绪
满分15</t>
  </si>
  <si>
    <t>市场情绪</t>
  </si>
  <si>
    <t>无人问津，没人主动谈论股市</t>
  </si>
  <si>
    <t>市场悲观，形成一致性看跌预期，都在割肉或者清仓</t>
  </si>
  <si>
    <t>大部分人悲观，但还有很多人在抄底</t>
  </si>
  <si>
    <t>多空双方各有支持者，观点不一</t>
  </si>
  <si>
    <t>唱多者占大多数，也有少部分人提醒市场风险</t>
  </si>
  <si>
    <t>情绪亢奋，一致看多，大家都在讨论股票，问买什么</t>
  </si>
  <si>
    <t>百度指数</t>
  </si>
  <si>
    <t>搜“牛市"，和之前大涨时对比，低于500</t>
  </si>
  <si>
    <t>微信指数</t>
  </si>
  <si>
    <t>搜“牛市”，和之前大涨时对比，低于50M</t>
  </si>
  <si>
    <t>数据和周期
满分35分</t>
  </si>
  <si>
    <t>股市行情</t>
  </si>
  <si>
    <t>股市低位震荡，成交量萎缩，如6000亿以下</t>
  </si>
  <si>
    <t>股市进入右侧，成交量放大，如1万亿以上</t>
  </si>
  <si>
    <t>股市大涨，成交量高，如2万亿以上</t>
  </si>
  <si>
    <t>十年期国债收益率</t>
  </si>
  <si>
    <t>利率在底部震荡</t>
  </si>
  <si>
    <t>信用周期
货币周期
（信用看社融，货币看利率）</t>
  </si>
  <si>
    <t>宽信用宽货币</t>
  </si>
  <si>
    <t>宽货币紧信用</t>
  </si>
  <si>
    <t>紧货币紧信用</t>
  </si>
  <si>
    <t>紧货币宽信用</t>
  </si>
  <si>
    <t>社融和PPI</t>
  </si>
  <si>
    <t>社融上升，PPI下降</t>
  </si>
  <si>
    <t>社融下降</t>
  </si>
  <si>
    <t>不明朗</t>
  </si>
  <si>
    <t>M1-M2</t>
  </si>
  <si>
    <t>&lt;-5%(持续下降)</t>
  </si>
  <si>
    <t>&lt;-5%(从底部回升)</t>
  </si>
  <si>
    <t>-5%-0%(下降或上升趋势)</t>
  </si>
  <si>
    <t>&gt;5%都在底部区域同时从低位上升同时从高位下路</t>
  </si>
  <si>
    <t>PPI和PPPI</t>
  </si>
  <si>
    <t>都在底部区域</t>
  </si>
  <si>
    <t>同时从低位上升</t>
  </si>
  <si>
    <t>同时从高位下降</t>
  </si>
  <si>
    <t>PPI、大宗商品、周期品大涨(煤炭/钢铁/水泥/化工)</t>
  </si>
  <si>
    <t>制造业PMI</t>
  </si>
  <si>
    <t>&gt;50</t>
  </si>
  <si>
    <t>&lt;50，明显回升</t>
  </si>
  <si>
    <t>&lt;50</t>
  </si>
  <si>
    <t>CPI-PPI剪刀差</t>
  </si>
  <si>
    <t>CPI&lt;1%，宽松预期加强</t>
  </si>
  <si>
    <t>朝正数扩大(cpi升，ppi降)企业利润增加</t>
  </si>
  <si>
    <t>朝负数扩大(cpi降，ppi升)</t>
  </si>
  <si>
    <t>政策底</t>
  </si>
  <si>
    <t>一行两会领导出来喊话，或者其他各种表态</t>
  </si>
  <si>
    <t>货币政策</t>
  </si>
  <si>
    <t>降低准备金率、降低利率、中期借贷便利</t>
  </si>
  <si>
    <t>印花税</t>
  </si>
  <si>
    <t>降低印花税</t>
  </si>
  <si>
    <t>股票回购</t>
  </si>
  <si>
    <t>企业纷纷开始公告回购计划</t>
  </si>
  <si>
    <t>开户数</t>
  </si>
  <si>
    <t>同历史低谷和高位相比，每月新增自然人是否低谷</t>
  </si>
  <si>
    <t>两融占总市值比例占比越高市场越活跃风险增加</t>
  </si>
  <si>
    <t>&lt;1%</t>
  </si>
  <si>
    <t>1%-1.5%</t>
  </si>
  <si>
    <t>1.5%-2%</t>
  </si>
  <si>
    <t>&gt;2%</t>
  </si>
  <si>
    <t>融资余额:投资者融资买入股票后尚未归还的资金总额，余额增加代表投资者倾向于借钱买入，看多
融券余额:投资者借入股票卖出后尚未归还的股票市值总额，代表看空的力量。
两融余额占A股总市值的比例判断杠杆程度和市场的活跃水平。另外也需要单独看两融余额是否在扩大，有没有上新台阶。</t>
  </si>
  <si>
    <t>一、定好估值，觉得高估后，开始实行。</t>
  </si>
  <si>
    <t>估值根据自己的风险偏好而异，不用太准确，有一个模糊的正确就行。</t>
  </si>
  <si>
    <t>比如中证500点位我觉得7000点高估，你觉得6800点或7200就开始高估也可以。</t>
  </si>
  <si>
    <t>最好只看宽基指数的估值，比如中证全指，沪深300，中证500。</t>
  </si>
  <si>
    <t>你什么仓位都有，就看全指，偏权重就看沪深300，偏中小盘就看中证500.</t>
  </si>
  <si>
    <t>二，根据你的风险偏好预想进入高估后，最多还能涨多少，考虑到情绪的极端情况和A股的习惯，设30%-50%都合理</t>
  </si>
  <si>
    <t>三，把相关的资产分成对应份数，设置每涨百分之多少卖出一份。</t>
  </si>
  <si>
    <t>四，回落设8%，如果涨到7700点，就回落了。回落后点数依然高于7000，7600回落8%为7084、清空剩下所有份额，比如第5-10份</t>
  </si>
  <si>
    <t>如果涨到7200点，就回落了，回落后点数低于7000点，7200回落8%为6624，则剩余份额继续持有，等待下一次达到7000</t>
  </si>
  <si>
    <t>五，释义:</t>
  </si>
  <si>
    <t>估值:分析好估值是关键，采用我们学到的各种估值体系和胜率表，保证所有份数的卖出都在你认为的高估值区域以上</t>
  </si>
  <si>
    <t>份数:10份左右</t>
  </si>
  <si>
    <t>涨幅:3%-5%</t>
  </si>
  <si>
    <t>份数和涨幅的选择要相柔后有足够的空间，最少30%。如果你设置5份，每涨2就卖一份，那涨个10%你就清仓了。</t>
  </si>
  <si>
    <t>我们无法预测进入高估后还能涨多高，要预防极端情况可以设置多份数，小涨幅，也可以设置少份数，大涨幅，区别见下表</t>
  </si>
  <si>
    <t>份数和涨幅的设定取决于进入高估之后，还能涨多少的预期。在定好预期后，尽量多份数、小涨幅的平滑设定</t>
  </si>
  <si>
    <t>回落:8-10%都行，取决于你对风险的忍耐。设置太少了稍微震荡就全卖光了，设置太多利润又吐光了。不设置就会泡沫破灭后没卖完的部分做过山车</t>
  </si>
  <si>
    <t>A、假设，中证500达到7000点后，在7000基础上每涨6%卖一份，共计5份</t>
  </si>
  <si>
    <t>B，假设，中证500达到7000点后，，在7000基础上每涨3%卖一份，共计10份</t>
  </si>
  <si>
    <t>持仓市值10000元，持有5000股，净值2.0</t>
  </si>
  <si>
    <t>A</t>
  </si>
  <si>
    <t>B</t>
  </si>
  <si>
    <t>剩余份额</t>
  </si>
  <si>
    <t>卖出份额</t>
  </si>
  <si>
    <t>净值</t>
  </si>
  <si>
    <t>市值</t>
  </si>
  <si>
    <t>阶段</t>
  </si>
  <si>
    <t>卖出金额</t>
  </si>
  <si>
    <t>1，份数多一些，每份涨幅小一些，可以逐步卖出，收益更平滑</t>
  </si>
  <si>
    <t>2、份数少，每份涨幅大，高位震荡可能无法止盈</t>
  </si>
  <si>
    <t>盈利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</si>
</sst>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7" borderId="6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8" borderId="9" applyNumberFormat="0" applyAlignment="0" applyProtection="0">
      <alignment vertical="center"/>
    </xf>
    <xf numFmtId="0" fontId="12" fillId="9" borderId="10" applyNumberFormat="0" applyAlignment="0" applyProtection="0">
      <alignment vertical="center"/>
    </xf>
    <xf numFmtId="0" fontId="13" fillId="9" borderId="9" applyNumberFormat="0" applyAlignment="0" applyProtection="0">
      <alignment vertical="center"/>
    </xf>
    <xf numFmtId="0" fontId="14" fillId="10" borderId="11" applyNumberFormat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</cellStyleXfs>
  <cellXfs count="24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9" fontId="0" fillId="0" borderId="0" xfId="0" applyNumberFormat="1"/>
    <xf numFmtId="0" fontId="0" fillId="0" borderId="0" xfId="0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4" borderId="1" xfId="0" applyFont="1" applyFill="1" applyBorder="1"/>
    <xf numFmtId="10" fontId="0" fillId="0" borderId="0" xfId="0" applyNumberFormat="1"/>
    <xf numFmtId="0" fontId="0" fillId="5" borderId="1" xfId="0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0" borderId="1" xfId="0" applyBorder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5"/>
  <sheetViews>
    <sheetView tabSelected="1" workbookViewId="0">
      <pane ySplit="2" topLeftCell="A3" activePane="bottomLeft" state="frozen"/>
      <selection/>
      <selection pane="bottomLeft" activeCell="C8" sqref="C8"/>
    </sheetView>
  </sheetViews>
  <sheetFormatPr defaultColWidth="9" defaultRowHeight="13.5" outlineLevelCol="7"/>
  <cols>
    <col min="1" max="1" width="11.875" customWidth="1"/>
    <col min="2" max="2" width="23.5" style="5" customWidth="1"/>
    <col min="3" max="3" width="44" customWidth="1"/>
  </cols>
  <sheetData>
    <row r="1" ht="103" customHeight="1" spans="1:8">
      <c r="A1" s="6"/>
      <c r="B1" s="7" t="s">
        <v>0</v>
      </c>
      <c r="C1" s="7"/>
      <c r="D1" s="6"/>
      <c r="E1" s="8" t="s">
        <v>1</v>
      </c>
      <c r="F1" s="8"/>
      <c r="G1" s="9"/>
      <c r="H1" s="9"/>
    </row>
    <row r="2" spans="1:6">
      <c r="A2" s="10" t="s">
        <v>2</v>
      </c>
      <c r="B2" s="11" t="s">
        <v>3</v>
      </c>
      <c r="C2" s="12"/>
      <c r="D2" s="13" t="s">
        <v>4</v>
      </c>
      <c r="E2" s="12" t="s">
        <v>5</v>
      </c>
      <c r="F2" s="12" t="s">
        <v>6</v>
      </c>
    </row>
    <row r="3" spans="1:4">
      <c r="A3" s="14" t="s">
        <v>7</v>
      </c>
      <c r="B3" s="15" t="s">
        <v>8</v>
      </c>
      <c r="C3" s="6" t="s">
        <v>9</v>
      </c>
      <c r="D3" s="16">
        <v>12</v>
      </c>
    </row>
    <row r="4" spans="1:6">
      <c r="A4" s="14"/>
      <c r="B4" s="15"/>
      <c r="C4" s="6" t="s">
        <v>10</v>
      </c>
      <c r="D4" s="6">
        <v>8</v>
      </c>
      <c r="E4" t="s">
        <v>11</v>
      </c>
      <c r="F4" t="s">
        <v>11</v>
      </c>
    </row>
    <row r="5" spans="1:6">
      <c r="A5" s="14"/>
      <c r="B5" s="15"/>
      <c r="C5" s="6" t="s">
        <v>12</v>
      </c>
      <c r="D5" s="6">
        <v>6</v>
      </c>
      <c r="E5" t="s">
        <v>11</v>
      </c>
      <c r="F5" t="s">
        <v>11</v>
      </c>
    </row>
    <row r="6" spans="1:6">
      <c r="A6" s="14"/>
      <c r="B6" s="15"/>
      <c r="C6" s="6" t="s">
        <v>13</v>
      </c>
      <c r="D6" s="6">
        <v>4</v>
      </c>
      <c r="E6" t="s">
        <v>11</v>
      </c>
      <c r="F6" t="s">
        <v>11</v>
      </c>
    </row>
    <row r="7" spans="1:6">
      <c r="A7" s="14"/>
      <c r="B7" s="15"/>
      <c r="C7" s="6" t="s">
        <v>14</v>
      </c>
      <c r="D7" s="6">
        <v>2</v>
      </c>
      <c r="E7" t="s">
        <v>11</v>
      </c>
      <c r="F7" t="s">
        <v>11</v>
      </c>
    </row>
    <row r="8" spans="1:6">
      <c r="A8" s="14"/>
      <c r="B8" s="15"/>
      <c r="C8" s="6" t="s">
        <v>15</v>
      </c>
      <c r="D8" s="6">
        <v>1</v>
      </c>
      <c r="E8">
        <v>91.56</v>
      </c>
      <c r="F8">
        <v>1</v>
      </c>
    </row>
    <row r="9" spans="1:4">
      <c r="A9" s="14"/>
      <c r="B9" s="15" t="s">
        <v>16</v>
      </c>
      <c r="C9" s="6" t="s">
        <v>17</v>
      </c>
      <c r="D9" s="16">
        <v>8</v>
      </c>
    </row>
    <row r="10" spans="1:6">
      <c r="A10" s="14"/>
      <c r="B10" s="15"/>
      <c r="C10" s="6" t="s">
        <v>18</v>
      </c>
      <c r="D10" s="6">
        <v>6</v>
      </c>
      <c r="E10" t="s">
        <v>11</v>
      </c>
      <c r="F10" t="s">
        <v>11</v>
      </c>
    </row>
    <row r="11" spans="1:6">
      <c r="A11" s="14"/>
      <c r="B11" s="15"/>
      <c r="C11" s="6" t="s">
        <v>19</v>
      </c>
      <c r="D11" s="6">
        <v>4</v>
      </c>
      <c r="E11" t="s">
        <v>11</v>
      </c>
      <c r="F11" t="s">
        <v>11</v>
      </c>
    </row>
    <row r="12" spans="1:6">
      <c r="A12" s="14"/>
      <c r="B12" s="15"/>
      <c r="C12" s="6" t="s">
        <v>20</v>
      </c>
      <c r="D12" s="6">
        <v>2</v>
      </c>
      <c r="E12">
        <v>20.87</v>
      </c>
      <c r="F12">
        <v>2</v>
      </c>
    </row>
    <row r="13" spans="1:4">
      <c r="A13" s="14"/>
      <c r="B13" s="15" t="s">
        <v>21</v>
      </c>
      <c r="C13" s="6" t="s">
        <v>9</v>
      </c>
      <c r="D13" s="16">
        <v>10</v>
      </c>
    </row>
    <row r="14" spans="1:6">
      <c r="A14" s="14"/>
      <c r="B14" s="15"/>
      <c r="C14" s="6" t="s">
        <v>10</v>
      </c>
      <c r="D14" s="6">
        <v>8</v>
      </c>
      <c r="E14" t="s">
        <v>11</v>
      </c>
      <c r="F14" t="s">
        <v>11</v>
      </c>
    </row>
    <row r="15" spans="1:6">
      <c r="A15" s="14"/>
      <c r="B15" s="15"/>
      <c r="C15" s="6" t="s">
        <v>12</v>
      </c>
      <c r="D15" s="6">
        <v>6</v>
      </c>
      <c r="E15" t="s">
        <v>11</v>
      </c>
      <c r="F15" t="s">
        <v>11</v>
      </c>
    </row>
    <row r="16" spans="1:6">
      <c r="A16" s="14"/>
      <c r="B16" s="15"/>
      <c r="C16" s="6" t="s">
        <v>13</v>
      </c>
      <c r="D16" s="6">
        <v>4</v>
      </c>
      <c r="E16" t="s">
        <v>11</v>
      </c>
      <c r="F16" t="s">
        <v>11</v>
      </c>
    </row>
    <row r="17" spans="1:6">
      <c r="A17" s="14"/>
      <c r="B17" s="15"/>
      <c r="C17" s="6" t="s">
        <v>14</v>
      </c>
      <c r="D17" s="6">
        <v>2</v>
      </c>
      <c r="E17">
        <v>53.95</v>
      </c>
      <c r="F17">
        <v>2</v>
      </c>
    </row>
    <row r="18" spans="1:6">
      <c r="A18" s="14"/>
      <c r="B18" s="15"/>
      <c r="C18" s="6" t="s">
        <v>15</v>
      </c>
      <c r="D18" s="6">
        <v>1</v>
      </c>
      <c r="F18" t="s">
        <v>11</v>
      </c>
    </row>
    <row r="19" spans="1:4">
      <c r="A19" s="14"/>
      <c r="B19" s="15" t="s">
        <v>22</v>
      </c>
      <c r="C19" s="6" t="s">
        <v>23</v>
      </c>
      <c r="D19" s="16">
        <v>7</v>
      </c>
    </row>
    <row r="20" spans="1:6">
      <c r="A20" s="14"/>
      <c r="B20" s="15"/>
      <c r="C20" s="6" t="s">
        <v>24</v>
      </c>
      <c r="D20" s="6">
        <v>5</v>
      </c>
      <c r="E20" t="s">
        <v>11</v>
      </c>
      <c r="F20" t="s">
        <v>11</v>
      </c>
    </row>
    <row r="21" spans="1:6">
      <c r="A21" s="14"/>
      <c r="B21" s="15"/>
      <c r="C21" s="6" t="s">
        <v>25</v>
      </c>
      <c r="D21" s="6">
        <v>3</v>
      </c>
      <c r="E21">
        <v>1.765</v>
      </c>
      <c r="F21">
        <v>3</v>
      </c>
    </row>
    <row r="22" spans="1:6">
      <c r="A22" s="14"/>
      <c r="B22" s="15"/>
      <c r="C22" s="6" t="s">
        <v>26</v>
      </c>
      <c r="D22" s="6">
        <v>1</v>
      </c>
      <c r="F22" t="s">
        <v>11</v>
      </c>
    </row>
    <row r="23" spans="1:6">
      <c r="A23" s="14"/>
      <c r="B23" s="15" t="s">
        <v>27</v>
      </c>
      <c r="C23" s="6" t="s">
        <v>28</v>
      </c>
      <c r="D23" s="16">
        <v>8</v>
      </c>
      <c r="E23">
        <v>2.67</v>
      </c>
      <c r="F23">
        <v>8</v>
      </c>
    </row>
    <row r="24" spans="1:6">
      <c r="A24" s="14"/>
      <c r="B24" s="15"/>
      <c r="C24" s="6" t="s">
        <v>29</v>
      </c>
      <c r="D24" s="6">
        <v>3</v>
      </c>
      <c r="E24" t="s">
        <v>11</v>
      </c>
      <c r="F24" t="s">
        <v>11</v>
      </c>
    </row>
    <row r="25" spans="1:6">
      <c r="A25" s="14"/>
      <c r="B25" s="15"/>
      <c r="C25" s="6" t="s">
        <v>30</v>
      </c>
      <c r="D25" s="6">
        <v>2</v>
      </c>
      <c r="E25" t="s">
        <v>11</v>
      </c>
      <c r="F25" t="s">
        <v>11</v>
      </c>
    </row>
    <row r="26" spans="1:4">
      <c r="A26" s="14"/>
      <c r="B26" s="15"/>
      <c r="C26" s="6" t="s">
        <v>23</v>
      </c>
      <c r="D26" s="6">
        <v>1</v>
      </c>
    </row>
    <row r="27" spans="1:4">
      <c r="A27" s="14"/>
      <c r="B27" s="15" t="s">
        <v>31</v>
      </c>
      <c r="C27" s="6" t="s">
        <v>32</v>
      </c>
      <c r="D27" s="16">
        <v>2</v>
      </c>
    </row>
    <row r="28" spans="1:4">
      <c r="A28" s="14"/>
      <c r="B28" s="15"/>
      <c r="C28" s="6" t="s">
        <v>33</v>
      </c>
      <c r="D28" s="6">
        <v>1</v>
      </c>
    </row>
    <row r="29" spans="1:8">
      <c r="A29" s="14"/>
      <c r="B29" s="15"/>
      <c r="C29" s="6" t="s">
        <v>15</v>
      </c>
      <c r="D29" s="6">
        <v>0</v>
      </c>
      <c r="E29" s="17">
        <v>0.8404</v>
      </c>
      <c r="F29">
        <v>0</v>
      </c>
      <c r="G29">
        <v>86</v>
      </c>
      <c r="H29">
        <v>0</v>
      </c>
    </row>
    <row r="30" spans="1:4">
      <c r="A30" s="14"/>
      <c r="B30" s="15" t="s">
        <v>34</v>
      </c>
      <c r="C30" s="6" t="s">
        <v>35</v>
      </c>
      <c r="D30" s="16">
        <v>3</v>
      </c>
    </row>
    <row r="31" spans="1:6">
      <c r="A31" s="14"/>
      <c r="B31" s="15"/>
      <c r="C31" s="6" t="s">
        <v>36</v>
      </c>
      <c r="D31" s="6">
        <v>2</v>
      </c>
      <c r="E31" s="17">
        <v>0.3029</v>
      </c>
      <c r="F31">
        <v>2</v>
      </c>
    </row>
    <row r="32" spans="1:4">
      <c r="A32" s="14"/>
      <c r="B32" s="15"/>
      <c r="C32" s="6" t="s">
        <v>37</v>
      </c>
      <c r="D32" s="6">
        <v>0</v>
      </c>
    </row>
    <row r="33" spans="1:4">
      <c r="A33" s="18" t="s">
        <v>38</v>
      </c>
      <c r="B33" s="19" t="s">
        <v>39</v>
      </c>
      <c r="C33" s="6" t="s">
        <v>40</v>
      </c>
      <c r="D33" s="16">
        <v>10</v>
      </c>
    </row>
    <row r="34" spans="1:4">
      <c r="A34" s="18"/>
      <c r="B34" s="20"/>
      <c r="C34" s="6" t="s">
        <v>41</v>
      </c>
      <c r="D34" s="6">
        <v>8</v>
      </c>
    </row>
    <row r="35" spans="1:4">
      <c r="A35" s="18"/>
      <c r="B35" s="20"/>
      <c r="C35" s="6" t="s">
        <v>42</v>
      </c>
      <c r="D35" s="6">
        <v>7</v>
      </c>
    </row>
    <row r="36" spans="1:4">
      <c r="A36" s="18"/>
      <c r="B36" s="20"/>
      <c r="C36" s="6" t="s">
        <v>43</v>
      </c>
      <c r="D36" s="6">
        <v>6</v>
      </c>
    </row>
    <row r="37" spans="1:6">
      <c r="A37" s="18"/>
      <c r="B37" s="20"/>
      <c r="C37" s="6" t="s">
        <v>44</v>
      </c>
      <c r="D37" s="6">
        <v>4</v>
      </c>
      <c r="F37">
        <v>4</v>
      </c>
    </row>
    <row r="38" spans="1:4">
      <c r="A38" s="18"/>
      <c r="B38" s="21"/>
      <c r="C38" s="6" t="s">
        <v>45</v>
      </c>
      <c r="D38" s="6">
        <v>2</v>
      </c>
    </row>
    <row r="39" spans="1:6">
      <c r="A39" s="18"/>
      <c r="B39" s="15" t="s">
        <v>46</v>
      </c>
      <c r="C39" s="6" t="s">
        <v>47</v>
      </c>
      <c r="D39" s="16">
        <v>2</v>
      </c>
      <c r="F39">
        <v>2</v>
      </c>
    </row>
    <row r="40" spans="1:4">
      <c r="A40" s="18"/>
      <c r="B40" s="15" t="s">
        <v>48</v>
      </c>
      <c r="C40" s="6" t="s">
        <v>49</v>
      </c>
      <c r="D40" s="16">
        <v>3</v>
      </c>
    </row>
    <row r="41" spans="1:4">
      <c r="A41" s="22" t="s">
        <v>50</v>
      </c>
      <c r="B41" s="15" t="s">
        <v>51</v>
      </c>
      <c r="C41" s="6" t="s">
        <v>52</v>
      </c>
      <c r="D41" s="16">
        <v>8</v>
      </c>
    </row>
    <row r="42" spans="1:4">
      <c r="A42" s="22"/>
      <c r="B42" s="15"/>
      <c r="C42" s="6" t="s">
        <v>53</v>
      </c>
      <c r="D42" s="6">
        <v>5</v>
      </c>
    </row>
    <row r="43" spans="1:6">
      <c r="A43" s="22"/>
      <c r="B43" s="15"/>
      <c r="C43" s="6" t="s">
        <v>54</v>
      </c>
      <c r="D43" s="6">
        <v>2</v>
      </c>
      <c r="F43">
        <v>2</v>
      </c>
    </row>
    <row r="44" spans="1:6">
      <c r="A44" s="22"/>
      <c r="B44" s="15" t="s">
        <v>55</v>
      </c>
      <c r="C44" s="6" t="s">
        <v>56</v>
      </c>
      <c r="D44" s="16">
        <v>1</v>
      </c>
      <c r="F44">
        <v>1</v>
      </c>
    </row>
    <row r="45" spans="1:6">
      <c r="A45" s="22"/>
      <c r="B45" s="15" t="s">
        <v>57</v>
      </c>
      <c r="C45" s="6" t="s">
        <v>58</v>
      </c>
      <c r="D45" s="16">
        <v>3</v>
      </c>
      <c r="F45">
        <v>3</v>
      </c>
    </row>
    <row r="46" spans="1:4">
      <c r="A46" s="22"/>
      <c r="B46" s="15"/>
      <c r="C46" s="6" t="s">
        <v>59</v>
      </c>
      <c r="D46" s="6">
        <v>1.5</v>
      </c>
    </row>
    <row r="47" spans="1:4">
      <c r="A47" s="22"/>
      <c r="B47" s="15"/>
      <c r="C47" s="6" t="s">
        <v>60</v>
      </c>
      <c r="D47" s="6">
        <v>0</v>
      </c>
    </row>
    <row r="48" spans="1:4">
      <c r="A48" s="22"/>
      <c r="B48" s="15"/>
      <c r="C48" s="6" t="s">
        <v>61</v>
      </c>
      <c r="D48" s="6">
        <v>1</v>
      </c>
    </row>
    <row r="49" spans="1:6">
      <c r="A49" s="22"/>
      <c r="B49" s="15" t="s">
        <v>62</v>
      </c>
      <c r="C49" s="6" t="s">
        <v>63</v>
      </c>
      <c r="D49" s="16">
        <v>2</v>
      </c>
      <c r="F49">
        <v>2</v>
      </c>
    </row>
    <row r="50" spans="1:4">
      <c r="A50" s="22"/>
      <c r="B50" s="15"/>
      <c r="C50" s="6" t="s">
        <v>64</v>
      </c>
      <c r="D50" s="6">
        <v>0</v>
      </c>
    </row>
    <row r="51" spans="1:4">
      <c r="A51" s="22"/>
      <c r="B51" s="15"/>
      <c r="C51" s="6" t="s">
        <v>65</v>
      </c>
      <c r="D51" s="6">
        <v>0</v>
      </c>
    </row>
    <row r="52" spans="1:4">
      <c r="A52" s="22"/>
      <c r="B52" s="15" t="s">
        <v>66</v>
      </c>
      <c r="C52" s="6" t="s">
        <v>67</v>
      </c>
      <c r="D52" s="16">
        <v>3</v>
      </c>
    </row>
    <row r="53" spans="1:4">
      <c r="A53" s="22"/>
      <c r="B53" s="15"/>
      <c r="C53" s="6" t="s">
        <v>68</v>
      </c>
      <c r="D53" s="6">
        <v>2</v>
      </c>
    </row>
    <row r="54" spans="1:6">
      <c r="A54" s="22"/>
      <c r="B54" s="15"/>
      <c r="C54" s="6" t="s">
        <v>69</v>
      </c>
      <c r="D54" s="6">
        <v>1.5</v>
      </c>
      <c r="F54">
        <v>1.5</v>
      </c>
    </row>
    <row r="55" spans="1:4">
      <c r="A55" s="22"/>
      <c r="B55" s="15"/>
      <c r="C55" s="6" t="s">
        <v>70</v>
      </c>
      <c r="D55" s="6">
        <v>0</v>
      </c>
    </row>
    <row r="56" spans="1:4">
      <c r="A56" s="22"/>
      <c r="B56" s="15" t="s">
        <v>71</v>
      </c>
      <c r="C56" s="6" t="s">
        <v>72</v>
      </c>
      <c r="D56" s="16">
        <v>3</v>
      </c>
    </row>
    <row r="57" spans="1:4">
      <c r="A57" s="22"/>
      <c r="B57" s="15"/>
      <c r="C57" s="6" t="s">
        <v>73</v>
      </c>
      <c r="D57" s="6">
        <v>2</v>
      </c>
    </row>
    <row r="58" spans="1:4">
      <c r="A58" s="22"/>
      <c r="B58" s="15"/>
      <c r="C58" s="6" t="s">
        <v>74</v>
      </c>
      <c r="D58" s="6">
        <v>1</v>
      </c>
    </row>
    <row r="59" spans="1:4">
      <c r="A59" s="22"/>
      <c r="B59" s="15"/>
      <c r="C59" s="6" t="s">
        <v>75</v>
      </c>
      <c r="D59" s="6">
        <v>0</v>
      </c>
    </row>
    <row r="60" spans="1:4">
      <c r="A60" s="22"/>
      <c r="B60" s="15" t="s">
        <v>76</v>
      </c>
      <c r="C60" s="6" t="s">
        <v>77</v>
      </c>
      <c r="D60" s="16">
        <v>1</v>
      </c>
    </row>
    <row r="61" spans="1:4">
      <c r="A61" s="22"/>
      <c r="B61" s="15"/>
      <c r="C61" s="6" t="s">
        <v>78</v>
      </c>
      <c r="D61" s="6">
        <v>0</v>
      </c>
    </row>
    <row r="62" spans="1:4">
      <c r="A62" s="22"/>
      <c r="B62" s="15"/>
      <c r="C62" s="6" t="s">
        <v>79</v>
      </c>
      <c r="D62" s="6">
        <v>0</v>
      </c>
    </row>
    <row r="63" spans="1:6">
      <c r="A63" s="22"/>
      <c r="B63" s="15" t="s">
        <v>80</v>
      </c>
      <c r="C63" s="6" t="s">
        <v>81</v>
      </c>
      <c r="D63" s="16">
        <v>1</v>
      </c>
      <c r="F63">
        <v>1</v>
      </c>
    </row>
    <row r="64" spans="1:6">
      <c r="A64" s="22"/>
      <c r="B64" s="15"/>
      <c r="C64" s="6" t="s">
        <v>82</v>
      </c>
      <c r="D64" s="16">
        <v>1</v>
      </c>
      <c r="F64">
        <v>1</v>
      </c>
    </row>
    <row r="65" spans="1:4">
      <c r="A65" s="22"/>
      <c r="B65" s="15"/>
      <c r="C65" s="6" t="s">
        <v>83</v>
      </c>
      <c r="D65" s="16">
        <v>0</v>
      </c>
    </row>
    <row r="66" spans="1:4">
      <c r="A66" s="22"/>
      <c r="B66" s="15" t="s">
        <v>84</v>
      </c>
      <c r="C66" s="6" t="s">
        <v>85</v>
      </c>
      <c r="D66" s="16">
        <v>1</v>
      </c>
    </row>
    <row r="67" spans="1:4">
      <c r="A67" s="22"/>
      <c r="B67" s="15" t="s">
        <v>86</v>
      </c>
      <c r="C67" s="6" t="s">
        <v>87</v>
      </c>
      <c r="D67" s="16">
        <v>1</v>
      </c>
    </row>
    <row r="68" spans="1:4">
      <c r="A68" s="22"/>
      <c r="B68" s="15" t="s">
        <v>88</v>
      </c>
      <c r="C68" s="6" t="s">
        <v>89</v>
      </c>
      <c r="D68" s="16">
        <v>3</v>
      </c>
    </row>
    <row r="69" spans="1:4">
      <c r="A69" s="22"/>
      <c r="B69" s="15" t="s">
        <v>90</v>
      </c>
      <c r="C69" s="6" t="s">
        <v>91</v>
      </c>
      <c r="D69" s="16">
        <v>1</v>
      </c>
    </row>
    <row r="70" spans="1:4">
      <c r="A70" s="22"/>
      <c r="B70" s="15" t="s">
        <v>92</v>
      </c>
      <c r="C70" s="6" t="s">
        <v>93</v>
      </c>
      <c r="D70" s="16">
        <v>1</v>
      </c>
    </row>
    <row r="71" spans="1:4">
      <c r="A71" s="22"/>
      <c r="B71" s="15" t="s">
        <v>94</v>
      </c>
      <c r="C71" s="6" t="s">
        <v>95</v>
      </c>
      <c r="D71" s="16">
        <v>5</v>
      </c>
    </row>
    <row r="72" spans="1:4">
      <c r="A72" s="22"/>
      <c r="B72" s="15"/>
      <c r="C72" s="6" t="s">
        <v>96</v>
      </c>
      <c r="D72" s="6">
        <v>3</v>
      </c>
    </row>
    <row r="73" spans="1:6">
      <c r="A73" s="22"/>
      <c r="B73" s="15"/>
      <c r="C73" s="6" t="s">
        <v>97</v>
      </c>
      <c r="D73" s="6">
        <v>2</v>
      </c>
      <c r="E73" s="17">
        <v>0.0179</v>
      </c>
      <c r="F73">
        <v>2</v>
      </c>
    </row>
    <row r="74" spans="1:4">
      <c r="A74" s="22"/>
      <c r="B74" s="15"/>
      <c r="C74" s="6" t="s">
        <v>98</v>
      </c>
      <c r="D74" s="6">
        <v>0</v>
      </c>
    </row>
    <row r="75" ht="94.5" spans="1:4">
      <c r="A75" s="22"/>
      <c r="B75" s="15"/>
      <c r="C75" s="23" t="s">
        <v>99</v>
      </c>
      <c r="D75" s="6"/>
    </row>
  </sheetData>
  <mergeCells count="23">
    <mergeCell ref="B1:C1"/>
    <mergeCell ref="E1:F1"/>
    <mergeCell ref="G1:H1"/>
    <mergeCell ref="B2:C2"/>
    <mergeCell ref="A3:A32"/>
    <mergeCell ref="A33:A40"/>
    <mergeCell ref="A41:A75"/>
    <mergeCell ref="B3:B8"/>
    <mergeCell ref="B9:B12"/>
    <mergeCell ref="B13:B18"/>
    <mergeCell ref="B19:B22"/>
    <mergeCell ref="B23:B26"/>
    <mergeCell ref="B27:B29"/>
    <mergeCell ref="B30:B32"/>
    <mergeCell ref="B33:B38"/>
    <mergeCell ref="B41:B43"/>
    <mergeCell ref="B45:B48"/>
    <mergeCell ref="B49:B51"/>
    <mergeCell ref="B52:B55"/>
    <mergeCell ref="B56:B59"/>
    <mergeCell ref="B60:B62"/>
    <mergeCell ref="B63:B65"/>
    <mergeCell ref="B71:B75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0"/>
  <sheetViews>
    <sheetView workbookViewId="0">
      <selection activeCell="P19" sqref="P19"/>
    </sheetView>
  </sheetViews>
  <sheetFormatPr defaultColWidth="9" defaultRowHeight="13.5"/>
  <cols>
    <col min="1" max="1" width="10.75" customWidth="1"/>
    <col min="2" max="2" width="10.25" customWidth="1"/>
  </cols>
  <sheetData>
    <row r="1" spans="1:1">
      <c r="A1" s="1" t="s">
        <v>100</v>
      </c>
    </row>
    <row r="2" spans="1:1">
      <c r="A2" s="1" t="s">
        <v>101</v>
      </c>
    </row>
    <row r="3" spans="1:1">
      <c r="A3" s="1" t="s">
        <v>102</v>
      </c>
    </row>
    <row r="4" spans="1:1">
      <c r="A4" s="1" t="s">
        <v>103</v>
      </c>
    </row>
    <row r="5" spans="1:1">
      <c r="A5" t="s">
        <v>104</v>
      </c>
    </row>
    <row r="7" spans="1:1">
      <c r="A7" t="s">
        <v>105</v>
      </c>
    </row>
    <row r="9" spans="1:1">
      <c r="A9" t="s">
        <v>106</v>
      </c>
    </row>
    <row r="11" spans="1:1">
      <c r="A11" t="s">
        <v>107</v>
      </c>
    </row>
    <row r="12" spans="1:1">
      <c r="A12" t="s">
        <v>108</v>
      </c>
    </row>
    <row r="14" spans="1:1">
      <c r="A14" t="s">
        <v>109</v>
      </c>
    </row>
    <row r="15" spans="1:1">
      <c r="A15" t="s">
        <v>110</v>
      </c>
    </row>
    <row r="16" spans="1:1">
      <c r="A16" t="s">
        <v>111</v>
      </c>
    </row>
    <row r="17" spans="1:1">
      <c r="A17" t="s">
        <v>112</v>
      </c>
    </row>
    <row r="18" spans="1:1">
      <c r="A18" t="s">
        <v>113</v>
      </c>
    </row>
    <row r="19" spans="1:1">
      <c r="A19" t="s">
        <v>114</v>
      </c>
    </row>
    <row r="20" spans="1:1">
      <c r="A20" t="s">
        <v>115</v>
      </c>
    </row>
    <row r="21" spans="1:1">
      <c r="A21" t="s">
        <v>116</v>
      </c>
    </row>
    <row r="24" spans="1:1">
      <c r="A24" t="s">
        <v>117</v>
      </c>
    </row>
    <row r="25" spans="1:1">
      <c r="A25" t="s">
        <v>118</v>
      </c>
    </row>
    <row r="26" spans="1:1">
      <c r="A26" t="s">
        <v>119</v>
      </c>
    </row>
    <row r="28" spans="1:14">
      <c r="A28" s="2" t="s">
        <v>120</v>
      </c>
      <c r="B28" s="2"/>
      <c r="C28" s="2"/>
      <c r="D28" s="2"/>
      <c r="E28" s="2"/>
      <c r="F28" s="2"/>
      <c r="G28" s="2"/>
      <c r="H28" s="3" t="s">
        <v>121</v>
      </c>
      <c r="I28" s="3"/>
      <c r="J28" s="3"/>
      <c r="K28" s="3"/>
      <c r="L28" s="3"/>
      <c r="M28" s="3"/>
      <c r="N28" s="3"/>
    </row>
    <row r="29" spans="1:14">
      <c r="A29" t="s">
        <v>122</v>
      </c>
      <c r="B29" t="s">
        <v>123</v>
      </c>
      <c r="C29" t="s">
        <v>124</v>
      </c>
      <c r="D29">
        <v>7000</v>
      </c>
      <c r="E29" t="s">
        <v>125</v>
      </c>
      <c r="F29" t="s">
        <v>126</v>
      </c>
      <c r="G29" t="s">
        <v>127</v>
      </c>
      <c r="H29" t="s">
        <v>122</v>
      </c>
      <c r="I29" t="s">
        <v>123</v>
      </c>
      <c r="J29" t="s">
        <v>124</v>
      </c>
      <c r="K29">
        <v>7000</v>
      </c>
      <c r="L29" t="s">
        <v>125</v>
      </c>
      <c r="M29" t="s">
        <v>126</v>
      </c>
      <c r="N29" t="s">
        <v>127</v>
      </c>
    </row>
    <row r="30" spans="1:14">
      <c r="A30">
        <v>4000</v>
      </c>
      <c r="B30">
        <v>1000</v>
      </c>
      <c r="C30">
        <v>2.12</v>
      </c>
      <c r="D30">
        <v>7420</v>
      </c>
      <c r="E30">
        <v>8480</v>
      </c>
      <c r="F30" s="4">
        <v>0.06</v>
      </c>
      <c r="G30">
        <v>2120</v>
      </c>
      <c r="H30">
        <v>4500</v>
      </c>
      <c r="I30">
        <v>500</v>
      </c>
      <c r="J30">
        <f>2*(1+M30)</f>
        <v>2.06</v>
      </c>
      <c r="K30">
        <f>$K$29*(1+M30)</f>
        <v>7210</v>
      </c>
      <c r="L30">
        <f>H30*J30</f>
        <v>9270</v>
      </c>
      <c r="M30" s="4">
        <v>0.03</v>
      </c>
      <c r="N30">
        <f>I30*J30</f>
        <v>1030</v>
      </c>
    </row>
    <row r="31" spans="1:14">
      <c r="A31">
        <v>3000</v>
      </c>
      <c r="B31">
        <v>1000</v>
      </c>
      <c r="C31">
        <v>2.24</v>
      </c>
      <c r="D31">
        <v>7840</v>
      </c>
      <c r="E31">
        <v>6720</v>
      </c>
      <c r="F31" s="4">
        <v>0.12</v>
      </c>
      <c r="G31">
        <v>2240</v>
      </c>
      <c r="H31">
        <v>4000</v>
      </c>
      <c r="I31">
        <v>500</v>
      </c>
      <c r="J31">
        <f t="shared" ref="J31:J39" si="0">2*(1+M31)</f>
        <v>2.12</v>
      </c>
      <c r="K31">
        <f t="shared" ref="K31:K39" si="1">$K$29*(1+M31)</f>
        <v>7420</v>
      </c>
      <c r="L31">
        <f t="shared" ref="L31:L39" si="2">H31*J31</f>
        <v>8480</v>
      </c>
      <c r="M31" s="4">
        <v>0.06</v>
      </c>
      <c r="N31">
        <f t="shared" ref="N31:N39" si="3">I31*J31</f>
        <v>1060</v>
      </c>
    </row>
    <row r="32" spans="1:14">
      <c r="A32">
        <v>2000</v>
      </c>
      <c r="B32">
        <v>1000</v>
      </c>
      <c r="C32">
        <v>2.36</v>
      </c>
      <c r="D32">
        <v>8260</v>
      </c>
      <c r="E32">
        <v>4720</v>
      </c>
      <c r="F32" s="4">
        <v>0.18</v>
      </c>
      <c r="G32">
        <v>2360</v>
      </c>
      <c r="H32">
        <v>3500</v>
      </c>
      <c r="I32">
        <v>500</v>
      </c>
      <c r="J32">
        <f t="shared" si="0"/>
        <v>2.18</v>
      </c>
      <c r="K32">
        <f t="shared" si="1"/>
        <v>7630</v>
      </c>
      <c r="L32">
        <f t="shared" si="2"/>
        <v>7630</v>
      </c>
      <c r="M32" s="4">
        <v>0.09</v>
      </c>
      <c r="N32">
        <f t="shared" si="3"/>
        <v>1090</v>
      </c>
    </row>
    <row r="33" spans="1:14">
      <c r="A33">
        <v>1000</v>
      </c>
      <c r="B33">
        <v>1000</v>
      </c>
      <c r="C33">
        <v>2.48</v>
      </c>
      <c r="D33">
        <v>8680</v>
      </c>
      <c r="E33">
        <v>2480</v>
      </c>
      <c r="F33" s="4">
        <v>0.24</v>
      </c>
      <c r="G33">
        <v>2480</v>
      </c>
      <c r="H33">
        <v>3000</v>
      </c>
      <c r="I33">
        <v>500</v>
      </c>
      <c r="J33">
        <f t="shared" si="0"/>
        <v>2.24</v>
      </c>
      <c r="K33">
        <f t="shared" si="1"/>
        <v>7840</v>
      </c>
      <c r="L33">
        <f t="shared" si="2"/>
        <v>6720</v>
      </c>
      <c r="M33" s="4">
        <v>0.12</v>
      </c>
      <c r="N33">
        <f t="shared" si="3"/>
        <v>1120</v>
      </c>
    </row>
    <row r="34" spans="1:14">
      <c r="A34">
        <v>0</v>
      </c>
      <c r="B34">
        <v>1000</v>
      </c>
      <c r="C34">
        <v>2.6</v>
      </c>
      <c r="D34">
        <v>9100</v>
      </c>
      <c r="E34">
        <v>0</v>
      </c>
      <c r="F34" s="4">
        <v>0.3</v>
      </c>
      <c r="G34">
        <v>2600</v>
      </c>
      <c r="H34">
        <v>2500</v>
      </c>
      <c r="I34">
        <v>500</v>
      </c>
      <c r="J34">
        <f t="shared" si="0"/>
        <v>2.3</v>
      </c>
      <c r="K34">
        <f t="shared" si="1"/>
        <v>8050</v>
      </c>
      <c r="L34">
        <f t="shared" si="2"/>
        <v>5750</v>
      </c>
      <c r="M34" s="4">
        <v>0.15</v>
      </c>
      <c r="N34">
        <f t="shared" si="3"/>
        <v>1150</v>
      </c>
    </row>
    <row r="35" spans="8:14">
      <c r="H35">
        <v>2000</v>
      </c>
      <c r="I35">
        <v>500</v>
      </c>
      <c r="J35">
        <f t="shared" si="0"/>
        <v>2.36</v>
      </c>
      <c r="K35">
        <f t="shared" si="1"/>
        <v>8260</v>
      </c>
      <c r="L35">
        <f t="shared" si="2"/>
        <v>4720</v>
      </c>
      <c r="M35" s="4">
        <v>0.18</v>
      </c>
      <c r="N35">
        <f t="shared" si="3"/>
        <v>1180</v>
      </c>
    </row>
    <row r="36" spans="8:14">
      <c r="H36">
        <v>1500</v>
      </c>
      <c r="I36">
        <v>500</v>
      </c>
      <c r="J36">
        <f t="shared" si="0"/>
        <v>2.42</v>
      </c>
      <c r="K36">
        <f t="shared" si="1"/>
        <v>8470</v>
      </c>
      <c r="L36">
        <f t="shared" si="2"/>
        <v>3630</v>
      </c>
      <c r="M36" s="4">
        <v>0.21</v>
      </c>
      <c r="N36">
        <f t="shared" si="3"/>
        <v>1210</v>
      </c>
    </row>
    <row r="37" spans="2:14">
      <c r="B37" t="s">
        <v>128</v>
      </c>
      <c r="H37">
        <v>1000</v>
      </c>
      <c r="I37">
        <v>500</v>
      </c>
      <c r="J37">
        <f t="shared" si="0"/>
        <v>2.48</v>
      </c>
      <c r="K37">
        <f t="shared" si="1"/>
        <v>8680</v>
      </c>
      <c r="L37">
        <f t="shared" si="2"/>
        <v>2480</v>
      </c>
      <c r="M37" s="4">
        <v>0.24</v>
      </c>
      <c r="N37">
        <f t="shared" si="3"/>
        <v>1240</v>
      </c>
    </row>
    <row r="38" spans="2:14">
      <c r="B38" t="s">
        <v>129</v>
      </c>
      <c r="H38">
        <v>500</v>
      </c>
      <c r="I38">
        <v>500</v>
      </c>
      <c r="J38">
        <f t="shared" si="0"/>
        <v>2.54</v>
      </c>
      <c r="K38">
        <f t="shared" si="1"/>
        <v>8890</v>
      </c>
      <c r="L38">
        <f t="shared" si="2"/>
        <v>1270</v>
      </c>
      <c r="M38" s="4">
        <v>0.27</v>
      </c>
      <c r="N38">
        <f t="shared" si="3"/>
        <v>1270</v>
      </c>
    </row>
    <row r="39" spans="8:14">
      <c r="H39">
        <v>0</v>
      </c>
      <c r="I39">
        <v>500</v>
      </c>
      <c r="J39">
        <f t="shared" si="0"/>
        <v>2.6</v>
      </c>
      <c r="K39">
        <f t="shared" si="1"/>
        <v>9100</v>
      </c>
      <c r="L39">
        <f t="shared" si="2"/>
        <v>0</v>
      </c>
      <c r="M39" s="4">
        <v>0.3</v>
      </c>
      <c r="N39">
        <f t="shared" si="3"/>
        <v>1300</v>
      </c>
    </row>
    <row r="40" spans="6:14">
      <c r="F40" t="s">
        <v>130</v>
      </c>
      <c r="G40">
        <v>1800</v>
      </c>
      <c r="M40" t="s">
        <v>130</v>
      </c>
      <c r="N40">
        <v>1650</v>
      </c>
    </row>
  </sheetData>
  <mergeCells count="2">
    <mergeCell ref="A28:G28"/>
    <mergeCell ref="H28:N2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胜率表</vt:lpstr>
      <vt:lpstr>止盈策略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华</cp:lastModifiedBy>
  <dcterms:created xsi:type="dcterms:W3CDTF">2025-08-27T01:37:00Z</dcterms:created>
  <dcterms:modified xsi:type="dcterms:W3CDTF">2025-08-27T07:46:12Z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4FB286A71EC24D409FC02B35F3F20FD3_12</vt:lpwstr>
  </property>
  <property fmtid="{D5CDD505-2E9C-101B-9397-08002B2CF9AE}" pid="3" name="KSOProductBuildVer">
    <vt:lpwstr>2052-12.1.0.21915</vt:lpwstr>
  </property>
</Properties>
</file>