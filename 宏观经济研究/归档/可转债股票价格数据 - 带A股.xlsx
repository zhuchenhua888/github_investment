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可转债股票价格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U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关税</t>
        </r>
      </text>
    </comment>
  </commentList>
</comments>
</file>

<file path=xl/sharedStrings.xml><?xml version="1.0" encoding="utf-8"?>
<sst xmlns="http://schemas.openxmlformats.org/spreadsheetml/2006/main" count="925" uniqueCount="635">
  <si>
    <t>债券代码</t>
  </si>
  <si>
    <t>债券简称</t>
  </si>
  <si>
    <t>申购日期</t>
  </si>
  <si>
    <t>申购代码</t>
  </si>
  <si>
    <t>正股代码</t>
  </si>
  <si>
    <t>正股简称</t>
  </si>
  <si>
    <t>中签率</t>
  </si>
  <si>
    <t>上市时间</t>
  </si>
  <si>
    <t>信用评级</t>
  </si>
  <si>
    <t>上市委通过日期</t>
  </si>
  <si>
    <t>同意注册日期</t>
  </si>
  <si>
    <t>上市委-申购</t>
  </si>
  <si>
    <t>注册-申购</t>
  </si>
  <si>
    <t>上市委通过日期_开盘价</t>
  </si>
  <si>
    <t>上市委通过日期_收盘价</t>
  </si>
  <si>
    <t>同意注册日期_开盘价</t>
  </si>
  <si>
    <t>同意注册日期_收盘价</t>
  </si>
  <si>
    <t>申购日前一交易日_开盘价</t>
  </si>
  <si>
    <t>申购日前一交易日_收盘价</t>
  </si>
  <si>
    <t>配债日-同意注册日</t>
  </si>
  <si>
    <t>配债日-同意注册日（百分比）</t>
  </si>
  <si>
    <t>申购日期_开盘价</t>
  </si>
  <si>
    <t>申购日期_收盘价</t>
  </si>
  <si>
    <t>申购日-同意注册日</t>
  </si>
  <si>
    <t>申购日-同意注册日（百分比）</t>
  </si>
  <si>
    <t>申购日-配债日</t>
  </si>
  <si>
    <t>申购日-配债日（百分比）</t>
  </si>
  <si>
    <t>上市时间_开盘价</t>
  </si>
  <si>
    <t>上市时间_收盘价</t>
  </si>
  <si>
    <t>上市委通过日期_上证开盘价</t>
  </si>
  <si>
    <t>上市委通过日期_上证收盘价</t>
  </si>
  <si>
    <t>同意注册日期_上证开盘价</t>
  </si>
  <si>
    <t>同意注册日期_上证收盘价</t>
  </si>
  <si>
    <t>申购日期_上证开盘价</t>
  </si>
  <si>
    <t>申购日期_上证收盘价</t>
  </si>
  <si>
    <t>上市时间_上证开盘价</t>
  </si>
  <si>
    <t>上市时间_上证收盘价</t>
  </si>
  <si>
    <t>股价与大盘对比</t>
  </si>
  <si>
    <t>微导转债</t>
  </si>
  <si>
    <t>微导纳米</t>
  </si>
  <si>
    <t>AA</t>
  </si>
  <si>
    <t>广核转债</t>
  </si>
  <si>
    <t>中国广核</t>
  </si>
  <si>
    <t>AAA</t>
  </si>
  <si>
    <t>利柏转债</t>
  </si>
  <si>
    <t>利柏特</t>
  </si>
  <si>
    <t>伯25转债</t>
  </si>
  <si>
    <t>伯特利</t>
  </si>
  <si>
    <t>甬矽转债</t>
  </si>
  <si>
    <t>甬矽电子</t>
  </si>
  <si>
    <t>A+</t>
  </si>
  <si>
    <t>华辰转债</t>
  </si>
  <si>
    <t>江苏华辰</t>
  </si>
  <si>
    <t>锡振转债</t>
  </si>
  <si>
    <t>无锡振华</t>
  </si>
  <si>
    <t>AA-</t>
  </si>
  <si>
    <t>安克转债</t>
  </si>
  <si>
    <t>安克创新</t>
  </si>
  <si>
    <t>AA+</t>
  </si>
  <si>
    <t>电化转债</t>
  </si>
  <si>
    <t>湘潭电化</t>
  </si>
  <si>
    <t>路维转债</t>
  </si>
  <si>
    <t>路维光电</t>
  </si>
  <si>
    <t>恒帅转债</t>
  </si>
  <si>
    <t>恒帅股份</t>
  </si>
  <si>
    <t>伟测转债</t>
  </si>
  <si>
    <t>伟测科技</t>
  </si>
  <si>
    <t>清源转债</t>
  </si>
  <si>
    <t>清源股份</t>
  </si>
  <si>
    <t>安集转债</t>
  </si>
  <si>
    <t>安集科技</t>
  </si>
  <si>
    <t>鼎龙转债</t>
  </si>
  <si>
    <t>鼎龙股份</t>
  </si>
  <si>
    <t>太能转债</t>
  </si>
  <si>
    <t>太阳能</t>
  </si>
  <si>
    <t>亿纬转债</t>
  </si>
  <si>
    <t>亿纬锂能</t>
  </si>
  <si>
    <t>志邦转债</t>
  </si>
  <si>
    <t>志邦家居</t>
  </si>
  <si>
    <t>正帆转债</t>
  </si>
  <si>
    <t>正帆科技</t>
  </si>
  <si>
    <t>浩瀚转债</t>
  </si>
  <si>
    <t>浩瀚深度</t>
  </si>
  <si>
    <t>永贵转债</t>
  </si>
  <si>
    <t>永贵电器</t>
  </si>
  <si>
    <t>渝水转债</t>
  </si>
  <si>
    <t>重庆水务</t>
  </si>
  <si>
    <t>银邦转债</t>
  </si>
  <si>
    <t>银邦股份</t>
  </si>
  <si>
    <t>南药转债</t>
  </si>
  <si>
    <t>南京医药</t>
  </si>
  <si>
    <t>华医转债</t>
  </si>
  <si>
    <t>华康洁净</t>
  </si>
  <si>
    <t>皓元转债</t>
  </si>
  <si>
    <t>皓元医药</t>
  </si>
  <si>
    <t>领益转债</t>
  </si>
  <si>
    <t>领益智造</t>
  </si>
  <si>
    <t>嘉益转债</t>
  </si>
  <si>
    <t>嘉益股份</t>
  </si>
  <si>
    <t>保隆转债</t>
  </si>
  <si>
    <t>保隆科技</t>
  </si>
  <si>
    <t>和邦转债</t>
  </si>
  <si>
    <t>和邦生物</t>
  </si>
  <si>
    <t>天润转债</t>
  </si>
  <si>
    <t>天润乳业</t>
  </si>
  <si>
    <t>英搏转债</t>
  </si>
  <si>
    <t>英搏尔</t>
  </si>
  <si>
    <t>豪24转债</t>
  </si>
  <si>
    <t>豪能股份</t>
  </si>
  <si>
    <t>国检转债</t>
  </si>
  <si>
    <t>国检集团</t>
  </si>
  <si>
    <t>洛凯转债</t>
  </si>
  <si>
    <t>洛凯股份</t>
  </si>
  <si>
    <t>航宇转债</t>
  </si>
  <si>
    <t>航宇科技</t>
  </si>
  <si>
    <t>恒辉转债</t>
  </si>
  <si>
    <t>恒辉安防</t>
  </si>
  <si>
    <t>万凯转债</t>
  </si>
  <si>
    <t>万凯新材</t>
  </si>
  <si>
    <t>远信转债</t>
  </si>
  <si>
    <t>远信工业</t>
  </si>
  <si>
    <t>A</t>
  </si>
  <si>
    <t>集智转债</t>
  </si>
  <si>
    <t>集智股份</t>
  </si>
  <si>
    <t>伟隆转债</t>
  </si>
  <si>
    <t>伟隆股份</t>
  </si>
  <si>
    <t>豫光转债</t>
  </si>
  <si>
    <t>豫光金铅</t>
  </si>
  <si>
    <t>汇成转债</t>
  </si>
  <si>
    <t>汇成股份</t>
  </si>
  <si>
    <t>松原转债</t>
  </si>
  <si>
    <t>松原安全</t>
  </si>
  <si>
    <t>奥锐转债</t>
  </si>
  <si>
    <t>奥锐特</t>
  </si>
  <si>
    <t>合顺转债</t>
  </si>
  <si>
    <t>聚合顺</t>
  </si>
  <si>
    <t>振华转债</t>
  </si>
  <si>
    <t>振华股份</t>
  </si>
  <si>
    <t>严牌转债</t>
  </si>
  <si>
    <t>严牌股份</t>
  </si>
  <si>
    <t>赛龙转债</t>
  </si>
  <si>
    <t>聚赛龙</t>
  </si>
  <si>
    <t>欧通转债</t>
  </si>
  <si>
    <t>欧陆通</t>
  </si>
  <si>
    <t>泰瑞转债</t>
  </si>
  <si>
    <t>泰瑞机器</t>
  </si>
  <si>
    <t>利扬转债</t>
  </si>
  <si>
    <t>利扬芯片</t>
  </si>
  <si>
    <t>升24转债</t>
  </si>
  <si>
    <t>旭升集团</t>
  </si>
  <si>
    <t>宏柏转债</t>
  </si>
  <si>
    <t>宏柏新材</t>
  </si>
  <si>
    <t>湘泵转债</t>
  </si>
  <si>
    <t>美湖股份</t>
  </si>
  <si>
    <t>伟24转债</t>
  </si>
  <si>
    <t>伟明环保</t>
  </si>
  <si>
    <t>益丰转债</t>
  </si>
  <si>
    <t>益丰药房</t>
  </si>
  <si>
    <t>龙星转债</t>
  </si>
  <si>
    <t>龙星科技</t>
  </si>
  <si>
    <t>楚天转债</t>
  </si>
  <si>
    <t>楚天科技</t>
  </si>
  <si>
    <t>姚记转债</t>
  </si>
  <si>
    <t>姚记科技</t>
  </si>
  <si>
    <t>锋工转债</t>
  </si>
  <si>
    <t>恒锋工具</t>
  </si>
  <si>
    <t>卡倍转02</t>
  </si>
  <si>
    <t>卡倍亿</t>
  </si>
  <si>
    <t>佳禾转债</t>
  </si>
  <si>
    <t>佳禾智能</t>
  </si>
  <si>
    <t>东南转债</t>
  </si>
  <si>
    <t>东南网架</t>
  </si>
  <si>
    <t>镇洋转债</t>
  </si>
  <si>
    <t>镇洋发展</t>
  </si>
  <si>
    <t>华康转债</t>
  </si>
  <si>
    <t>华康股份</t>
  </si>
  <si>
    <t>浙建转债</t>
  </si>
  <si>
    <t>浙江建投</t>
  </si>
  <si>
    <t>家联转债</t>
  </si>
  <si>
    <t>家联科技</t>
  </si>
  <si>
    <t>博23转债</t>
  </si>
  <si>
    <t>博威合金</t>
  </si>
  <si>
    <t>豪鹏转债</t>
  </si>
  <si>
    <t>豪鹏科技</t>
  </si>
  <si>
    <t>神码转债</t>
  </si>
  <si>
    <t>神州数码</t>
  </si>
  <si>
    <t>亿田转债</t>
  </si>
  <si>
    <t>亿田智能</t>
  </si>
  <si>
    <t>诺泰转债</t>
  </si>
  <si>
    <t>诺泰生物</t>
  </si>
  <si>
    <t>中能转债</t>
  </si>
  <si>
    <t>中能电气</t>
  </si>
  <si>
    <t>盛航转债</t>
  </si>
  <si>
    <t>盛航股份</t>
  </si>
  <si>
    <t>凯盛转债</t>
  </si>
  <si>
    <t>凯盛新材</t>
  </si>
  <si>
    <t>金现转债</t>
  </si>
  <si>
    <t>金现代</t>
  </si>
  <si>
    <t>欧晶转债</t>
  </si>
  <si>
    <t>欧晶科技</t>
  </si>
  <si>
    <t>丽岛转债</t>
  </si>
  <si>
    <t>丽岛新材</t>
  </si>
  <si>
    <t>金钟转债</t>
  </si>
  <si>
    <t>金钟股份</t>
  </si>
  <si>
    <t>信测转债</t>
  </si>
  <si>
    <t>信测标准</t>
  </si>
  <si>
    <t>三羊转债</t>
  </si>
  <si>
    <t>三羊马</t>
  </si>
  <si>
    <t>芯能转债</t>
  </si>
  <si>
    <t>芯能科技</t>
  </si>
  <si>
    <t>艾录转债</t>
  </si>
  <si>
    <t>上海艾录</t>
  </si>
  <si>
    <t>震裕转债</t>
  </si>
  <si>
    <t>震裕科技</t>
  </si>
  <si>
    <t>雅创转债</t>
  </si>
  <si>
    <t>雅创电子</t>
  </si>
  <si>
    <t>中贝转债</t>
  </si>
  <si>
    <t>中贝通信</t>
  </si>
  <si>
    <t>广泰转债</t>
  </si>
  <si>
    <t>威海广泰</t>
  </si>
  <si>
    <t>红墙转债</t>
  </si>
  <si>
    <t>红墙股份</t>
  </si>
  <si>
    <t>章鼓转债</t>
  </si>
  <si>
    <t>山东章鼓</t>
  </si>
  <si>
    <t>中富转债</t>
  </si>
  <si>
    <t>中富电路</t>
  </si>
  <si>
    <t>翔丰转债</t>
  </si>
  <si>
    <t>翔丰华</t>
  </si>
  <si>
    <t>运机转债</t>
  </si>
  <si>
    <t>运机集团</t>
  </si>
  <si>
    <t>宇邦转债</t>
  </si>
  <si>
    <t>宇邦新材</t>
  </si>
  <si>
    <t>九典转02</t>
  </si>
  <si>
    <t>九典制药</t>
  </si>
  <si>
    <t>华懋转债</t>
  </si>
  <si>
    <t>华懋科技</t>
  </si>
  <si>
    <t>盟升转债</t>
  </si>
  <si>
    <t>盟升电子</t>
  </si>
  <si>
    <t>赛特转债</t>
  </si>
  <si>
    <t>赛特新材</t>
  </si>
  <si>
    <t>博俊转债</t>
  </si>
  <si>
    <t>博俊科技</t>
  </si>
  <si>
    <t>力诺转债</t>
  </si>
  <si>
    <t>力诺药包</t>
  </si>
  <si>
    <t>科数转债</t>
  </si>
  <si>
    <t>科华数据</t>
  </si>
  <si>
    <t>荣23转债</t>
  </si>
  <si>
    <t>荣晟环保</t>
  </si>
  <si>
    <t>易瑞转债</t>
  </si>
  <si>
    <t>易瑞生物</t>
  </si>
  <si>
    <t>蓝天转债</t>
  </si>
  <si>
    <t>蓝天燃气</t>
  </si>
  <si>
    <t>福立转债</t>
  </si>
  <si>
    <t>福立旺</t>
  </si>
  <si>
    <t>宇瞳转债</t>
  </si>
  <si>
    <t>宇瞳光学</t>
  </si>
  <si>
    <t>新23转债</t>
  </si>
  <si>
    <t>新泉股份</t>
  </si>
  <si>
    <t>宏昌转债</t>
  </si>
  <si>
    <t>宏昌科技</t>
  </si>
  <si>
    <t>奥维转债</t>
  </si>
  <si>
    <t>奥特维</t>
  </si>
  <si>
    <t>双良转债</t>
  </si>
  <si>
    <t>双良节能</t>
  </si>
  <si>
    <t>富仕转债</t>
  </si>
  <si>
    <t>四会富仕</t>
  </si>
  <si>
    <t>科顺转债</t>
  </si>
  <si>
    <t>科顺股份</t>
  </si>
  <si>
    <t>铭利转债</t>
  </si>
  <si>
    <t>铭利达</t>
  </si>
  <si>
    <t>东宝转债</t>
  </si>
  <si>
    <t>东宝生物</t>
  </si>
  <si>
    <t>星球转债</t>
  </si>
  <si>
    <t>星球石墨</t>
  </si>
  <si>
    <t>天源转债</t>
  </si>
  <si>
    <t>武汉天源</t>
  </si>
  <si>
    <t>金铜转债</t>
  </si>
  <si>
    <t>金田股份</t>
  </si>
  <si>
    <t>阳谷转债</t>
  </si>
  <si>
    <t>阳谷华泰</t>
  </si>
  <si>
    <t>信服转债</t>
  </si>
  <si>
    <t>深信服</t>
  </si>
  <si>
    <t>燃23转债</t>
  </si>
  <si>
    <t>深圳燃气</t>
  </si>
  <si>
    <t>立中转债</t>
  </si>
  <si>
    <t>立中集团</t>
  </si>
  <si>
    <t>聚隆转债</t>
  </si>
  <si>
    <t>南京聚隆</t>
  </si>
  <si>
    <t>宏微转债</t>
  </si>
  <si>
    <t>宏微科技</t>
  </si>
  <si>
    <t>神通转债</t>
  </si>
  <si>
    <t>神通科技</t>
  </si>
  <si>
    <t>孩王转债</t>
  </si>
  <si>
    <t>孩子王</t>
  </si>
  <si>
    <t>兴瑞转债</t>
  </si>
  <si>
    <t>兴瑞科技</t>
  </si>
  <si>
    <t>冠中转债</t>
  </si>
  <si>
    <t>冠中生态</t>
  </si>
  <si>
    <t>A-</t>
  </si>
  <si>
    <t>华设转债</t>
  </si>
  <si>
    <t>华设集团</t>
  </si>
  <si>
    <t>煜邦转债</t>
  </si>
  <si>
    <t>煜邦电力</t>
  </si>
  <si>
    <t>开能转债</t>
  </si>
  <si>
    <t>开能健康</t>
  </si>
  <si>
    <t>众和转债</t>
  </si>
  <si>
    <t>新疆众和</t>
  </si>
  <si>
    <t>晶澳转债</t>
  </si>
  <si>
    <t>晶澳科技</t>
  </si>
  <si>
    <t>福蓉转债</t>
  </si>
  <si>
    <t>福蓉科技</t>
  </si>
  <si>
    <t>岱美转债</t>
  </si>
  <si>
    <t>岱美股份</t>
  </si>
  <si>
    <t>金宏转债</t>
  </si>
  <si>
    <t>金宏气体</t>
  </si>
  <si>
    <t>大叶转债</t>
  </si>
  <si>
    <t>大叶股份</t>
  </si>
  <si>
    <t>金丹转债</t>
  </si>
  <si>
    <t>金丹科技</t>
  </si>
  <si>
    <t>武进转债</t>
  </si>
  <si>
    <t>武进不锈</t>
  </si>
  <si>
    <t>东亚转债</t>
  </si>
  <si>
    <t>东亚药业</t>
  </si>
  <si>
    <t>上声转债</t>
  </si>
  <si>
    <t>上声电子</t>
  </si>
  <si>
    <t>赫达转债</t>
  </si>
  <si>
    <t>山东赫达</t>
  </si>
  <si>
    <t>明电转02</t>
  </si>
  <si>
    <t>明阳电路</t>
  </si>
  <si>
    <t>祥源转债</t>
  </si>
  <si>
    <t>祥源新材</t>
  </si>
  <si>
    <t>力合转债</t>
  </si>
  <si>
    <t>力合微</t>
  </si>
  <si>
    <t>海泰转债</t>
  </si>
  <si>
    <t>海泰科</t>
  </si>
  <si>
    <t>纽泰转债</t>
  </si>
  <si>
    <t>纽泰格</t>
  </si>
  <si>
    <t>李子转债</t>
  </si>
  <si>
    <t>李子园</t>
  </si>
  <si>
    <t>山河转债</t>
  </si>
  <si>
    <t>山河药辅</t>
  </si>
  <si>
    <t>国力转债</t>
  </si>
  <si>
    <t>国力股份</t>
  </si>
  <si>
    <t>恒邦转债</t>
  </si>
  <si>
    <t>恒邦股份</t>
  </si>
  <si>
    <t>金埔转债</t>
  </si>
  <si>
    <t>金埔园林</t>
  </si>
  <si>
    <t>光力转债</t>
  </si>
  <si>
    <t>光力科技</t>
  </si>
  <si>
    <t>晶能转债</t>
  </si>
  <si>
    <t>晶科能源</t>
  </si>
  <si>
    <t>正元转02</t>
  </si>
  <si>
    <t>正元智慧</t>
  </si>
  <si>
    <t>蓝晓转02</t>
  </si>
  <si>
    <t>蓝晓科技</t>
  </si>
  <si>
    <t>百洋转债</t>
  </si>
  <si>
    <t>百洋医药</t>
  </si>
  <si>
    <t>海能转债</t>
  </si>
  <si>
    <t>海能实业</t>
  </si>
  <si>
    <t>科思转债</t>
  </si>
  <si>
    <t>科思股份</t>
  </si>
  <si>
    <t>智尚转债</t>
  </si>
  <si>
    <t>南山智尚</t>
  </si>
  <si>
    <t>道氏转02</t>
  </si>
  <si>
    <t>道氏技术</t>
  </si>
  <si>
    <t>晓鸣转债</t>
  </si>
  <si>
    <t>晓鸣股份</t>
  </si>
  <si>
    <t>超达转债</t>
  </si>
  <si>
    <t>超达装备</t>
  </si>
  <si>
    <t>水羊转债</t>
  </si>
  <si>
    <t>水羊股份</t>
  </si>
  <si>
    <t>能辉转债</t>
  </si>
  <si>
    <t>能辉科技</t>
  </si>
  <si>
    <t>志特转债</t>
  </si>
  <si>
    <t>志特新材</t>
  </si>
  <si>
    <t>海顺转债</t>
  </si>
  <si>
    <t>海顺新材</t>
  </si>
  <si>
    <t>天阳转债</t>
  </si>
  <si>
    <t>天阳科技</t>
  </si>
  <si>
    <t>广联转债</t>
  </si>
  <si>
    <t>广联航空</t>
  </si>
  <si>
    <t>华特转债</t>
  </si>
  <si>
    <t>华特气体</t>
  </si>
  <si>
    <t>浙矿转债</t>
  </si>
  <si>
    <t>浙矿股份</t>
  </si>
  <si>
    <t>建龙转债</t>
  </si>
  <si>
    <t>建龙微纳</t>
  </si>
  <si>
    <t>立高转债</t>
  </si>
  <si>
    <t>立高食品</t>
  </si>
  <si>
    <t>花园转债</t>
  </si>
  <si>
    <t>花园生物</t>
  </si>
  <si>
    <t>测绘转债</t>
  </si>
  <si>
    <t>测绘股份</t>
  </si>
  <si>
    <t>精测转2</t>
  </si>
  <si>
    <t>精测电子</t>
  </si>
  <si>
    <t>百畅转债</t>
  </si>
  <si>
    <t>百川畅银</t>
  </si>
  <si>
    <t>精锻转债</t>
  </si>
  <si>
    <t>精锻科技</t>
  </si>
  <si>
    <t>天23转债</t>
  </si>
  <si>
    <t>天合光能</t>
  </si>
  <si>
    <t>睿创转债</t>
  </si>
  <si>
    <t>睿创微纳</t>
  </si>
  <si>
    <t>恒锋转债</t>
  </si>
  <si>
    <t>恒锋信息</t>
  </si>
  <si>
    <t>富淼转债</t>
  </si>
  <si>
    <t>富淼科技</t>
  </si>
  <si>
    <t>漱玉转债</t>
  </si>
  <si>
    <t>漱玉平民</t>
  </si>
  <si>
    <t>会通转债</t>
  </si>
  <si>
    <t>会通股份</t>
  </si>
  <si>
    <t>共同转债</t>
  </si>
  <si>
    <t>共同药业</t>
  </si>
  <si>
    <t>宏图转债</t>
  </si>
  <si>
    <t>航天宏图</t>
  </si>
  <si>
    <t>BBB+</t>
  </si>
  <si>
    <t>南电转债</t>
  </si>
  <si>
    <t>南大光电</t>
  </si>
  <si>
    <t>惠云转债</t>
  </si>
  <si>
    <t>惠云钛业</t>
  </si>
  <si>
    <t>正海转债</t>
  </si>
  <si>
    <t>正海磁材</t>
  </si>
  <si>
    <t>商络转债</t>
  </si>
  <si>
    <t>商络电子</t>
  </si>
  <si>
    <t>蒙泰转债</t>
  </si>
  <si>
    <t>蒙泰高新</t>
  </si>
  <si>
    <t>回天转债</t>
  </si>
  <si>
    <t>回天新材</t>
  </si>
  <si>
    <t>法本转债</t>
  </si>
  <si>
    <t>法本信息</t>
  </si>
  <si>
    <t>金沃转债</t>
  </si>
  <si>
    <t>金沃股份</t>
  </si>
  <si>
    <t>东杰转债</t>
  </si>
  <si>
    <t>东杰智能</t>
  </si>
  <si>
    <t>强联转债</t>
  </si>
  <si>
    <t>新强联</t>
  </si>
  <si>
    <t>泰福转债</t>
  </si>
  <si>
    <t>泰福泵业</t>
  </si>
  <si>
    <t>新致转债</t>
  </si>
  <si>
    <t>新致软件</t>
  </si>
  <si>
    <t>崧盛转债</t>
  </si>
  <si>
    <t>崧盛股份</t>
  </si>
  <si>
    <t>宙邦转债</t>
  </si>
  <si>
    <t>新宙邦</t>
  </si>
  <si>
    <t>科蓝转债</t>
  </si>
  <si>
    <t>科蓝软件</t>
  </si>
  <si>
    <t>博汇转债</t>
  </si>
  <si>
    <t>博汇股份</t>
  </si>
  <si>
    <t>中陆转债</t>
  </si>
  <si>
    <t>中环海陆</t>
  </si>
  <si>
    <t>深科转债</t>
  </si>
  <si>
    <t>深科达</t>
  </si>
  <si>
    <t>京源转债</t>
  </si>
  <si>
    <t>京源环保</t>
  </si>
  <si>
    <t>芯海转债</t>
  </si>
  <si>
    <t>芯海科技</t>
  </si>
  <si>
    <t>英力转债</t>
  </si>
  <si>
    <t>英力股份</t>
  </si>
  <si>
    <t>润禾转债</t>
  </si>
  <si>
    <t>润禾材料</t>
  </si>
  <si>
    <t>道通转债</t>
  </si>
  <si>
    <t>道通科技</t>
  </si>
  <si>
    <t>微芯转债</t>
  </si>
  <si>
    <t>微芯生物</t>
  </si>
  <si>
    <t>银微转债</t>
  </si>
  <si>
    <t>银河微电</t>
  </si>
  <si>
    <t>康医转债</t>
  </si>
  <si>
    <t>康泰医学</t>
  </si>
  <si>
    <t>九强转债</t>
  </si>
  <si>
    <t>九强生物</t>
  </si>
  <si>
    <t>洁特转债</t>
  </si>
  <si>
    <t>洁特生物</t>
  </si>
  <si>
    <t>华锐转债</t>
  </si>
  <si>
    <t>华锐精密</t>
  </si>
  <si>
    <t>海优转债</t>
  </si>
  <si>
    <t>海优新材</t>
  </si>
  <si>
    <t>通裕转债</t>
  </si>
  <si>
    <t>通裕重工</t>
  </si>
  <si>
    <t>上能转债</t>
  </si>
  <si>
    <t>上能电气</t>
  </si>
  <si>
    <t>中辰转债</t>
  </si>
  <si>
    <t>中辰股份</t>
  </si>
  <si>
    <t>中环转2</t>
  </si>
  <si>
    <t>中环环保</t>
  </si>
  <si>
    <t>药石转债</t>
  </si>
  <si>
    <t>药石科技</t>
  </si>
  <si>
    <t>裕兴转债</t>
  </si>
  <si>
    <t>裕兴股份</t>
  </si>
  <si>
    <t>山石转债</t>
  </si>
  <si>
    <t>山石网科</t>
  </si>
  <si>
    <t>申昊转债</t>
  </si>
  <si>
    <t>申昊科技</t>
  </si>
  <si>
    <t>宏丰转债</t>
  </si>
  <si>
    <t>温州宏丰</t>
  </si>
  <si>
    <t>阿拉转债</t>
  </si>
  <si>
    <t>阿拉丁</t>
  </si>
  <si>
    <t>天地转债</t>
  </si>
  <si>
    <t>天地数码</t>
  </si>
  <si>
    <t>铂科转债</t>
  </si>
  <si>
    <t>铂科新材</t>
  </si>
  <si>
    <t>丝路转债</t>
  </si>
  <si>
    <t>丝路视觉</t>
  </si>
  <si>
    <t>锦浪转债</t>
  </si>
  <si>
    <t>锦浪科技</t>
  </si>
  <si>
    <t>天奈转债</t>
  </si>
  <si>
    <t>天奈科技</t>
  </si>
  <si>
    <t>城市转债</t>
  </si>
  <si>
    <t>新城市</t>
  </si>
  <si>
    <t>博瑞转债</t>
  </si>
  <si>
    <t>博瑞医药</t>
  </si>
  <si>
    <t>泰林转债</t>
  </si>
  <si>
    <t>泰林生物</t>
  </si>
  <si>
    <t>卡倍转债</t>
  </si>
  <si>
    <t>回盛转债</t>
  </si>
  <si>
    <t>回盛生物</t>
  </si>
  <si>
    <t>华兴转债</t>
  </si>
  <si>
    <t>华兴源创</t>
  </si>
  <si>
    <t>设研转债</t>
  </si>
  <si>
    <t>设研院</t>
  </si>
  <si>
    <t>锦鸡转债</t>
  </si>
  <si>
    <t>锦鸡股份</t>
  </si>
  <si>
    <t>首华转债</t>
  </si>
  <si>
    <t>首华燃气</t>
  </si>
  <si>
    <t>瑞丰转债</t>
  </si>
  <si>
    <t>瑞丰高材</t>
  </si>
  <si>
    <t>元力转债</t>
  </si>
  <si>
    <t>元力股份</t>
  </si>
  <si>
    <t>江丰转债</t>
  </si>
  <si>
    <t>江丰电子</t>
  </si>
  <si>
    <t>富瀚转债</t>
  </si>
  <si>
    <t>富瀚微</t>
  </si>
  <si>
    <t>帝尔转债</t>
  </si>
  <si>
    <t>帝尔激光</t>
  </si>
  <si>
    <t>隆华转债</t>
  </si>
  <si>
    <t>隆华科技</t>
  </si>
  <si>
    <t>金博转债</t>
  </si>
  <si>
    <t>金博股份</t>
  </si>
  <si>
    <t>康泰转2</t>
  </si>
  <si>
    <t>康泰生物</t>
  </si>
  <si>
    <t>惠城转债</t>
  </si>
  <si>
    <t>惠城环保</t>
  </si>
  <si>
    <t>健帆转债</t>
  </si>
  <si>
    <t>健帆生物</t>
  </si>
  <si>
    <t>捷捷转债</t>
  </si>
  <si>
    <t>捷捷微电</t>
  </si>
  <si>
    <t>三角转债</t>
  </si>
  <si>
    <t>三角防务</t>
  </si>
  <si>
    <t>仙乐转债</t>
  </si>
  <si>
    <t>仙乐健康</t>
  </si>
  <si>
    <t>东财转3</t>
  </si>
  <si>
    <t>东方财富</t>
  </si>
  <si>
    <t>九典转债</t>
  </si>
  <si>
    <t>昌红转债</t>
  </si>
  <si>
    <t>昌红科技</t>
  </si>
  <si>
    <t>乐普转2</t>
  </si>
  <si>
    <t>乐普医疗</t>
  </si>
  <si>
    <t>温氏转债</t>
  </si>
  <si>
    <t>温氏股份</t>
  </si>
  <si>
    <t>正丹转债</t>
  </si>
  <si>
    <t>正丹股份</t>
  </si>
  <si>
    <t>拓尔转债</t>
  </si>
  <si>
    <t>拓尔思</t>
  </si>
  <si>
    <t>卫宁转债</t>
  </si>
  <si>
    <t>卫宁健康</t>
  </si>
  <si>
    <t>震安转债</t>
  </si>
  <si>
    <t>震安科技</t>
  </si>
  <si>
    <t>华自转债</t>
  </si>
  <si>
    <t>华自科技</t>
  </si>
  <si>
    <t>拓斯转债</t>
  </si>
  <si>
    <t>拓斯达</t>
  </si>
  <si>
    <t>嘉元转债</t>
  </si>
  <si>
    <t>嘉元科技</t>
  </si>
  <si>
    <t>朗科转债</t>
  </si>
  <si>
    <t>朗科智能</t>
  </si>
  <si>
    <t>一品转债</t>
  </si>
  <si>
    <t>一品红</t>
  </si>
  <si>
    <t>美力转债</t>
  </si>
  <si>
    <t>美力科技</t>
  </si>
  <si>
    <t>思创转债</t>
  </si>
  <si>
    <t>思创医惠</t>
  </si>
  <si>
    <t>BB</t>
  </si>
  <si>
    <t>星源转2</t>
  </si>
  <si>
    <t>星源材质</t>
  </si>
  <si>
    <t>金陵转债</t>
  </si>
  <si>
    <t>金陵体育</t>
  </si>
  <si>
    <t>长海转债</t>
  </si>
  <si>
    <t>长海股份</t>
  </si>
  <si>
    <t>三诺转债</t>
  </si>
  <si>
    <t>三诺生物</t>
  </si>
  <si>
    <t>九洲转2</t>
  </si>
  <si>
    <t>九洲集团</t>
  </si>
  <si>
    <t>威唐转债</t>
  </si>
  <si>
    <t>威唐工业</t>
  </si>
  <si>
    <t>海兰转债</t>
  </si>
  <si>
    <t>海兰信</t>
  </si>
  <si>
    <t>万顺转2</t>
  </si>
  <si>
    <t>万顺新材</t>
  </si>
  <si>
    <t>高澜转债</t>
  </si>
  <si>
    <t>高澜股份</t>
  </si>
  <si>
    <t>北陆转债</t>
  </si>
  <si>
    <t>北陆药业</t>
  </si>
  <si>
    <t>海波转债</t>
  </si>
  <si>
    <t>海波重科</t>
  </si>
  <si>
    <t>运达转债</t>
  </si>
  <si>
    <t>运达股份</t>
  </si>
  <si>
    <t>飞凯转债</t>
  </si>
  <si>
    <t>飞凯材料</t>
  </si>
  <si>
    <t>汉得转债</t>
  </si>
  <si>
    <t>汉得信息</t>
  </si>
  <si>
    <t>强力转债</t>
  </si>
  <si>
    <t>强力新材</t>
  </si>
  <si>
    <t>贝斯转债</t>
  </si>
  <si>
    <t>贝斯特</t>
  </si>
  <si>
    <t>隆利转债</t>
  </si>
  <si>
    <t>隆利科技</t>
  </si>
  <si>
    <t>同和转债</t>
  </si>
  <si>
    <t>同和药业</t>
  </si>
  <si>
    <t>天能转债</t>
  </si>
  <si>
    <t>天能重工</t>
  </si>
  <si>
    <t>乐歌转债</t>
  </si>
  <si>
    <t>乐歌股份</t>
  </si>
  <si>
    <t>鹏辉转债</t>
  </si>
  <si>
    <t>鹏辉能源</t>
  </si>
  <si>
    <t>金诺转债</t>
  </si>
  <si>
    <t>川金诺</t>
  </si>
  <si>
    <t>弘信转债</t>
  </si>
  <si>
    <t>弘信电子</t>
  </si>
  <si>
    <t>斯莱转债</t>
  </si>
  <si>
    <t>斯莱克</t>
  </si>
  <si>
    <t>赛意转债</t>
  </si>
  <si>
    <t>赛意信息</t>
  </si>
  <si>
    <t>宝莱转债</t>
  </si>
  <si>
    <t>宝莱特</t>
  </si>
  <si>
    <t>万孚转债</t>
  </si>
  <si>
    <t>万孚生物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</si>
</sst>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/>
    </xf>
    <xf numFmtId="10" fontId="0" fillId="0" borderId="0" xfId="3" applyNumberFormat="1">
      <alignment vertical="center"/>
    </xf>
    <xf numFmtId="14" fontId="0" fillId="0" borderId="0" xfId="0" applyNumberFormat="1">
      <alignment vertical="center"/>
    </xf>
    <xf numFmtId="22" fontId="0" fillId="0" borderId="0" xfId="0" applyNumberFormat="1">
      <alignment vertical="center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10" fontId="0" fillId="2" borderId="0" xfId="3" applyNumberFormat="1" applyFill="1" applyAlignment="1">
      <alignment vertical="center" wrapText="1"/>
    </xf>
    <xf numFmtId="0" fontId="0" fillId="3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96"/>
  <sheetViews>
    <sheetView tabSelected="1" zoomScaleSheetLayoutView="60" topLeftCell="P1" workbookViewId="0">
      <pane ySplit="1" topLeftCell="A2" activePane="bottomLeft" state="frozen"/>
      <selection/>
      <selection pane="bottomLeft" activeCell="U13" sqref="U13"/>
    </sheetView>
  </sheetViews>
  <sheetFormatPr defaultColWidth="9" defaultRowHeight="13.5"/>
  <cols>
    <col min="3" max="3" width="11.5" customWidth="1"/>
    <col min="4" max="6" width="8.875" customWidth="1"/>
    <col min="7" max="7" width="12.625" customWidth="1"/>
    <col min="8" max="8" width="11.5" customWidth="1"/>
    <col min="9" max="9" width="8.875" customWidth="1"/>
    <col min="10" max="10" width="15" customWidth="1"/>
    <col min="11" max="11" width="17.125" customWidth="1"/>
    <col min="20" max="20" width="9" style="2" customWidth="1"/>
    <col min="21" max="21" width="9.875" style="2" customWidth="1"/>
    <col min="24" max="24" width="9" style="2" customWidth="1"/>
    <col min="25" max="25" width="8.375" style="2" customWidth="1"/>
    <col min="26" max="26" width="9" style="2" customWidth="1"/>
    <col min="27" max="27" width="8.875" style="3" customWidth="1"/>
    <col min="36" max="36" width="9" style="2" customWidth="1"/>
    <col min="37" max="37" width="8.375" style="2" customWidth="1"/>
    <col min="40" max="40" width="11.5" customWidth="1"/>
  </cols>
  <sheetData>
    <row r="1" s="1" customFormat="1" ht="57" customHeight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6" t="s">
        <v>19</v>
      </c>
      <c r="U1" s="6" t="s">
        <v>20</v>
      </c>
      <c r="V1" s="1" t="s">
        <v>21</v>
      </c>
      <c r="W1" s="1" t="s">
        <v>22</v>
      </c>
      <c r="X1" s="7" t="s">
        <v>23</v>
      </c>
      <c r="Y1" s="7" t="s">
        <v>24</v>
      </c>
      <c r="Z1" s="6" t="s">
        <v>25</v>
      </c>
      <c r="AA1" s="8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7" t="s">
        <v>23</v>
      </c>
      <c r="AK1" s="7" t="s">
        <v>24</v>
      </c>
      <c r="AL1" s="1" t="s">
        <v>35</v>
      </c>
      <c r="AM1" s="1" t="s">
        <v>36</v>
      </c>
      <c r="AN1" s="9" t="s">
        <v>37</v>
      </c>
    </row>
    <row r="2" spans="1:40">
      <c r="A2">
        <v>118058</v>
      </c>
      <c r="B2" t="s">
        <v>38</v>
      </c>
      <c r="C2" s="4">
        <v>45875</v>
      </c>
      <c r="D2">
        <v>718147</v>
      </c>
      <c r="E2">
        <v>688147</v>
      </c>
      <c r="F2" t="s">
        <v>39</v>
      </c>
      <c r="G2">
        <v>0.0014953</v>
      </c>
      <c r="I2" t="s">
        <v>40</v>
      </c>
      <c r="J2" s="4">
        <v>45801</v>
      </c>
      <c r="K2" s="4">
        <v>45853</v>
      </c>
      <c r="L2">
        <v>74</v>
      </c>
      <c r="M2">
        <v>22</v>
      </c>
      <c r="N2">
        <v>29.76</v>
      </c>
      <c r="O2">
        <v>29.56</v>
      </c>
      <c r="P2">
        <v>30.81</v>
      </c>
      <c r="Q2">
        <v>31</v>
      </c>
      <c r="R2">
        <v>34.07</v>
      </c>
      <c r="S2">
        <v>34.72</v>
      </c>
      <c r="T2" s="2">
        <f t="shared" ref="T2:T65" si="0">S2-Q2</f>
        <v>3.72</v>
      </c>
      <c r="U2" s="3">
        <f t="shared" ref="U2:U65" si="1">T2/Q2</f>
        <v>0.12</v>
      </c>
      <c r="V2">
        <v>33.7</v>
      </c>
      <c r="W2">
        <v>34.24</v>
      </c>
      <c r="X2" s="2">
        <f t="shared" ref="X2:X65" si="2">W2-Q2</f>
        <v>3.24</v>
      </c>
      <c r="Y2" s="3">
        <f t="shared" ref="Y2:Y65" si="3">X2/Q2</f>
        <v>0.104516129032258</v>
      </c>
      <c r="Z2" s="2">
        <f t="shared" ref="Z2:Z65" si="4">W2-S2</f>
        <v>-0.479999999999997</v>
      </c>
      <c r="AA2" s="3">
        <f t="shared" ref="AA2:AA65" si="5">Z2/S2</f>
        <v>-0.0138248847926266</v>
      </c>
      <c r="AD2">
        <v>11.44</v>
      </c>
      <c r="AE2">
        <v>11.42</v>
      </c>
      <c r="AF2">
        <v>12.99</v>
      </c>
      <c r="AG2">
        <v>12.73</v>
      </c>
      <c r="AH2">
        <v>12.47</v>
      </c>
      <c r="AI2">
        <v>12.46</v>
      </c>
      <c r="AJ2" s="2">
        <f>AI2-AG2</f>
        <v>-0.27</v>
      </c>
      <c r="AK2" s="3">
        <f>AJ2/AG2</f>
        <v>-0.021209740769835</v>
      </c>
      <c r="AN2" s="3">
        <f>Y2-AK2</f>
        <v>0.125725869802093</v>
      </c>
    </row>
    <row r="3" spans="1:40">
      <c r="A3">
        <v>127110</v>
      </c>
      <c r="B3" t="s">
        <v>41</v>
      </c>
      <c r="C3" s="4">
        <v>45847</v>
      </c>
      <c r="D3">
        <v>73816</v>
      </c>
      <c r="E3">
        <v>3816</v>
      </c>
      <c r="F3" t="s">
        <v>42</v>
      </c>
      <c r="G3">
        <v>0.0186422035</v>
      </c>
      <c r="H3" s="4">
        <v>45863</v>
      </c>
      <c r="I3" t="s">
        <v>43</v>
      </c>
      <c r="J3" s="4">
        <v>45702</v>
      </c>
      <c r="K3" s="4">
        <v>45736</v>
      </c>
      <c r="L3">
        <v>145</v>
      </c>
      <c r="M3">
        <v>111</v>
      </c>
      <c r="N3">
        <v>3.6</v>
      </c>
      <c r="O3">
        <v>3.59</v>
      </c>
      <c r="P3">
        <v>3.6</v>
      </c>
      <c r="Q3">
        <v>3.57</v>
      </c>
      <c r="R3">
        <v>3.73</v>
      </c>
      <c r="S3">
        <v>3.72</v>
      </c>
      <c r="T3" s="2">
        <f t="shared" si="0"/>
        <v>0.15</v>
      </c>
      <c r="U3" s="3">
        <f t="shared" si="1"/>
        <v>0.0420168067226892</v>
      </c>
      <c r="V3">
        <v>3.7</v>
      </c>
      <c r="W3">
        <v>3.7</v>
      </c>
      <c r="X3" s="2">
        <f t="shared" si="2"/>
        <v>0.13</v>
      </c>
      <c r="Y3" s="3">
        <f t="shared" si="3"/>
        <v>0.0364145658263306</v>
      </c>
      <c r="Z3" s="2">
        <f t="shared" si="4"/>
        <v>-0.02</v>
      </c>
      <c r="AA3" s="3">
        <f t="shared" si="5"/>
        <v>-0.00537634408602151</v>
      </c>
      <c r="AB3">
        <v>3.8</v>
      </c>
      <c r="AC3">
        <v>3.75</v>
      </c>
      <c r="AD3">
        <v>11.49</v>
      </c>
      <c r="AE3">
        <v>11.55</v>
      </c>
      <c r="AF3">
        <v>11.51</v>
      </c>
      <c r="AG3">
        <v>11.49</v>
      </c>
      <c r="AH3">
        <v>12.66</v>
      </c>
      <c r="AI3">
        <v>12.84</v>
      </c>
      <c r="AJ3" s="2">
        <f t="shared" ref="AJ3:AJ66" si="6">AI3-AG3</f>
        <v>1.35</v>
      </c>
      <c r="AK3" s="3">
        <f t="shared" ref="AK3:AK66" si="7">AJ3/AG3</f>
        <v>0.117493472584856</v>
      </c>
      <c r="AL3">
        <v>12.33</v>
      </c>
      <c r="AM3">
        <v>12.35</v>
      </c>
      <c r="AN3" s="3">
        <f t="shared" ref="AN3:AN66" si="8">Y3-AK3</f>
        <v>-0.0810789067585257</v>
      </c>
    </row>
    <row r="4" spans="1:40">
      <c r="A4">
        <v>111023</v>
      </c>
      <c r="B4" t="s">
        <v>44</v>
      </c>
      <c r="C4" s="4">
        <v>45841</v>
      </c>
      <c r="D4">
        <v>713167</v>
      </c>
      <c r="E4">
        <v>605167</v>
      </c>
      <c r="F4" t="s">
        <v>45</v>
      </c>
      <c r="G4">
        <v>0.00173477</v>
      </c>
      <c r="H4" s="4">
        <v>45860</v>
      </c>
      <c r="I4" t="s">
        <v>40</v>
      </c>
      <c r="J4" s="4">
        <v>45769</v>
      </c>
      <c r="K4" s="4">
        <v>45820</v>
      </c>
      <c r="L4">
        <v>72</v>
      </c>
      <c r="M4">
        <v>21</v>
      </c>
      <c r="N4">
        <v>8.83</v>
      </c>
      <c r="O4">
        <v>8.82</v>
      </c>
      <c r="P4">
        <v>10.7</v>
      </c>
      <c r="Q4">
        <v>11.4</v>
      </c>
      <c r="R4">
        <v>12.38</v>
      </c>
      <c r="S4">
        <v>12.3</v>
      </c>
      <c r="T4" s="2">
        <f t="shared" si="0"/>
        <v>0.9</v>
      </c>
      <c r="U4" s="3">
        <f t="shared" si="1"/>
        <v>0.0789473684210527</v>
      </c>
      <c r="V4">
        <v>11.75</v>
      </c>
      <c r="W4">
        <v>11.83</v>
      </c>
      <c r="X4" s="2">
        <f t="shared" si="2"/>
        <v>0.43</v>
      </c>
      <c r="Y4" s="3">
        <f t="shared" si="3"/>
        <v>0.037719298245614</v>
      </c>
      <c r="Z4" s="2">
        <f t="shared" si="4"/>
        <v>-0.470000000000001</v>
      </c>
      <c r="AA4" s="3">
        <f t="shared" si="5"/>
        <v>-0.0382113821138212</v>
      </c>
      <c r="AB4">
        <v>11.4</v>
      </c>
      <c r="AC4">
        <v>11.29</v>
      </c>
      <c r="AD4">
        <v>11.02</v>
      </c>
      <c r="AE4">
        <v>11.04</v>
      </c>
      <c r="AF4">
        <v>11.56</v>
      </c>
      <c r="AG4">
        <v>11.68</v>
      </c>
      <c r="AH4">
        <v>12.33</v>
      </c>
      <c r="AI4">
        <v>12.35</v>
      </c>
      <c r="AJ4" s="2">
        <f t="shared" si="6"/>
        <v>0.67</v>
      </c>
      <c r="AK4" s="3">
        <f t="shared" si="7"/>
        <v>0.0573630136986301</v>
      </c>
      <c r="AL4">
        <v>12.6</v>
      </c>
      <c r="AM4">
        <v>12.49</v>
      </c>
      <c r="AN4" s="3">
        <f t="shared" si="8"/>
        <v>-0.0196437154530161</v>
      </c>
    </row>
    <row r="5" spans="1:40">
      <c r="A5">
        <v>113696</v>
      </c>
      <c r="B5" t="s">
        <v>46</v>
      </c>
      <c r="C5" s="4">
        <v>45839</v>
      </c>
      <c r="D5">
        <v>754596</v>
      </c>
      <c r="E5">
        <v>603596</v>
      </c>
      <c r="F5" t="s">
        <v>47</v>
      </c>
      <c r="G5">
        <v>0.00894996</v>
      </c>
      <c r="H5" s="4">
        <v>45866</v>
      </c>
      <c r="I5" t="s">
        <v>40</v>
      </c>
      <c r="J5" s="4">
        <v>45713</v>
      </c>
      <c r="K5" s="4">
        <v>45751</v>
      </c>
      <c r="L5">
        <v>126</v>
      </c>
      <c r="M5">
        <v>88</v>
      </c>
      <c r="N5">
        <v>57.87</v>
      </c>
      <c r="O5">
        <v>60.65</v>
      </c>
      <c r="P5">
        <v>54.93</v>
      </c>
      <c r="Q5">
        <v>53.21</v>
      </c>
      <c r="R5">
        <v>51.59</v>
      </c>
      <c r="S5">
        <v>52.69</v>
      </c>
      <c r="T5" s="2">
        <f t="shared" si="0"/>
        <v>-0.520000000000003</v>
      </c>
      <c r="U5" s="3">
        <f t="shared" si="1"/>
        <v>-0.0097725991355009</v>
      </c>
      <c r="V5">
        <v>51.9</v>
      </c>
      <c r="W5">
        <v>50.66</v>
      </c>
      <c r="X5" s="2">
        <f t="shared" si="2"/>
        <v>-2.55</v>
      </c>
      <c r="Y5" s="3">
        <f t="shared" si="3"/>
        <v>-0.0479233226837062</v>
      </c>
      <c r="Z5" s="2">
        <f t="shared" si="4"/>
        <v>-2.03</v>
      </c>
      <c r="AA5" s="3">
        <f t="shared" si="5"/>
        <v>-0.038527234769406</v>
      </c>
      <c r="AB5">
        <v>50</v>
      </c>
      <c r="AC5">
        <v>49.7</v>
      </c>
      <c r="AD5">
        <v>11.56</v>
      </c>
      <c r="AE5">
        <v>11.47</v>
      </c>
      <c r="AF5">
        <v>11</v>
      </c>
      <c r="AG5">
        <v>10.7</v>
      </c>
      <c r="AH5">
        <v>12.06</v>
      </c>
      <c r="AI5">
        <v>12.3</v>
      </c>
      <c r="AJ5" s="2">
        <f t="shared" si="6"/>
        <v>1.6</v>
      </c>
      <c r="AK5" s="3">
        <f t="shared" si="7"/>
        <v>0.149532710280374</v>
      </c>
      <c r="AL5">
        <v>12.35</v>
      </c>
      <c r="AM5">
        <v>12.46</v>
      </c>
      <c r="AN5" s="3">
        <f t="shared" si="8"/>
        <v>-0.19745603296408</v>
      </c>
    </row>
    <row r="6" spans="1:40">
      <c r="A6">
        <v>118057</v>
      </c>
      <c r="B6" t="s">
        <v>48</v>
      </c>
      <c r="C6" s="4">
        <v>45834</v>
      </c>
      <c r="D6">
        <v>718362</v>
      </c>
      <c r="E6">
        <v>688362</v>
      </c>
      <c r="F6" t="s">
        <v>49</v>
      </c>
      <c r="G6">
        <v>0.004213</v>
      </c>
      <c r="H6" s="4">
        <v>45854</v>
      </c>
      <c r="I6" t="s">
        <v>50</v>
      </c>
      <c r="J6" s="4">
        <v>45755</v>
      </c>
      <c r="K6" s="4">
        <v>45804</v>
      </c>
      <c r="L6">
        <v>79</v>
      </c>
      <c r="M6">
        <v>30</v>
      </c>
      <c r="N6">
        <v>24.87</v>
      </c>
      <c r="O6">
        <v>24.78</v>
      </c>
      <c r="P6">
        <v>26</v>
      </c>
      <c r="Q6">
        <v>25.68</v>
      </c>
      <c r="R6">
        <v>28.98</v>
      </c>
      <c r="S6">
        <v>29.46</v>
      </c>
      <c r="T6" s="2">
        <f t="shared" si="0"/>
        <v>3.78</v>
      </c>
      <c r="U6" s="3">
        <f t="shared" si="1"/>
        <v>0.147196261682243</v>
      </c>
      <c r="V6">
        <v>28.91</v>
      </c>
      <c r="W6">
        <v>28.43</v>
      </c>
      <c r="X6" s="2">
        <f t="shared" si="2"/>
        <v>2.75</v>
      </c>
      <c r="Y6" s="3">
        <f t="shared" si="3"/>
        <v>0.10708722741433</v>
      </c>
      <c r="Z6" s="2">
        <f t="shared" si="4"/>
        <v>-1.03</v>
      </c>
      <c r="AA6" s="3">
        <f t="shared" si="5"/>
        <v>-0.0349626612355737</v>
      </c>
      <c r="AB6">
        <v>28.09</v>
      </c>
      <c r="AC6">
        <v>27.98</v>
      </c>
      <c r="AD6">
        <v>10.68</v>
      </c>
      <c r="AE6">
        <v>10.82</v>
      </c>
      <c r="AF6">
        <v>11.45</v>
      </c>
      <c r="AG6">
        <v>11.49</v>
      </c>
      <c r="AH6">
        <v>12.05</v>
      </c>
      <c r="AI6">
        <v>12.41</v>
      </c>
      <c r="AJ6" s="2">
        <f t="shared" si="6"/>
        <v>0.92</v>
      </c>
      <c r="AK6" s="3">
        <f t="shared" si="7"/>
        <v>0.0800696257615318</v>
      </c>
      <c r="AL6">
        <v>12.73</v>
      </c>
      <c r="AM6">
        <v>12.64</v>
      </c>
      <c r="AN6" s="3">
        <f t="shared" si="8"/>
        <v>0.0270176016527985</v>
      </c>
    </row>
    <row r="7" spans="1:40">
      <c r="A7">
        <v>113695</v>
      </c>
      <c r="B7" t="s">
        <v>51</v>
      </c>
      <c r="C7" s="4">
        <v>45828</v>
      </c>
      <c r="D7">
        <v>754097</v>
      </c>
      <c r="E7">
        <v>603097</v>
      </c>
      <c r="F7" t="s">
        <v>52</v>
      </c>
      <c r="G7">
        <v>0.0003492</v>
      </c>
      <c r="H7" s="4">
        <v>45848</v>
      </c>
      <c r="I7" t="s">
        <v>50</v>
      </c>
      <c r="J7" s="4">
        <v>45735</v>
      </c>
      <c r="K7" s="4">
        <v>45791</v>
      </c>
      <c r="L7">
        <v>93</v>
      </c>
      <c r="M7">
        <v>37</v>
      </c>
      <c r="N7">
        <v>23.46</v>
      </c>
      <c r="O7">
        <v>23.71</v>
      </c>
      <c r="P7">
        <v>22.82</v>
      </c>
      <c r="Q7">
        <v>22.48</v>
      </c>
      <c r="R7">
        <v>23.77</v>
      </c>
      <c r="S7">
        <v>23.74</v>
      </c>
      <c r="T7" s="2">
        <f t="shared" si="0"/>
        <v>1.26</v>
      </c>
      <c r="U7" s="3">
        <f t="shared" si="1"/>
        <v>0.0560498220640568</v>
      </c>
      <c r="V7">
        <v>21.5</v>
      </c>
      <c r="W7">
        <v>21.64</v>
      </c>
      <c r="X7" s="2">
        <f t="shared" si="2"/>
        <v>-0.84</v>
      </c>
      <c r="Y7" s="3">
        <f t="shared" si="3"/>
        <v>-0.0373665480427046</v>
      </c>
      <c r="Z7" s="2">
        <f t="shared" si="4"/>
        <v>-2.1</v>
      </c>
      <c r="AA7" s="3">
        <f t="shared" si="5"/>
        <v>-0.088458298230834</v>
      </c>
      <c r="AB7">
        <v>22.35</v>
      </c>
      <c r="AC7">
        <v>21.98</v>
      </c>
      <c r="AD7">
        <v>11.48</v>
      </c>
      <c r="AE7">
        <v>11.52</v>
      </c>
      <c r="AF7">
        <v>11.29</v>
      </c>
      <c r="AG7">
        <v>11.43</v>
      </c>
      <c r="AH7">
        <v>11.7</v>
      </c>
      <c r="AI7">
        <v>11.84</v>
      </c>
      <c r="AJ7" s="2">
        <f t="shared" si="6"/>
        <v>0.41</v>
      </c>
      <c r="AK7" s="3">
        <f t="shared" si="7"/>
        <v>0.0358705161854768</v>
      </c>
      <c r="AL7">
        <v>12.82</v>
      </c>
      <c r="AM7">
        <v>13.18</v>
      </c>
      <c r="AN7" s="3">
        <f t="shared" si="8"/>
        <v>-0.0732370642281814</v>
      </c>
    </row>
    <row r="8" spans="1:40">
      <c r="A8">
        <v>111022</v>
      </c>
      <c r="B8" t="s">
        <v>53</v>
      </c>
      <c r="C8" s="4">
        <v>45826</v>
      </c>
      <c r="D8">
        <v>713319</v>
      </c>
      <c r="E8">
        <v>605319</v>
      </c>
      <c r="F8" t="s">
        <v>54</v>
      </c>
      <c r="G8">
        <v>0.00091285</v>
      </c>
      <c r="H8" s="4">
        <v>45852</v>
      </c>
      <c r="I8" t="s">
        <v>55</v>
      </c>
      <c r="J8" s="4">
        <v>45743</v>
      </c>
      <c r="K8" s="4">
        <v>45794</v>
      </c>
      <c r="L8">
        <v>83</v>
      </c>
      <c r="M8">
        <v>32</v>
      </c>
      <c r="N8">
        <v>31.74</v>
      </c>
      <c r="O8">
        <v>31.9</v>
      </c>
      <c r="P8">
        <v>32.49</v>
      </c>
      <c r="Q8">
        <v>33.26</v>
      </c>
      <c r="R8">
        <v>33.9</v>
      </c>
      <c r="S8">
        <v>32.55</v>
      </c>
      <c r="T8" s="2">
        <f t="shared" si="0"/>
        <v>-0.710000000000001</v>
      </c>
      <c r="U8" s="3">
        <f t="shared" si="1"/>
        <v>-0.0213469633193025</v>
      </c>
      <c r="V8">
        <v>31</v>
      </c>
      <c r="W8">
        <v>32.08</v>
      </c>
      <c r="X8" s="2">
        <f t="shared" si="2"/>
        <v>-1.18</v>
      </c>
      <c r="Y8" s="3">
        <f t="shared" si="3"/>
        <v>-0.0354780517137703</v>
      </c>
      <c r="Z8" s="2">
        <f t="shared" si="4"/>
        <v>-0.469999999999999</v>
      </c>
      <c r="AA8" s="3">
        <f t="shared" si="5"/>
        <v>-0.0144393241167434</v>
      </c>
      <c r="AB8">
        <v>31.9</v>
      </c>
      <c r="AC8">
        <v>31.66</v>
      </c>
      <c r="AD8">
        <v>11.37</v>
      </c>
      <c r="AE8">
        <v>11.39</v>
      </c>
      <c r="AF8">
        <v>11.4</v>
      </c>
      <c r="AG8">
        <v>11.37</v>
      </c>
      <c r="AH8">
        <v>11.78</v>
      </c>
      <c r="AI8">
        <v>11.77</v>
      </c>
      <c r="AJ8" s="2">
        <f t="shared" si="6"/>
        <v>0.4</v>
      </c>
      <c r="AK8" s="3">
        <f t="shared" si="7"/>
        <v>0.0351802990325418</v>
      </c>
      <c r="AL8">
        <v>12.87</v>
      </c>
      <c r="AM8">
        <v>12.98</v>
      </c>
      <c r="AN8" s="3">
        <f t="shared" si="8"/>
        <v>-0.0706583507463121</v>
      </c>
    </row>
    <row r="9" spans="1:40">
      <c r="A9">
        <v>123257</v>
      </c>
      <c r="B9" t="s">
        <v>56</v>
      </c>
      <c r="C9" s="4">
        <v>45824</v>
      </c>
      <c r="D9">
        <v>370866</v>
      </c>
      <c r="E9">
        <v>300866</v>
      </c>
      <c r="F9" t="s">
        <v>57</v>
      </c>
      <c r="G9">
        <v>0.0026475779</v>
      </c>
      <c r="H9" s="4">
        <v>45842</v>
      </c>
      <c r="I9" t="s">
        <v>58</v>
      </c>
      <c r="J9" s="4">
        <v>45611</v>
      </c>
      <c r="K9" s="4">
        <v>45694</v>
      </c>
      <c r="L9">
        <v>213</v>
      </c>
      <c r="M9">
        <v>130</v>
      </c>
      <c r="N9">
        <v>85.08</v>
      </c>
      <c r="O9">
        <v>81.62</v>
      </c>
      <c r="P9">
        <v>110.59</v>
      </c>
      <c r="Q9">
        <v>110.12</v>
      </c>
      <c r="R9">
        <v>110.98</v>
      </c>
      <c r="S9">
        <v>111.28</v>
      </c>
      <c r="T9" s="2">
        <f t="shared" si="0"/>
        <v>1.16</v>
      </c>
      <c r="U9" s="3">
        <f t="shared" si="1"/>
        <v>0.0105339629495096</v>
      </c>
      <c r="V9">
        <v>110.01</v>
      </c>
      <c r="W9">
        <v>106.6</v>
      </c>
      <c r="X9" s="2">
        <f t="shared" si="2"/>
        <v>-3.52000000000001</v>
      </c>
      <c r="Y9" s="3">
        <f t="shared" si="3"/>
        <v>-0.0319651289502362</v>
      </c>
      <c r="Z9" s="2">
        <f t="shared" si="4"/>
        <v>-4.68000000000001</v>
      </c>
      <c r="AA9" s="3">
        <f t="shared" si="5"/>
        <v>-0.0420560747663552</v>
      </c>
      <c r="AB9">
        <v>117.49</v>
      </c>
      <c r="AC9">
        <v>115.15</v>
      </c>
      <c r="AD9">
        <v>11.5</v>
      </c>
      <c r="AE9">
        <v>11.44</v>
      </c>
      <c r="AF9">
        <v>11.35</v>
      </c>
      <c r="AG9">
        <v>11.36</v>
      </c>
      <c r="AH9">
        <v>11.57</v>
      </c>
      <c r="AI9">
        <v>11.79</v>
      </c>
      <c r="AJ9" s="2">
        <f t="shared" si="6"/>
        <v>0.43</v>
      </c>
      <c r="AK9" s="3">
        <f t="shared" si="7"/>
        <v>0.0378521126760563</v>
      </c>
      <c r="AL9">
        <v>12.35</v>
      </c>
      <c r="AM9">
        <v>12.6</v>
      </c>
      <c r="AN9" s="3">
        <f t="shared" si="8"/>
        <v>-0.0698172416262925</v>
      </c>
    </row>
    <row r="10" spans="1:40">
      <c r="A10">
        <v>127109</v>
      </c>
      <c r="B10" t="s">
        <v>59</v>
      </c>
      <c r="C10" s="4">
        <v>45824</v>
      </c>
      <c r="D10">
        <v>72125</v>
      </c>
      <c r="E10">
        <v>2125</v>
      </c>
      <c r="F10" t="s">
        <v>60</v>
      </c>
      <c r="G10">
        <v>0.0015321157</v>
      </c>
      <c r="H10" s="4">
        <v>45842</v>
      </c>
      <c r="I10" t="s">
        <v>40</v>
      </c>
      <c r="J10" s="4">
        <v>45726</v>
      </c>
      <c r="K10" s="4">
        <v>45777</v>
      </c>
      <c r="L10">
        <v>98</v>
      </c>
      <c r="M10">
        <v>47</v>
      </c>
      <c r="N10">
        <v>10.97</v>
      </c>
      <c r="O10">
        <v>10.85</v>
      </c>
      <c r="P10">
        <v>9.79</v>
      </c>
      <c r="Q10">
        <v>9.67</v>
      </c>
      <c r="R10">
        <v>10.22</v>
      </c>
      <c r="S10">
        <v>10.37</v>
      </c>
      <c r="T10" s="2">
        <f t="shared" si="0"/>
        <v>0.699999999999999</v>
      </c>
      <c r="U10" s="3">
        <f t="shared" si="1"/>
        <v>0.0723888314374353</v>
      </c>
      <c r="V10">
        <v>10.09</v>
      </c>
      <c r="W10">
        <v>10.17</v>
      </c>
      <c r="X10" s="2">
        <f t="shared" si="2"/>
        <v>0.5</v>
      </c>
      <c r="Y10" s="3">
        <f t="shared" si="3"/>
        <v>0.0517063081695967</v>
      </c>
      <c r="Z10" s="2">
        <f t="shared" si="4"/>
        <v>-0.199999999999999</v>
      </c>
      <c r="AA10" s="3">
        <f t="shared" si="5"/>
        <v>-0.0192864030858244</v>
      </c>
      <c r="AB10">
        <v>14.11</v>
      </c>
      <c r="AC10">
        <v>13.59</v>
      </c>
      <c r="AD10">
        <v>11.66</v>
      </c>
      <c r="AE10">
        <v>11.59</v>
      </c>
      <c r="AF10">
        <v>10.96</v>
      </c>
      <c r="AG10">
        <v>10.91</v>
      </c>
      <c r="AH10">
        <v>11.57</v>
      </c>
      <c r="AI10">
        <v>11.79</v>
      </c>
      <c r="AJ10" s="2">
        <f t="shared" si="6"/>
        <v>0.879999999999999</v>
      </c>
      <c r="AK10" s="3">
        <f t="shared" si="7"/>
        <v>0.0806599450045829</v>
      </c>
      <c r="AL10">
        <v>12.35</v>
      </c>
      <c r="AM10">
        <v>12.6</v>
      </c>
      <c r="AN10" s="3">
        <f t="shared" si="8"/>
        <v>-0.0289536368349862</v>
      </c>
    </row>
    <row r="11" spans="1:40">
      <c r="A11">
        <v>118056</v>
      </c>
      <c r="B11" t="s">
        <v>61</v>
      </c>
      <c r="C11" s="4">
        <v>45819</v>
      </c>
      <c r="D11">
        <v>718401</v>
      </c>
      <c r="E11">
        <v>688401</v>
      </c>
      <c r="F11" t="s">
        <v>62</v>
      </c>
      <c r="G11">
        <v>0.00165975</v>
      </c>
      <c r="H11" s="4">
        <v>45848</v>
      </c>
      <c r="I11" t="s">
        <v>55</v>
      </c>
      <c r="J11" s="4">
        <v>45738</v>
      </c>
      <c r="K11" s="4">
        <v>45786</v>
      </c>
      <c r="L11">
        <v>81</v>
      </c>
      <c r="M11">
        <v>33</v>
      </c>
      <c r="N11">
        <v>30.97</v>
      </c>
      <c r="O11">
        <v>30.83</v>
      </c>
      <c r="P11">
        <v>34.69</v>
      </c>
      <c r="Q11">
        <v>33.29</v>
      </c>
      <c r="R11">
        <v>32.75</v>
      </c>
      <c r="S11">
        <v>31.9</v>
      </c>
      <c r="T11" s="2">
        <f t="shared" si="0"/>
        <v>-1.39</v>
      </c>
      <c r="U11" s="3">
        <f t="shared" si="1"/>
        <v>-0.0417542805647342</v>
      </c>
      <c r="V11">
        <v>31.18</v>
      </c>
      <c r="W11">
        <v>31.3</v>
      </c>
      <c r="X11" s="2">
        <f t="shared" si="2"/>
        <v>-1.99</v>
      </c>
      <c r="Y11" s="3">
        <f t="shared" si="3"/>
        <v>-0.0597777110243316</v>
      </c>
      <c r="Z11" s="2">
        <f t="shared" si="4"/>
        <v>-0.599999999999998</v>
      </c>
      <c r="AA11" s="3">
        <f t="shared" si="5"/>
        <v>-0.018808777429467</v>
      </c>
      <c r="AB11">
        <v>33.72</v>
      </c>
      <c r="AC11">
        <v>33.8</v>
      </c>
      <c r="AD11">
        <v>11.41</v>
      </c>
      <c r="AE11">
        <v>11.38</v>
      </c>
      <c r="AF11">
        <v>11.07</v>
      </c>
      <c r="AG11">
        <v>11.15</v>
      </c>
      <c r="AH11">
        <v>11.82</v>
      </c>
      <c r="AI11">
        <v>11.85</v>
      </c>
      <c r="AJ11" s="2">
        <f t="shared" si="6"/>
        <v>0.699999999999999</v>
      </c>
      <c r="AK11" s="3">
        <f t="shared" si="7"/>
        <v>0.0627802690582959</v>
      </c>
      <c r="AL11">
        <v>12.82</v>
      </c>
      <c r="AM11">
        <v>13.18</v>
      </c>
      <c r="AN11" s="3">
        <f t="shared" si="8"/>
        <v>-0.122557980082627</v>
      </c>
    </row>
    <row r="12" spans="1:40">
      <c r="A12">
        <v>123256</v>
      </c>
      <c r="B12" t="s">
        <v>63</v>
      </c>
      <c r="C12" s="4">
        <v>45806</v>
      </c>
      <c r="D12">
        <v>370969</v>
      </c>
      <c r="E12">
        <v>300969</v>
      </c>
      <c r="F12" t="s">
        <v>64</v>
      </c>
      <c r="G12">
        <v>0.0003825294</v>
      </c>
      <c r="H12" s="4">
        <v>45825</v>
      </c>
      <c r="I12" t="s">
        <v>50</v>
      </c>
      <c r="J12" s="4">
        <v>45628</v>
      </c>
      <c r="K12" s="4">
        <v>45698</v>
      </c>
      <c r="L12">
        <v>178</v>
      </c>
      <c r="M12">
        <v>108</v>
      </c>
      <c r="N12">
        <v>60.56</v>
      </c>
      <c r="O12">
        <v>63.14</v>
      </c>
      <c r="P12">
        <v>73.86</v>
      </c>
      <c r="Q12">
        <v>73.64</v>
      </c>
      <c r="R12">
        <v>62.02</v>
      </c>
      <c r="S12">
        <v>62.2</v>
      </c>
      <c r="T12" s="2">
        <f t="shared" si="0"/>
        <v>-11.44</v>
      </c>
      <c r="U12" s="3">
        <f t="shared" si="1"/>
        <v>-0.155350353068984</v>
      </c>
      <c r="V12">
        <v>58.7</v>
      </c>
      <c r="W12">
        <v>59.79</v>
      </c>
      <c r="X12" s="2">
        <f t="shared" si="2"/>
        <v>-13.85</v>
      </c>
      <c r="Y12" s="3">
        <f t="shared" si="3"/>
        <v>-0.188077131993482</v>
      </c>
      <c r="Z12" s="2">
        <f t="shared" si="4"/>
        <v>-2.41</v>
      </c>
      <c r="AA12" s="3">
        <f t="shared" si="5"/>
        <v>-0.0387459807073956</v>
      </c>
      <c r="AB12">
        <v>58.14</v>
      </c>
      <c r="AC12">
        <v>58.94</v>
      </c>
      <c r="AD12">
        <v>11.39</v>
      </c>
      <c r="AE12">
        <v>11.39</v>
      </c>
      <c r="AF12">
        <v>11.38</v>
      </c>
      <c r="AG12">
        <v>11.43</v>
      </c>
      <c r="AH12">
        <v>11.52</v>
      </c>
      <c r="AI12">
        <v>11.46</v>
      </c>
      <c r="AJ12" s="2">
        <f t="shared" si="6"/>
        <v>0.0300000000000011</v>
      </c>
      <c r="AK12" s="3">
        <f t="shared" si="7"/>
        <v>0.0026246719160106</v>
      </c>
      <c r="AL12">
        <v>11.79</v>
      </c>
      <c r="AM12">
        <v>11.76</v>
      </c>
      <c r="AN12" s="3">
        <f t="shared" si="8"/>
        <v>-0.190701803909492</v>
      </c>
    </row>
    <row r="13" spans="1:40">
      <c r="A13">
        <v>118055</v>
      </c>
      <c r="B13" t="s">
        <v>65</v>
      </c>
      <c r="C13" s="4">
        <v>45756</v>
      </c>
      <c r="D13">
        <v>718372</v>
      </c>
      <c r="E13">
        <v>688372</v>
      </c>
      <c r="F13" t="s">
        <v>66</v>
      </c>
      <c r="G13">
        <v>0.00471648</v>
      </c>
      <c r="H13" s="4">
        <v>45777</v>
      </c>
      <c r="I13" t="s">
        <v>40</v>
      </c>
      <c r="J13" s="4">
        <v>45636</v>
      </c>
      <c r="K13" s="4">
        <v>45694</v>
      </c>
      <c r="L13">
        <v>120</v>
      </c>
      <c r="M13">
        <v>62</v>
      </c>
      <c r="N13">
        <v>47.74</v>
      </c>
      <c r="O13">
        <v>46.88</v>
      </c>
      <c r="P13">
        <v>55.89</v>
      </c>
      <c r="Q13">
        <v>58.48</v>
      </c>
      <c r="R13">
        <v>56.51</v>
      </c>
      <c r="S13">
        <v>55.37</v>
      </c>
      <c r="T13" s="2">
        <f t="shared" si="0"/>
        <v>-3.11</v>
      </c>
      <c r="U13" s="3">
        <f t="shared" si="1"/>
        <v>-0.0531805745554036</v>
      </c>
      <c r="V13">
        <v>53.58</v>
      </c>
      <c r="W13">
        <v>56.22</v>
      </c>
      <c r="X13" s="2">
        <f t="shared" si="2"/>
        <v>-2.26</v>
      </c>
      <c r="Y13" s="3">
        <f t="shared" si="3"/>
        <v>-0.0386456908344733</v>
      </c>
      <c r="Z13" s="2">
        <f t="shared" si="4"/>
        <v>0.850000000000001</v>
      </c>
      <c r="AA13" s="3">
        <f t="shared" si="5"/>
        <v>0.0153512732526639</v>
      </c>
      <c r="AB13">
        <v>58.45</v>
      </c>
      <c r="AC13">
        <v>60.46</v>
      </c>
      <c r="AD13">
        <v>11.9</v>
      </c>
      <c r="AE13">
        <v>11.79</v>
      </c>
      <c r="AF13">
        <v>11.35</v>
      </c>
      <c r="AG13">
        <v>11.36</v>
      </c>
      <c r="AH13">
        <v>10.73</v>
      </c>
      <c r="AI13">
        <v>10.8</v>
      </c>
      <c r="AJ13" s="2">
        <f t="shared" si="6"/>
        <v>-0.559999999999999</v>
      </c>
      <c r="AK13" s="3">
        <f t="shared" si="7"/>
        <v>-0.0492957746478872</v>
      </c>
      <c r="AL13">
        <v>10.96</v>
      </c>
      <c r="AM13">
        <v>10.91</v>
      </c>
      <c r="AN13" s="3">
        <f t="shared" si="8"/>
        <v>0.0106500838134139</v>
      </c>
    </row>
    <row r="14" spans="1:40">
      <c r="A14">
        <v>113694</v>
      </c>
      <c r="B14" t="s">
        <v>67</v>
      </c>
      <c r="C14" s="4">
        <v>45755</v>
      </c>
      <c r="D14">
        <v>754628</v>
      </c>
      <c r="E14">
        <v>603628</v>
      </c>
      <c r="F14" t="s">
        <v>68</v>
      </c>
      <c r="G14">
        <v>0.00208787</v>
      </c>
      <c r="H14" s="4">
        <v>45772</v>
      </c>
      <c r="I14" t="s">
        <v>50</v>
      </c>
      <c r="J14" s="4">
        <v>45618</v>
      </c>
      <c r="K14" s="4">
        <v>45694</v>
      </c>
      <c r="L14">
        <v>137</v>
      </c>
      <c r="M14">
        <v>61</v>
      </c>
      <c r="N14">
        <v>14.28</v>
      </c>
      <c r="O14">
        <v>13.7</v>
      </c>
      <c r="P14">
        <v>12.28</v>
      </c>
      <c r="Q14">
        <v>12.55</v>
      </c>
      <c r="R14">
        <v>12.27</v>
      </c>
      <c r="S14">
        <v>11.49</v>
      </c>
      <c r="T14" s="2">
        <f t="shared" si="0"/>
        <v>-1.06</v>
      </c>
      <c r="U14" s="3">
        <f t="shared" si="1"/>
        <v>-0.0844621513944223</v>
      </c>
      <c r="V14">
        <v>10.73</v>
      </c>
      <c r="W14">
        <v>10.88</v>
      </c>
      <c r="X14" s="2">
        <f t="shared" si="2"/>
        <v>-1.67</v>
      </c>
      <c r="Y14" s="3">
        <f t="shared" si="3"/>
        <v>-0.133067729083665</v>
      </c>
      <c r="Z14" s="2">
        <f t="shared" si="4"/>
        <v>-0.609999999999999</v>
      </c>
      <c r="AA14" s="3">
        <f t="shared" si="5"/>
        <v>-0.0530896431679721</v>
      </c>
      <c r="AB14">
        <v>11.17</v>
      </c>
      <c r="AC14">
        <v>11.21</v>
      </c>
      <c r="AD14">
        <v>11.59</v>
      </c>
      <c r="AE14">
        <v>11.28</v>
      </c>
      <c r="AF14">
        <v>11.35</v>
      </c>
      <c r="AG14">
        <v>11.36</v>
      </c>
      <c r="AH14">
        <v>10.68</v>
      </c>
      <c r="AI14">
        <v>10.82</v>
      </c>
      <c r="AJ14" s="2">
        <f t="shared" si="6"/>
        <v>-0.539999999999999</v>
      </c>
      <c r="AK14" s="3">
        <f t="shared" si="7"/>
        <v>-0.0475352112676056</v>
      </c>
      <c r="AL14">
        <v>11.04</v>
      </c>
      <c r="AM14">
        <v>11.01</v>
      </c>
      <c r="AN14" s="3">
        <f t="shared" si="8"/>
        <v>-0.0855325178160597</v>
      </c>
    </row>
    <row r="15" spans="1:40">
      <c r="A15">
        <v>118054</v>
      </c>
      <c r="B15" t="s">
        <v>69</v>
      </c>
      <c r="C15" s="4">
        <v>45754</v>
      </c>
      <c r="D15">
        <v>718019</v>
      </c>
      <c r="E15">
        <v>688019</v>
      </c>
      <c r="F15" t="s">
        <v>70</v>
      </c>
      <c r="G15">
        <v>0.00398045</v>
      </c>
      <c r="H15" s="4">
        <v>45772</v>
      </c>
      <c r="I15" t="s">
        <v>55</v>
      </c>
      <c r="J15" s="4">
        <v>45548</v>
      </c>
      <c r="K15" s="4">
        <v>45618</v>
      </c>
      <c r="L15">
        <v>206</v>
      </c>
      <c r="M15">
        <v>136</v>
      </c>
      <c r="N15">
        <v>82.39</v>
      </c>
      <c r="O15">
        <v>79.52</v>
      </c>
      <c r="P15">
        <v>120.45</v>
      </c>
      <c r="Q15">
        <v>114.51</v>
      </c>
      <c r="R15">
        <v>125.08</v>
      </c>
      <c r="S15">
        <v>123.91</v>
      </c>
      <c r="T15" s="2">
        <f t="shared" si="0"/>
        <v>9.39999999999999</v>
      </c>
      <c r="U15" s="3">
        <f t="shared" si="1"/>
        <v>0.0820889005327045</v>
      </c>
      <c r="V15">
        <v>112.07</v>
      </c>
      <c r="W15">
        <v>116.6</v>
      </c>
      <c r="X15" s="2">
        <f t="shared" si="2"/>
        <v>2.08999999999999</v>
      </c>
      <c r="Y15" s="3">
        <f t="shared" si="3"/>
        <v>0.0182516810758885</v>
      </c>
      <c r="Z15" s="2">
        <f t="shared" si="4"/>
        <v>-7.31</v>
      </c>
      <c r="AA15" s="3">
        <f t="shared" si="5"/>
        <v>-0.0589944314421758</v>
      </c>
      <c r="AB15">
        <v>131.07</v>
      </c>
      <c r="AC15">
        <v>127.77</v>
      </c>
      <c r="AD15">
        <v>9.73</v>
      </c>
      <c r="AE15">
        <v>9.7</v>
      </c>
      <c r="AF15">
        <v>11.59</v>
      </c>
      <c r="AG15">
        <v>11.28</v>
      </c>
      <c r="AH15">
        <v>11</v>
      </c>
      <c r="AI15">
        <v>10.7</v>
      </c>
      <c r="AJ15" s="2">
        <f t="shared" si="6"/>
        <v>-0.58</v>
      </c>
      <c r="AK15" s="3">
        <f t="shared" si="7"/>
        <v>-0.0514184397163121</v>
      </c>
      <c r="AL15">
        <v>11.04</v>
      </c>
      <c r="AM15">
        <v>11.01</v>
      </c>
      <c r="AN15" s="3">
        <f t="shared" si="8"/>
        <v>0.0696701207922005</v>
      </c>
    </row>
    <row r="16" spans="1:40">
      <c r="A16">
        <v>123255</v>
      </c>
      <c r="B16" t="s">
        <v>71</v>
      </c>
      <c r="C16" s="4">
        <v>45749</v>
      </c>
      <c r="D16">
        <v>370054</v>
      </c>
      <c r="E16">
        <v>300054</v>
      </c>
      <c r="F16" t="s">
        <v>72</v>
      </c>
      <c r="G16">
        <v>0.0032754809</v>
      </c>
      <c r="H16" s="4">
        <v>45770</v>
      </c>
      <c r="I16" t="s">
        <v>40</v>
      </c>
      <c r="J16" s="4">
        <v>45681</v>
      </c>
      <c r="K16" s="4">
        <v>45735</v>
      </c>
      <c r="L16">
        <v>68</v>
      </c>
      <c r="M16">
        <v>14</v>
      </c>
      <c r="N16">
        <v>26.55</v>
      </c>
      <c r="O16">
        <v>26.34</v>
      </c>
      <c r="P16">
        <v>28.4</v>
      </c>
      <c r="Q16">
        <v>28.03</v>
      </c>
      <c r="R16">
        <v>28.49</v>
      </c>
      <c r="S16">
        <v>28.97</v>
      </c>
      <c r="T16" s="2">
        <f t="shared" si="0"/>
        <v>0.939999999999998</v>
      </c>
      <c r="U16" s="3">
        <f t="shared" si="1"/>
        <v>0.0335354976810559</v>
      </c>
      <c r="V16">
        <v>28.69</v>
      </c>
      <c r="W16">
        <v>28.36</v>
      </c>
      <c r="X16" s="2">
        <f t="shared" si="2"/>
        <v>0.329999999999998</v>
      </c>
      <c r="Y16" s="3">
        <f t="shared" si="3"/>
        <v>0.0117731002497324</v>
      </c>
      <c r="Z16" s="2">
        <f t="shared" si="4"/>
        <v>-0.609999999999999</v>
      </c>
      <c r="AA16" s="3">
        <f t="shared" si="5"/>
        <v>-0.0210562651018295</v>
      </c>
      <c r="AB16">
        <v>30.31</v>
      </c>
      <c r="AC16">
        <v>30.17</v>
      </c>
      <c r="AD16">
        <v>11.32</v>
      </c>
      <c r="AE16">
        <v>11.34</v>
      </c>
      <c r="AF16">
        <v>11.48</v>
      </c>
      <c r="AG16">
        <v>11.52</v>
      </c>
      <c r="AH16">
        <v>11.25</v>
      </c>
      <c r="AI16">
        <v>11.37</v>
      </c>
      <c r="AJ16" s="2">
        <f t="shared" si="6"/>
        <v>-0.15</v>
      </c>
      <c r="AK16" s="3">
        <f t="shared" si="7"/>
        <v>-0.0130208333333334</v>
      </c>
      <c r="AL16">
        <v>11.04</v>
      </c>
      <c r="AM16">
        <v>11.01</v>
      </c>
      <c r="AN16" s="3">
        <f t="shared" si="8"/>
        <v>0.0247939335830657</v>
      </c>
    </row>
    <row r="17" spans="1:40">
      <c r="A17">
        <v>127108</v>
      </c>
      <c r="B17" t="s">
        <v>73</v>
      </c>
      <c r="C17" s="4">
        <v>45744</v>
      </c>
      <c r="D17">
        <v>70591</v>
      </c>
      <c r="E17">
        <v>591</v>
      </c>
      <c r="F17" t="s">
        <v>74</v>
      </c>
      <c r="G17">
        <v>0.0135084085</v>
      </c>
      <c r="H17" s="4">
        <v>45763</v>
      </c>
      <c r="I17" t="s">
        <v>58</v>
      </c>
      <c r="J17" s="4">
        <v>45635</v>
      </c>
      <c r="K17" s="4">
        <v>45674</v>
      </c>
      <c r="L17">
        <v>109</v>
      </c>
      <c r="M17">
        <v>70</v>
      </c>
      <c r="N17">
        <v>5.05</v>
      </c>
      <c r="O17">
        <v>5.02</v>
      </c>
      <c r="P17">
        <v>4.4</v>
      </c>
      <c r="Q17">
        <v>4.4</v>
      </c>
      <c r="R17">
        <v>4.57</v>
      </c>
      <c r="S17">
        <v>4.5</v>
      </c>
      <c r="T17" s="2">
        <f t="shared" si="0"/>
        <v>0.0999999999999996</v>
      </c>
      <c r="U17" s="3">
        <f t="shared" si="1"/>
        <v>0.0227272727272726</v>
      </c>
      <c r="V17">
        <v>4.45</v>
      </c>
      <c r="W17">
        <v>4.4</v>
      </c>
      <c r="X17" s="2">
        <f t="shared" si="2"/>
        <v>0</v>
      </c>
      <c r="Y17" s="3">
        <f t="shared" si="3"/>
        <v>0</v>
      </c>
      <c r="Z17" s="2">
        <f t="shared" si="4"/>
        <v>-0.0999999999999996</v>
      </c>
      <c r="AA17" s="3">
        <f t="shared" si="5"/>
        <v>-0.0222222222222221</v>
      </c>
      <c r="AB17">
        <v>4.27</v>
      </c>
      <c r="AC17">
        <v>4.28</v>
      </c>
      <c r="AD17">
        <v>11.63</v>
      </c>
      <c r="AE17">
        <v>11.67</v>
      </c>
      <c r="AF17">
        <v>11.53</v>
      </c>
      <c r="AG17">
        <v>11.45</v>
      </c>
      <c r="AH17">
        <v>11.39</v>
      </c>
      <c r="AI17">
        <v>11.35</v>
      </c>
      <c r="AJ17" s="2">
        <f t="shared" si="6"/>
        <v>-0.0999999999999996</v>
      </c>
      <c r="AK17" s="3">
        <f t="shared" si="7"/>
        <v>-0.00873362445414844</v>
      </c>
      <c r="AL17">
        <v>10.93</v>
      </c>
      <c r="AM17">
        <v>11</v>
      </c>
      <c r="AN17" s="3">
        <f t="shared" si="8"/>
        <v>0.00873362445414844</v>
      </c>
    </row>
    <row r="18" spans="1:40">
      <c r="A18">
        <v>123254</v>
      </c>
      <c r="B18" t="s">
        <v>75</v>
      </c>
      <c r="C18" s="4">
        <v>45740</v>
      </c>
      <c r="D18">
        <v>370014</v>
      </c>
      <c r="E18">
        <v>300014</v>
      </c>
      <c r="F18" t="s">
        <v>76</v>
      </c>
      <c r="G18">
        <v>0.0396868603</v>
      </c>
      <c r="H18" s="4">
        <v>45758</v>
      </c>
      <c r="I18" t="s">
        <v>58</v>
      </c>
      <c r="J18" s="4">
        <v>45604</v>
      </c>
      <c r="K18" s="4">
        <v>45653</v>
      </c>
      <c r="L18">
        <v>136</v>
      </c>
      <c r="M18">
        <v>87</v>
      </c>
      <c r="N18">
        <v>52.09</v>
      </c>
      <c r="O18">
        <v>50.97</v>
      </c>
      <c r="P18">
        <v>47.35</v>
      </c>
      <c r="Q18">
        <v>46.53</v>
      </c>
      <c r="R18">
        <v>51.08</v>
      </c>
      <c r="S18">
        <v>50.46</v>
      </c>
      <c r="T18" s="2">
        <f t="shared" si="0"/>
        <v>3.93</v>
      </c>
      <c r="U18" s="3">
        <f t="shared" si="1"/>
        <v>0.084461637653127</v>
      </c>
      <c r="V18">
        <v>49.8</v>
      </c>
      <c r="W18">
        <v>48.17</v>
      </c>
      <c r="X18" s="2">
        <f t="shared" si="2"/>
        <v>1.64</v>
      </c>
      <c r="Y18" s="3">
        <f t="shared" si="3"/>
        <v>0.0352460777992693</v>
      </c>
      <c r="Z18" s="2">
        <f t="shared" si="4"/>
        <v>-2.29</v>
      </c>
      <c r="AA18" s="3">
        <f t="shared" si="5"/>
        <v>-0.0453824811732065</v>
      </c>
      <c r="AB18">
        <v>39.5</v>
      </c>
      <c r="AC18">
        <v>40.86</v>
      </c>
      <c r="AD18">
        <v>11.94</v>
      </c>
      <c r="AE18">
        <v>11.72</v>
      </c>
      <c r="AF18">
        <v>11.87</v>
      </c>
      <c r="AG18">
        <v>11.83</v>
      </c>
      <c r="AH18">
        <v>11.41</v>
      </c>
      <c r="AI18">
        <v>11.38</v>
      </c>
      <c r="AJ18" s="2">
        <f t="shared" si="6"/>
        <v>-0.449999999999999</v>
      </c>
      <c r="AK18" s="3">
        <f t="shared" si="7"/>
        <v>-0.0380388841927303</v>
      </c>
      <c r="AL18">
        <v>10.87</v>
      </c>
      <c r="AM18">
        <v>10.89</v>
      </c>
      <c r="AN18" s="3">
        <f t="shared" si="8"/>
        <v>0.0732849619919996</v>
      </c>
    </row>
    <row r="19" spans="1:40">
      <c r="A19">
        <v>113693</v>
      </c>
      <c r="B19" t="s">
        <v>77</v>
      </c>
      <c r="C19" s="4">
        <v>45734</v>
      </c>
      <c r="D19">
        <v>754801</v>
      </c>
      <c r="E19">
        <v>603801</v>
      </c>
      <c r="F19" t="s">
        <v>78</v>
      </c>
      <c r="G19">
        <v>0.00171145</v>
      </c>
      <c r="H19" s="4">
        <v>45755</v>
      </c>
      <c r="I19" t="s">
        <v>40</v>
      </c>
      <c r="J19" s="4">
        <v>45652</v>
      </c>
      <c r="K19" s="4">
        <v>45706</v>
      </c>
      <c r="L19">
        <v>82</v>
      </c>
      <c r="M19">
        <v>28</v>
      </c>
      <c r="N19">
        <v>12.44</v>
      </c>
      <c r="O19">
        <v>12.48</v>
      </c>
      <c r="P19">
        <v>11.42</v>
      </c>
      <c r="Q19">
        <v>11.15</v>
      </c>
      <c r="R19">
        <v>12.06</v>
      </c>
      <c r="S19">
        <v>12.47</v>
      </c>
      <c r="T19" s="2">
        <f t="shared" si="0"/>
        <v>1.32</v>
      </c>
      <c r="U19" s="3">
        <f t="shared" si="1"/>
        <v>0.118385650224215</v>
      </c>
      <c r="V19">
        <v>11.98</v>
      </c>
      <c r="W19">
        <v>12.41</v>
      </c>
      <c r="X19" s="2">
        <f t="shared" si="2"/>
        <v>1.26</v>
      </c>
      <c r="Y19" s="3">
        <f t="shared" si="3"/>
        <v>0.113004484304933</v>
      </c>
      <c r="Z19" s="2">
        <f t="shared" si="4"/>
        <v>-0.0600000000000005</v>
      </c>
      <c r="AA19" s="3">
        <f t="shared" si="5"/>
        <v>-0.00481154771451488</v>
      </c>
      <c r="AB19">
        <v>9.75</v>
      </c>
      <c r="AC19">
        <v>10.39</v>
      </c>
      <c r="AD19">
        <v>11.92</v>
      </c>
      <c r="AE19">
        <v>11.86</v>
      </c>
      <c r="AF19">
        <v>11.76</v>
      </c>
      <c r="AG19">
        <v>11.81</v>
      </c>
      <c r="AH19">
        <v>11.52</v>
      </c>
      <c r="AI19">
        <v>11.49</v>
      </c>
      <c r="AJ19" s="2">
        <f t="shared" si="6"/>
        <v>-0.32</v>
      </c>
      <c r="AK19" s="3">
        <f t="shared" si="7"/>
        <v>-0.0270956816257409</v>
      </c>
      <c r="AL19">
        <v>10.68</v>
      </c>
      <c r="AM19">
        <v>10.82</v>
      </c>
      <c r="AN19" s="3">
        <f t="shared" si="8"/>
        <v>0.140100165930674</v>
      </c>
    </row>
    <row r="20" spans="1:40">
      <c r="A20">
        <v>118053</v>
      </c>
      <c r="B20" t="s">
        <v>79</v>
      </c>
      <c r="C20" s="4">
        <v>45734</v>
      </c>
      <c r="D20">
        <v>718596</v>
      </c>
      <c r="E20">
        <v>688596</v>
      </c>
      <c r="F20" t="s">
        <v>80</v>
      </c>
      <c r="G20">
        <v>0.00392766</v>
      </c>
      <c r="H20" s="4">
        <v>45750</v>
      </c>
      <c r="I20" t="s">
        <v>40</v>
      </c>
      <c r="J20" s="4">
        <v>45668</v>
      </c>
      <c r="K20" s="5">
        <v>45723</v>
      </c>
      <c r="L20">
        <v>66</v>
      </c>
      <c r="M20">
        <v>11</v>
      </c>
      <c r="N20">
        <v>33.25</v>
      </c>
      <c r="O20">
        <v>33.83</v>
      </c>
      <c r="P20">
        <v>39.86</v>
      </c>
      <c r="Q20">
        <v>39.54</v>
      </c>
      <c r="R20">
        <v>38.84</v>
      </c>
      <c r="S20">
        <v>38.6</v>
      </c>
      <c r="T20" s="2">
        <f t="shared" si="0"/>
        <v>-0.939999999999998</v>
      </c>
      <c r="U20" s="3">
        <f t="shared" si="1"/>
        <v>-0.0237733940313606</v>
      </c>
      <c r="V20">
        <v>38.04</v>
      </c>
      <c r="W20">
        <v>38.13</v>
      </c>
      <c r="X20" s="2">
        <f t="shared" si="2"/>
        <v>-1.41</v>
      </c>
      <c r="Y20" s="3">
        <f t="shared" si="3"/>
        <v>-0.0356600910470409</v>
      </c>
      <c r="Z20" s="2">
        <f t="shared" si="4"/>
        <v>-0.469999999999999</v>
      </c>
      <c r="AA20" s="3">
        <f t="shared" si="5"/>
        <v>-0.0121761658031088</v>
      </c>
      <c r="AB20">
        <v>39.25</v>
      </c>
      <c r="AC20">
        <v>38.63</v>
      </c>
      <c r="AD20">
        <v>11.25</v>
      </c>
      <c r="AE20">
        <v>11.2</v>
      </c>
      <c r="AF20">
        <v>11.63</v>
      </c>
      <c r="AG20">
        <v>11.67</v>
      </c>
      <c r="AH20">
        <v>11.52</v>
      </c>
      <c r="AI20">
        <v>11.49</v>
      </c>
      <c r="AJ20" s="2">
        <f t="shared" si="6"/>
        <v>-0.18</v>
      </c>
      <c r="AK20" s="3">
        <f t="shared" si="7"/>
        <v>-0.0154241645244216</v>
      </c>
      <c r="AL20">
        <v>11.31</v>
      </c>
      <c r="AM20">
        <v>11.34</v>
      </c>
      <c r="AN20" s="3">
        <f t="shared" si="8"/>
        <v>-0.0202359265226193</v>
      </c>
    </row>
    <row r="21" spans="1:40">
      <c r="A21">
        <v>118052</v>
      </c>
      <c r="B21" t="s">
        <v>81</v>
      </c>
      <c r="C21" s="4">
        <v>45729</v>
      </c>
      <c r="D21">
        <v>718292</v>
      </c>
      <c r="E21">
        <v>688292</v>
      </c>
      <c r="F21" t="s">
        <v>82</v>
      </c>
      <c r="G21">
        <v>0.0012572</v>
      </c>
      <c r="H21" s="4">
        <v>45754</v>
      </c>
      <c r="I21" t="s">
        <v>50</v>
      </c>
      <c r="J21" s="4">
        <v>45609</v>
      </c>
      <c r="K21" s="4">
        <v>45681</v>
      </c>
      <c r="L21">
        <v>120</v>
      </c>
      <c r="M21">
        <v>48</v>
      </c>
      <c r="N21">
        <v>24.68</v>
      </c>
      <c r="O21">
        <v>24.88</v>
      </c>
      <c r="P21">
        <v>19.19</v>
      </c>
      <c r="Q21">
        <v>20.41</v>
      </c>
      <c r="R21">
        <v>24.39</v>
      </c>
      <c r="S21">
        <v>24.38</v>
      </c>
      <c r="T21" s="2">
        <f t="shared" si="0"/>
        <v>3.97</v>
      </c>
      <c r="U21" s="3">
        <f t="shared" si="1"/>
        <v>0.194512493875551</v>
      </c>
      <c r="V21">
        <v>23.55</v>
      </c>
      <c r="W21">
        <v>23.68</v>
      </c>
      <c r="X21" s="2">
        <f t="shared" si="2"/>
        <v>3.27</v>
      </c>
      <c r="Y21" s="3">
        <f t="shared" si="3"/>
        <v>0.160215580597746</v>
      </c>
      <c r="Z21" s="2">
        <f t="shared" si="4"/>
        <v>-0.699999999999999</v>
      </c>
      <c r="AA21" s="3">
        <f t="shared" si="5"/>
        <v>-0.0287120590648072</v>
      </c>
      <c r="AB21">
        <v>20.58</v>
      </c>
      <c r="AC21">
        <v>17.77</v>
      </c>
      <c r="AD21">
        <v>11.5</v>
      </c>
      <c r="AE21">
        <v>11.61</v>
      </c>
      <c r="AF21">
        <v>11.32</v>
      </c>
      <c r="AG21">
        <v>11.34</v>
      </c>
      <c r="AH21">
        <v>11.81</v>
      </c>
      <c r="AI21">
        <v>11.84</v>
      </c>
      <c r="AJ21" s="2">
        <f t="shared" si="6"/>
        <v>0.5</v>
      </c>
      <c r="AK21" s="3">
        <f t="shared" si="7"/>
        <v>0.0440917107583774</v>
      </c>
      <c r="AL21">
        <v>11</v>
      </c>
      <c r="AM21">
        <v>10.7</v>
      </c>
      <c r="AN21" s="3">
        <f t="shared" si="8"/>
        <v>0.116123869839369</v>
      </c>
    </row>
    <row r="22" spans="1:40">
      <c r="A22">
        <v>123253</v>
      </c>
      <c r="B22" t="s">
        <v>83</v>
      </c>
      <c r="C22" s="4">
        <v>45729</v>
      </c>
      <c r="D22">
        <v>370351</v>
      </c>
      <c r="E22">
        <v>300351</v>
      </c>
      <c r="F22" t="s">
        <v>84</v>
      </c>
      <c r="G22">
        <v>0.0031973118</v>
      </c>
      <c r="H22" s="4">
        <v>45744</v>
      </c>
      <c r="I22" t="s">
        <v>55</v>
      </c>
      <c r="J22" s="4">
        <v>45632</v>
      </c>
      <c r="K22" s="4">
        <v>45700</v>
      </c>
      <c r="L22">
        <v>97</v>
      </c>
      <c r="M22">
        <v>29</v>
      </c>
      <c r="N22">
        <v>19.13</v>
      </c>
      <c r="O22">
        <v>18.87</v>
      </c>
      <c r="P22">
        <v>17.65</v>
      </c>
      <c r="Q22">
        <v>18.11</v>
      </c>
      <c r="R22">
        <v>20.44</v>
      </c>
      <c r="S22">
        <v>18.91</v>
      </c>
      <c r="T22" s="2">
        <f t="shared" si="0"/>
        <v>0.800000000000001</v>
      </c>
      <c r="U22" s="3">
        <f t="shared" si="1"/>
        <v>0.0441744892324683</v>
      </c>
      <c r="V22">
        <v>18.62</v>
      </c>
      <c r="W22">
        <v>18.23</v>
      </c>
      <c r="X22" s="2">
        <f t="shared" si="2"/>
        <v>0.120000000000001</v>
      </c>
      <c r="Y22" s="3">
        <f t="shared" si="3"/>
        <v>0.00662617338487029</v>
      </c>
      <c r="Z22" s="2">
        <f t="shared" si="4"/>
        <v>-0.68</v>
      </c>
      <c r="AA22" s="3">
        <f t="shared" si="5"/>
        <v>-0.0359598096245373</v>
      </c>
      <c r="AB22">
        <v>18.15</v>
      </c>
      <c r="AC22">
        <v>17.63</v>
      </c>
      <c r="AD22">
        <v>11.44</v>
      </c>
      <c r="AE22">
        <v>11.66</v>
      </c>
      <c r="AF22">
        <v>11.41</v>
      </c>
      <c r="AG22">
        <v>11.42</v>
      </c>
      <c r="AH22">
        <v>11.81</v>
      </c>
      <c r="AI22">
        <v>11.84</v>
      </c>
      <c r="AJ22" s="2">
        <f t="shared" si="6"/>
        <v>0.42</v>
      </c>
      <c r="AK22" s="3">
        <f t="shared" si="7"/>
        <v>0.0367775831873905</v>
      </c>
      <c r="AL22">
        <v>11.39</v>
      </c>
      <c r="AM22">
        <v>11.35</v>
      </c>
      <c r="AN22" s="3">
        <f t="shared" si="8"/>
        <v>-0.0301514098025202</v>
      </c>
    </row>
    <row r="23" spans="1:40">
      <c r="A23">
        <v>113070</v>
      </c>
      <c r="B23" t="s">
        <v>85</v>
      </c>
      <c r="C23" s="4">
        <v>45666</v>
      </c>
      <c r="D23">
        <v>783158</v>
      </c>
      <c r="E23">
        <v>601158</v>
      </c>
      <c r="F23" t="s">
        <v>86</v>
      </c>
      <c r="G23">
        <v>0.01357232</v>
      </c>
      <c r="H23" s="4">
        <v>45701</v>
      </c>
      <c r="I23" t="s">
        <v>43</v>
      </c>
      <c r="J23" s="4">
        <v>45465</v>
      </c>
      <c r="K23" s="4">
        <v>45561</v>
      </c>
      <c r="L23">
        <v>201</v>
      </c>
      <c r="M23">
        <v>105</v>
      </c>
      <c r="N23">
        <v>4.69</v>
      </c>
      <c r="O23">
        <v>4.64</v>
      </c>
      <c r="P23">
        <v>4.33</v>
      </c>
      <c r="Q23">
        <v>4.44</v>
      </c>
      <c r="R23">
        <v>4.63</v>
      </c>
      <c r="S23">
        <v>4.68</v>
      </c>
      <c r="T23" s="2">
        <f t="shared" si="0"/>
        <v>0.239999999999999</v>
      </c>
      <c r="U23" s="3">
        <f t="shared" si="1"/>
        <v>0.0540540540540539</v>
      </c>
      <c r="V23">
        <v>4.58</v>
      </c>
      <c r="W23">
        <v>4.52</v>
      </c>
      <c r="X23" s="2">
        <f t="shared" si="2"/>
        <v>0.0799999999999992</v>
      </c>
      <c r="Y23" s="3">
        <f t="shared" si="3"/>
        <v>0.0180180180180178</v>
      </c>
      <c r="Z23" s="2">
        <f t="shared" si="4"/>
        <v>-0.16</v>
      </c>
      <c r="AA23" s="3">
        <f t="shared" si="5"/>
        <v>-0.0341880341880342</v>
      </c>
      <c r="AB23">
        <v>4.58</v>
      </c>
      <c r="AC23">
        <v>4.57</v>
      </c>
      <c r="AD23">
        <v>9.97</v>
      </c>
      <c r="AE23">
        <v>9.98</v>
      </c>
      <c r="AF23">
        <v>10.5</v>
      </c>
      <c r="AG23">
        <v>11.15</v>
      </c>
      <c r="AH23">
        <v>11.5</v>
      </c>
      <c r="AI23">
        <v>11.4</v>
      </c>
      <c r="AJ23" s="2">
        <f t="shared" si="6"/>
        <v>0.25</v>
      </c>
      <c r="AK23" s="3">
        <f t="shared" si="7"/>
        <v>0.0224215246636771</v>
      </c>
      <c r="AL23">
        <v>11.42</v>
      </c>
      <c r="AM23">
        <v>11.5</v>
      </c>
      <c r="AN23" s="3">
        <f t="shared" si="8"/>
        <v>-0.00440350664565929</v>
      </c>
    </row>
    <row r="24" spans="1:40">
      <c r="A24">
        <v>123252</v>
      </c>
      <c r="B24" t="s">
        <v>87</v>
      </c>
      <c r="C24" s="4">
        <v>45664</v>
      </c>
      <c r="D24">
        <v>370337</v>
      </c>
      <c r="E24">
        <v>300337</v>
      </c>
      <c r="F24" t="s">
        <v>88</v>
      </c>
      <c r="G24">
        <v>0.0051516331</v>
      </c>
      <c r="H24" s="4">
        <v>45681</v>
      </c>
      <c r="I24" t="s">
        <v>55</v>
      </c>
      <c r="J24" s="4">
        <v>45590</v>
      </c>
      <c r="K24" s="4">
        <v>45629</v>
      </c>
      <c r="L24">
        <v>74</v>
      </c>
      <c r="M24">
        <v>35</v>
      </c>
      <c r="N24">
        <v>16.04</v>
      </c>
      <c r="O24">
        <v>16.65</v>
      </c>
      <c r="P24">
        <v>13.4</v>
      </c>
      <c r="Q24">
        <v>13.3</v>
      </c>
      <c r="R24">
        <v>10.39</v>
      </c>
      <c r="S24">
        <v>10.46</v>
      </c>
      <c r="T24" s="2">
        <f t="shared" si="0"/>
        <v>-2.84</v>
      </c>
      <c r="U24" s="3">
        <f t="shared" si="1"/>
        <v>-0.213533834586466</v>
      </c>
      <c r="V24">
        <v>10.36</v>
      </c>
      <c r="W24">
        <v>10.64</v>
      </c>
      <c r="X24" s="2">
        <f t="shared" si="2"/>
        <v>-2.66</v>
      </c>
      <c r="Y24" s="3">
        <f t="shared" si="3"/>
        <v>-0.2</v>
      </c>
      <c r="Z24" s="2">
        <f t="shared" si="4"/>
        <v>0.18</v>
      </c>
      <c r="AA24" s="3">
        <f t="shared" si="5"/>
        <v>0.017208413001912</v>
      </c>
      <c r="AB24">
        <v>11.32</v>
      </c>
      <c r="AC24">
        <v>11.48</v>
      </c>
      <c r="AD24">
        <v>11.77</v>
      </c>
      <c r="AE24">
        <v>11.71</v>
      </c>
      <c r="AF24">
        <v>11.37</v>
      </c>
      <c r="AG24">
        <v>11.49</v>
      </c>
      <c r="AH24">
        <v>11.42</v>
      </c>
      <c r="AI24">
        <v>11.51</v>
      </c>
      <c r="AJ24" s="2">
        <f t="shared" si="6"/>
        <v>0.0199999999999996</v>
      </c>
      <c r="AK24" s="3">
        <f t="shared" si="7"/>
        <v>0.00174064403829413</v>
      </c>
      <c r="AL24">
        <v>11.32</v>
      </c>
      <c r="AM24">
        <v>11.34</v>
      </c>
      <c r="AN24" s="3">
        <f t="shared" si="8"/>
        <v>-0.201740644038294</v>
      </c>
    </row>
    <row r="25" spans="1:40">
      <c r="A25">
        <v>110098</v>
      </c>
      <c r="B25" t="s">
        <v>89</v>
      </c>
      <c r="C25" s="4">
        <v>45651</v>
      </c>
      <c r="D25">
        <v>733713</v>
      </c>
      <c r="E25">
        <v>600713</v>
      </c>
      <c r="F25" t="s">
        <v>90</v>
      </c>
      <c r="G25">
        <v>0.00494045</v>
      </c>
      <c r="H25" s="4">
        <v>45677</v>
      </c>
      <c r="I25" t="s">
        <v>58</v>
      </c>
      <c r="J25" s="4">
        <v>45582</v>
      </c>
      <c r="K25" s="4">
        <v>45631</v>
      </c>
      <c r="L25">
        <v>69</v>
      </c>
      <c r="M25">
        <v>20</v>
      </c>
      <c r="N25">
        <v>4.56</v>
      </c>
      <c r="O25">
        <v>4.48</v>
      </c>
      <c r="P25">
        <v>4.99</v>
      </c>
      <c r="Q25">
        <v>5</v>
      </c>
      <c r="R25">
        <v>4.96</v>
      </c>
      <c r="S25">
        <v>5.02</v>
      </c>
      <c r="T25" s="2">
        <f t="shared" si="0"/>
        <v>0.0199999999999996</v>
      </c>
      <c r="U25" s="3">
        <f t="shared" si="1"/>
        <v>0.00399999999999992</v>
      </c>
      <c r="V25">
        <v>4.9</v>
      </c>
      <c r="W25">
        <v>4.87</v>
      </c>
      <c r="X25" s="2">
        <f t="shared" si="2"/>
        <v>-0.13</v>
      </c>
      <c r="Y25" s="3">
        <f t="shared" si="3"/>
        <v>-0.026</v>
      </c>
      <c r="Z25" s="2">
        <f t="shared" si="4"/>
        <v>-0.149999999999999</v>
      </c>
      <c r="AA25" s="3">
        <f t="shared" si="5"/>
        <v>-0.0298804780876493</v>
      </c>
      <c r="AB25">
        <v>4.66</v>
      </c>
      <c r="AC25">
        <v>4.66</v>
      </c>
      <c r="AD25">
        <v>12.07</v>
      </c>
      <c r="AE25">
        <v>11.95</v>
      </c>
      <c r="AF25">
        <v>11.44</v>
      </c>
      <c r="AG25">
        <v>11.44</v>
      </c>
      <c r="AH25">
        <v>11.86</v>
      </c>
      <c r="AI25">
        <v>11.92</v>
      </c>
      <c r="AJ25" s="2">
        <f t="shared" si="6"/>
        <v>0.48</v>
      </c>
      <c r="AK25" s="3">
        <f t="shared" si="7"/>
        <v>0.041958041958042</v>
      </c>
      <c r="AL25">
        <v>11.5</v>
      </c>
      <c r="AM25">
        <v>11.42</v>
      </c>
      <c r="AN25" s="3">
        <f t="shared" si="8"/>
        <v>-0.067958041958042</v>
      </c>
    </row>
    <row r="26" spans="1:40">
      <c r="A26">
        <v>123251</v>
      </c>
      <c r="B26" t="s">
        <v>91</v>
      </c>
      <c r="C26" s="4">
        <v>45649</v>
      </c>
      <c r="D26">
        <v>371235</v>
      </c>
      <c r="E26">
        <v>301235</v>
      </c>
      <c r="F26" t="s">
        <v>92</v>
      </c>
      <c r="G26">
        <v>0.0027141027</v>
      </c>
      <c r="H26" s="4">
        <v>45666</v>
      </c>
      <c r="I26" t="s">
        <v>50</v>
      </c>
      <c r="J26" s="4">
        <v>45268</v>
      </c>
      <c r="K26" s="5">
        <v>45329</v>
      </c>
      <c r="L26">
        <v>381</v>
      </c>
      <c r="M26">
        <v>320</v>
      </c>
      <c r="N26">
        <v>25.41</v>
      </c>
      <c r="O26">
        <v>25.12</v>
      </c>
      <c r="P26">
        <v>16.14</v>
      </c>
      <c r="Q26">
        <v>14.77</v>
      </c>
      <c r="R26">
        <v>21.6</v>
      </c>
      <c r="S26">
        <v>21.63</v>
      </c>
      <c r="T26" s="2">
        <f t="shared" si="0"/>
        <v>6.86</v>
      </c>
      <c r="U26" s="3">
        <f t="shared" si="1"/>
        <v>0.464454976303318</v>
      </c>
      <c r="V26">
        <v>20.28</v>
      </c>
      <c r="W26">
        <v>20.07</v>
      </c>
      <c r="X26" s="2">
        <f t="shared" si="2"/>
        <v>5.3</v>
      </c>
      <c r="Y26" s="3">
        <f t="shared" si="3"/>
        <v>0.35883547731889</v>
      </c>
      <c r="Z26" s="2">
        <f t="shared" si="4"/>
        <v>-1.56</v>
      </c>
      <c r="AA26" s="3">
        <f t="shared" si="5"/>
        <v>-0.0721220527045769</v>
      </c>
      <c r="AB26">
        <v>18.23</v>
      </c>
      <c r="AC26">
        <v>18.49</v>
      </c>
      <c r="AD26">
        <v>9.41</v>
      </c>
      <c r="AE26">
        <v>9.3</v>
      </c>
      <c r="AF26">
        <v>9.62</v>
      </c>
      <c r="AG26">
        <v>9.61</v>
      </c>
      <c r="AH26">
        <v>11.64</v>
      </c>
      <c r="AI26">
        <v>11.73</v>
      </c>
      <c r="AJ26" s="2">
        <f t="shared" si="6"/>
        <v>2.12</v>
      </c>
      <c r="AK26" s="3">
        <f t="shared" si="7"/>
        <v>0.22060353798127</v>
      </c>
      <c r="AL26">
        <v>11.5</v>
      </c>
      <c r="AM26">
        <v>11.4</v>
      </c>
      <c r="AN26" s="3">
        <f t="shared" si="8"/>
        <v>0.13823193933762</v>
      </c>
    </row>
    <row r="27" spans="1:40">
      <c r="A27">
        <v>118051</v>
      </c>
      <c r="B27" t="s">
        <v>93</v>
      </c>
      <c r="C27" s="4">
        <v>45624</v>
      </c>
      <c r="D27">
        <v>718131</v>
      </c>
      <c r="E27">
        <v>688131</v>
      </c>
      <c r="F27" t="s">
        <v>94</v>
      </c>
      <c r="G27">
        <v>0.00341</v>
      </c>
      <c r="H27" s="4">
        <v>45645</v>
      </c>
      <c r="I27" t="s">
        <v>55</v>
      </c>
      <c r="J27" s="4">
        <v>45518</v>
      </c>
      <c r="K27" s="5">
        <v>45559</v>
      </c>
      <c r="L27">
        <v>106</v>
      </c>
      <c r="M27">
        <v>65</v>
      </c>
      <c r="N27">
        <v>21.51</v>
      </c>
      <c r="O27">
        <v>20.72</v>
      </c>
      <c r="P27">
        <v>23.81</v>
      </c>
      <c r="Q27">
        <v>24.57</v>
      </c>
      <c r="R27">
        <v>37.8</v>
      </c>
      <c r="S27">
        <v>37.56</v>
      </c>
      <c r="T27" s="2">
        <f t="shared" si="0"/>
        <v>12.99</v>
      </c>
      <c r="U27" s="3">
        <f t="shared" si="1"/>
        <v>0.528693528693529</v>
      </c>
      <c r="V27">
        <v>36.86</v>
      </c>
      <c r="W27">
        <v>36.2</v>
      </c>
      <c r="X27" s="2">
        <f t="shared" si="2"/>
        <v>11.63</v>
      </c>
      <c r="Y27" s="3">
        <f t="shared" si="3"/>
        <v>0.473341473341473</v>
      </c>
      <c r="Z27" s="2">
        <f t="shared" si="4"/>
        <v>-1.36</v>
      </c>
      <c r="AA27" s="3">
        <f t="shared" si="5"/>
        <v>-0.0362087326943557</v>
      </c>
      <c r="AB27">
        <v>36.6</v>
      </c>
      <c r="AC27">
        <v>36.76</v>
      </c>
      <c r="AD27">
        <v>9.94</v>
      </c>
      <c r="AE27">
        <v>9.92</v>
      </c>
      <c r="AF27">
        <v>10.11</v>
      </c>
      <c r="AG27">
        <v>10.37</v>
      </c>
      <c r="AH27">
        <v>11.39</v>
      </c>
      <c r="AI27">
        <v>11.34</v>
      </c>
      <c r="AJ27" s="2">
        <f t="shared" si="6"/>
        <v>0.970000000000001</v>
      </c>
      <c r="AK27" s="3">
        <f t="shared" si="7"/>
        <v>0.0935390549662489</v>
      </c>
      <c r="AL27">
        <v>11.59</v>
      </c>
      <c r="AM27">
        <v>11.59</v>
      </c>
      <c r="AN27" s="3">
        <f t="shared" si="8"/>
        <v>0.379802418375225</v>
      </c>
    </row>
    <row r="28" spans="1:40">
      <c r="A28">
        <v>127107</v>
      </c>
      <c r="B28" t="s">
        <v>95</v>
      </c>
      <c r="C28" s="4">
        <v>45614</v>
      </c>
      <c r="D28">
        <v>72600</v>
      </c>
      <c r="E28">
        <v>2600</v>
      </c>
      <c r="F28" t="s">
        <v>96</v>
      </c>
      <c r="G28">
        <v>0.005752783</v>
      </c>
      <c r="H28" s="4">
        <v>45632</v>
      </c>
      <c r="I28" t="s">
        <v>58</v>
      </c>
      <c r="J28" s="4">
        <v>45318</v>
      </c>
      <c r="K28" s="4">
        <v>45591</v>
      </c>
      <c r="L28">
        <v>296</v>
      </c>
      <c r="M28">
        <v>23</v>
      </c>
      <c r="N28">
        <v>5.16</v>
      </c>
      <c r="O28">
        <v>5</v>
      </c>
      <c r="P28">
        <v>8.6</v>
      </c>
      <c r="Q28">
        <v>8.71</v>
      </c>
      <c r="R28">
        <v>8.95</v>
      </c>
      <c r="S28">
        <v>8.92</v>
      </c>
      <c r="T28" s="2">
        <f t="shared" si="0"/>
        <v>0.209999999999999</v>
      </c>
      <c r="U28" s="3">
        <f t="shared" si="1"/>
        <v>0.0241102181400688</v>
      </c>
      <c r="V28">
        <v>8.92</v>
      </c>
      <c r="W28">
        <v>8.13</v>
      </c>
      <c r="X28" s="2">
        <f t="shared" si="2"/>
        <v>-0.58</v>
      </c>
      <c r="Y28" s="3">
        <f t="shared" si="3"/>
        <v>-0.0665901262916188</v>
      </c>
      <c r="Z28" s="2">
        <f t="shared" si="4"/>
        <v>-0.789999999999999</v>
      </c>
      <c r="AA28" s="3">
        <f t="shared" si="5"/>
        <v>-0.0885650224215246</v>
      </c>
      <c r="AB28">
        <v>8.73</v>
      </c>
      <c r="AC28">
        <v>8.9</v>
      </c>
      <c r="AD28">
        <v>9.69</v>
      </c>
      <c r="AE28">
        <v>9.7</v>
      </c>
      <c r="AF28">
        <v>11.68</v>
      </c>
      <c r="AG28">
        <v>11.64</v>
      </c>
      <c r="AH28">
        <v>11.63</v>
      </c>
      <c r="AI28">
        <v>11.75</v>
      </c>
      <c r="AJ28" s="2">
        <f t="shared" si="6"/>
        <v>0.109999999999999</v>
      </c>
      <c r="AK28" s="3">
        <f t="shared" si="7"/>
        <v>0.00945017182130579</v>
      </c>
      <c r="AL28">
        <v>11.44</v>
      </c>
      <c r="AM28">
        <v>11.66</v>
      </c>
      <c r="AN28" s="3">
        <f t="shared" si="8"/>
        <v>-0.0760402981129246</v>
      </c>
    </row>
    <row r="29" spans="1:40">
      <c r="A29">
        <v>123250</v>
      </c>
      <c r="B29" t="s">
        <v>97</v>
      </c>
      <c r="C29" s="4">
        <v>45603</v>
      </c>
      <c r="D29">
        <v>371004</v>
      </c>
      <c r="E29">
        <v>301004</v>
      </c>
      <c r="F29" t="s">
        <v>98</v>
      </c>
      <c r="G29">
        <v>0.0032254984</v>
      </c>
      <c r="H29" s="4">
        <v>45622</v>
      </c>
      <c r="I29" t="s">
        <v>50</v>
      </c>
      <c r="J29" s="4">
        <v>45219</v>
      </c>
      <c r="K29" s="4">
        <v>45278</v>
      </c>
      <c r="L29">
        <v>384</v>
      </c>
      <c r="M29">
        <v>325</v>
      </c>
      <c r="N29">
        <v>27.45</v>
      </c>
      <c r="O29">
        <v>27.14</v>
      </c>
      <c r="P29">
        <v>27.69</v>
      </c>
      <c r="Q29">
        <v>27.49</v>
      </c>
      <c r="R29">
        <v>80.49</v>
      </c>
      <c r="S29">
        <v>81.01</v>
      </c>
      <c r="T29" s="2">
        <f t="shared" si="0"/>
        <v>53.52</v>
      </c>
      <c r="U29" s="3">
        <f t="shared" si="1"/>
        <v>1.94688977810113</v>
      </c>
      <c r="V29">
        <v>77.14</v>
      </c>
      <c r="W29">
        <v>74.69</v>
      </c>
      <c r="X29" s="2">
        <f t="shared" si="2"/>
        <v>47.2</v>
      </c>
      <c r="Y29" s="3">
        <f t="shared" si="3"/>
        <v>1.71698799563478</v>
      </c>
      <c r="Z29" s="2">
        <f t="shared" si="4"/>
        <v>-6.32000000000001</v>
      </c>
      <c r="AA29" s="3">
        <f t="shared" si="5"/>
        <v>-0.078015059869152</v>
      </c>
      <c r="AB29">
        <v>67.97</v>
      </c>
      <c r="AC29">
        <v>68.57</v>
      </c>
      <c r="AD29">
        <v>10.55</v>
      </c>
      <c r="AE29">
        <v>10.6</v>
      </c>
      <c r="AF29">
        <v>9.18</v>
      </c>
      <c r="AG29">
        <v>9.13</v>
      </c>
      <c r="AH29">
        <v>11.5</v>
      </c>
      <c r="AI29">
        <v>11.91</v>
      </c>
      <c r="AJ29" s="2">
        <f t="shared" si="6"/>
        <v>2.78</v>
      </c>
      <c r="AK29" s="3">
        <f t="shared" si="7"/>
        <v>0.304490690032859</v>
      </c>
      <c r="AL29">
        <v>11.18</v>
      </c>
      <c r="AM29">
        <v>11.27</v>
      </c>
      <c r="AN29" s="3">
        <f t="shared" si="8"/>
        <v>1.41249730560192</v>
      </c>
    </row>
    <row r="30" spans="1:40">
      <c r="A30">
        <v>113692</v>
      </c>
      <c r="B30" t="s">
        <v>99</v>
      </c>
      <c r="C30" s="4">
        <v>45596</v>
      </c>
      <c r="D30">
        <v>754197</v>
      </c>
      <c r="E30">
        <v>603197</v>
      </c>
      <c r="F30" t="s">
        <v>100</v>
      </c>
      <c r="G30">
        <v>0.00558023</v>
      </c>
      <c r="H30" s="4">
        <v>45623</v>
      </c>
      <c r="I30" t="s">
        <v>40</v>
      </c>
      <c r="J30" s="4">
        <v>45430</v>
      </c>
      <c r="K30" s="4">
        <v>45535</v>
      </c>
      <c r="L30">
        <v>166</v>
      </c>
      <c r="M30">
        <v>61</v>
      </c>
      <c r="N30">
        <v>40.68</v>
      </c>
      <c r="O30">
        <v>40.62</v>
      </c>
      <c r="P30">
        <v>29.26</v>
      </c>
      <c r="Q30">
        <v>28.16</v>
      </c>
      <c r="R30">
        <v>38.42</v>
      </c>
      <c r="S30">
        <v>38.28</v>
      </c>
      <c r="T30" s="2">
        <f t="shared" si="0"/>
        <v>10.12</v>
      </c>
      <c r="U30" s="3">
        <f t="shared" si="1"/>
        <v>0.359375</v>
      </c>
      <c r="V30">
        <v>37.49</v>
      </c>
      <c r="W30">
        <v>37.81</v>
      </c>
      <c r="X30" s="2">
        <f t="shared" si="2"/>
        <v>9.65</v>
      </c>
      <c r="Y30" s="3">
        <f t="shared" si="3"/>
        <v>0.342684659090909</v>
      </c>
      <c r="Z30" s="2">
        <f t="shared" si="4"/>
        <v>-0.469999999999999</v>
      </c>
      <c r="AA30" s="3">
        <f t="shared" si="5"/>
        <v>-0.0122779519331243</v>
      </c>
      <c r="AB30">
        <v>37.99</v>
      </c>
      <c r="AC30">
        <v>37.77</v>
      </c>
      <c r="AD30">
        <v>11.43</v>
      </c>
      <c r="AE30">
        <v>11.38</v>
      </c>
      <c r="AF30">
        <v>10.12</v>
      </c>
      <c r="AG30">
        <v>10.11</v>
      </c>
      <c r="AH30">
        <v>11.33</v>
      </c>
      <c r="AI30">
        <v>11.38</v>
      </c>
      <c r="AJ30" s="2">
        <f t="shared" si="6"/>
        <v>1.27</v>
      </c>
      <c r="AK30" s="3">
        <f t="shared" si="7"/>
        <v>0.125618199802176</v>
      </c>
      <c r="AL30">
        <v>11.24</v>
      </c>
      <c r="AM30">
        <v>11.39</v>
      </c>
      <c r="AN30" s="3">
        <f t="shared" si="8"/>
        <v>0.217066459288733</v>
      </c>
    </row>
    <row r="31" spans="1:40">
      <c r="A31">
        <v>113691</v>
      </c>
      <c r="B31" t="s">
        <v>101</v>
      </c>
      <c r="C31" s="4">
        <v>45593</v>
      </c>
      <c r="D31">
        <v>754077</v>
      </c>
      <c r="E31">
        <v>603077</v>
      </c>
      <c r="F31" t="s">
        <v>102</v>
      </c>
      <c r="G31">
        <v>0.02407311</v>
      </c>
      <c r="H31" s="4">
        <v>45615</v>
      </c>
      <c r="I31" t="s">
        <v>40</v>
      </c>
      <c r="J31" s="4">
        <v>45098</v>
      </c>
      <c r="K31" s="4">
        <v>45544</v>
      </c>
      <c r="L31">
        <v>495</v>
      </c>
      <c r="M31">
        <v>49</v>
      </c>
      <c r="N31">
        <v>2.35</v>
      </c>
      <c r="O31">
        <v>2.32</v>
      </c>
      <c r="P31">
        <v>1.66</v>
      </c>
      <c r="Q31">
        <v>1.67</v>
      </c>
      <c r="R31">
        <v>2</v>
      </c>
      <c r="S31">
        <v>2.09</v>
      </c>
      <c r="T31" s="2">
        <f t="shared" si="0"/>
        <v>0.42</v>
      </c>
      <c r="U31" s="3">
        <f t="shared" si="1"/>
        <v>0.251497005988024</v>
      </c>
      <c r="V31">
        <v>2.08</v>
      </c>
      <c r="W31">
        <v>2.11</v>
      </c>
      <c r="X31" s="2">
        <f t="shared" si="2"/>
        <v>0.44</v>
      </c>
      <c r="Y31" s="3">
        <f t="shared" si="3"/>
        <v>0.263473053892216</v>
      </c>
      <c r="Z31" s="2">
        <f t="shared" si="4"/>
        <v>0.02</v>
      </c>
      <c r="AA31" s="3">
        <f t="shared" si="5"/>
        <v>0.00956937799043063</v>
      </c>
      <c r="AB31">
        <v>2.08</v>
      </c>
      <c r="AC31">
        <v>2.07</v>
      </c>
      <c r="AD31">
        <v>11.36</v>
      </c>
      <c r="AE31">
        <v>11.35</v>
      </c>
      <c r="AF31">
        <v>10.05</v>
      </c>
      <c r="AG31">
        <v>9.85</v>
      </c>
      <c r="AH31">
        <v>11.68</v>
      </c>
      <c r="AI31">
        <v>11.64</v>
      </c>
      <c r="AJ31" s="2">
        <f t="shared" si="6"/>
        <v>1.79</v>
      </c>
      <c r="AK31" s="3">
        <f t="shared" si="7"/>
        <v>0.181725888324873</v>
      </c>
      <c r="AL31">
        <v>11.75</v>
      </c>
      <c r="AM31">
        <v>11.68</v>
      </c>
      <c r="AN31" s="3">
        <f t="shared" si="8"/>
        <v>0.0817471655673423</v>
      </c>
    </row>
    <row r="32" spans="1:40">
      <c r="A32">
        <v>110097</v>
      </c>
      <c r="B32" t="s">
        <v>103</v>
      </c>
      <c r="C32" s="4">
        <v>45589</v>
      </c>
      <c r="D32">
        <v>733419</v>
      </c>
      <c r="E32">
        <v>600419</v>
      </c>
      <c r="F32" t="s">
        <v>104</v>
      </c>
      <c r="G32">
        <v>0.00442529</v>
      </c>
      <c r="H32" s="4">
        <v>45611</v>
      </c>
      <c r="I32" t="s">
        <v>40</v>
      </c>
      <c r="J32" s="4">
        <v>45266</v>
      </c>
      <c r="K32" s="4">
        <v>45455</v>
      </c>
      <c r="L32">
        <v>323</v>
      </c>
      <c r="M32">
        <v>134</v>
      </c>
      <c r="N32">
        <v>12.7</v>
      </c>
      <c r="O32">
        <v>12.75</v>
      </c>
      <c r="P32">
        <v>8.7</v>
      </c>
      <c r="Q32">
        <v>8.73</v>
      </c>
      <c r="R32">
        <v>8.51</v>
      </c>
      <c r="S32">
        <v>8.47</v>
      </c>
      <c r="T32" s="2">
        <f t="shared" si="0"/>
        <v>-0.26</v>
      </c>
      <c r="U32" s="3">
        <f t="shared" si="1"/>
        <v>-0.0297823596792669</v>
      </c>
      <c r="V32">
        <v>8.13</v>
      </c>
      <c r="W32">
        <v>8.11</v>
      </c>
      <c r="X32" s="2">
        <f t="shared" si="2"/>
        <v>-0.620000000000001</v>
      </c>
      <c r="Y32" s="3">
        <f t="shared" si="3"/>
        <v>-0.0710194730813289</v>
      </c>
      <c r="Z32" s="2">
        <f t="shared" si="4"/>
        <v>-0.360000000000001</v>
      </c>
      <c r="AA32" s="3">
        <f t="shared" si="5"/>
        <v>-0.0425029515938608</v>
      </c>
      <c r="AB32">
        <v>9.43</v>
      </c>
      <c r="AC32">
        <v>9.48</v>
      </c>
      <c r="AD32">
        <v>9.44</v>
      </c>
      <c r="AE32">
        <v>9.5</v>
      </c>
      <c r="AF32">
        <v>10.85</v>
      </c>
      <c r="AG32">
        <v>10.88</v>
      </c>
      <c r="AH32">
        <v>11.81</v>
      </c>
      <c r="AI32">
        <v>11.75</v>
      </c>
      <c r="AJ32" s="2">
        <f t="shared" si="6"/>
        <v>0.869999999999999</v>
      </c>
      <c r="AK32" s="3">
        <f t="shared" si="7"/>
        <v>0.0799632352941176</v>
      </c>
      <c r="AL32">
        <v>11.5</v>
      </c>
      <c r="AM32">
        <v>11.44</v>
      </c>
      <c r="AN32" s="3">
        <f t="shared" si="8"/>
        <v>-0.150982708375446</v>
      </c>
    </row>
    <row r="33" spans="1:40">
      <c r="A33">
        <v>123249</v>
      </c>
      <c r="B33" t="s">
        <v>105</v>
      </c>
      <c r="C33" s="4">
        <v>45589</v>
      </c>
      <c r="D33">
        <v>370681</v>
      </c>
      <c r="E33">
        <v>300681</v>
      </c>
      <c r="F33" t="s">
        <v>106</v>
      </c>
      <c r="G33">
        <v>0.0034318708</v>
      </c>
      <c r="H33" s="4">
        <v>45607</v>
      </c>
      <c r="I33" t="s">
        <v>40</v>
      </c>
      <c r="J33" s="4">
        <v>45511</v>
      </c>
      <c r="K33" s="4">
        <v>45540</v>
      </c>
      <c r="L33">
        <v>78</v>
      </c>
      <c r="M33">
        <v>49</v>
      </c>
      <c r="N33">
        <v>12.39</v>
      </c>
      <c r="O33">
        <v>12.48</v>
      </c>
      <c r="P33">
        <v>13.55</v>
      </c>
      <c r="Q33">
        <v>13.51</v>
      </c>
      <c r="R33">
        <v>17.62</v>
      </c>
      <c r="S33">
        <v>17.77</v>
      </c>
      <c r="T33" s="2">
        <f t="shared" si="0"/>
        <v>4.26</v>
      </c>
      <c r="U33" s="3">
        <f t="shared" si="1"/>
        <v>0.315321983715766</v>
      </c>
      <c r="V33">
        <v>17.39</v>
      </c>
      <c r="W33">
        <v>17.55</v>
      </c>
      <c r="X33" s="2">
        <f t="shared" si="2"/>
        <v>4.04</v>
      </c>
      <c r="Y33" s="3">
        <f t="shared" si="3"/>
        <v>0.299037749814952</v>
      </c>
      <c r="Z33" s="2">
        <f t="shared" si="4"/>
        <v>-0.219999999999999</v>
      </c>
      <c r="AA33" s="3">
        <f t="shared" si="5"/>
        <v>-0.012380416432189</v>
      </c>
      <c r="AB33">
        <v>24.35</v>
      </c>
      <c r="AC33">
        <v>26.42</v>
      </c>
      <c r="AD33">
        <v>9.95</v>
      </c>
      <c r="AE33">
        <v>9.93</v>
      </c>
      <c r="AF33">
        <v>10.03</v>
      </c>
      <c r="AG33">
        <v>10.07</v>
      </c>
      <c r="AH33">
        <v>11.81</v>
      </c>
      <c r="AI33">
        <v>11.75</v>
      </c>
      <c r="AJ33" s="2">
        <f t="shared" si="6"/>
        <v>1.68</v>
      </c>
      <c r="AK33" s="3">
        <f t="shared" si="7"/>
        <v>0.166832174776564</v>
      </c>
      <c r="AL33">
        <v>11.63</v>
      </c>
      <c r="AM33">
        <v>11.6</v>
      </c>
      <c r="AN33" s="3">
        <f t="shared" si="8"/>
        <v>0.132205575038388</v>
      </c>
    </row>
    <row r="34" spans="1:40">
      <c r="A34">
        <v>113690</v>
      </c>
      <c r="B34" t="s">
        <v>107</v>
      </c>
      <c r="C34" s="4">
        <v>45588</v>
      </c>
      <c r="D34">
        <v>754809</v>
      </c>
      <c r="E34">
        <v>603809</v>
      </c>
      <c r="F34" t="s">
        <v>108</v>
      </c>
      <c r="G34">
        <v>0.00131908</v>
      </c>
      <c r="H34" s="4">
        <v>45616</v>
      </c>
      <c r="I34" t="s">
        <v>55</v>
      </c>
      <c r="J34" s="4">
        <v>45262</v>
      </c>
      <c r="K34" s="5">
        <v>45365</v>
      </c>
      <c r="L34">
        <v>326</v>
      </c>
      <c r="M34">
        <v>223</v>
      </c>
      <c r="N34">
        <v>6.09</v>
      </c>
      <c r="O34">
        <v>6.02</v>
      </c>
      <c r="P34">
        <v>4.77</v>
      </c>
      <c r="Q34">
        <v>4.72</v>
      </c>
      <c r="R34">
        <v>6.42</v>
      </c>
      <c r="S34">
        <v>6.35</v>
      </c>
      <c r="T34" s="2">
        <f t="shared" si="0"/>
        <v>1.63</v>
      </c>
      <c r="U34" s="3">
        <f t="shared" si="1"/>
        <v>0.345338983050847</v>
      </c>
      <c r="V34">
        <v>6.18</v>
      </c>
      <c r="W34">
        <v>6.61</v>
      </c>
      <c r="X34" s="2">
        <f t="shared" si="2"/>
        <v>1.89</v>
      </c>
      <c r="Y34" s="3">
        <f t="shared" si="3"/>
        <v>0.400423728813559</v>
      </c>
      <c r="Z34" s="2">
        <f t="shared" si="4"/>
        <v>0.260000000000001</v>
      </c>
      <c r="AA34" s="3">
        <f t="shared" si="5"/>
        <v>0.0409448818897639</v>
      </c>
      <c r="AB34">
        <v>9.21</v>
      </c>
      <c r="AC34">
        <v>9.51</v>
      </c>
      <c r="AD34">
        <v>9.67</v>
      </c>
      <c r="AE34">
        <v>9.63</v>
      </c>
      <c r="AF34">
        <v>10.3</v>
      </c>
      <c r="AG34">
        <v>10.23</v>
      </c>
      <c r="AH34">
        <v>11.82</v>
      </c>
      <c r="AI34">
        <v>11.86</v>
      </c>
      <c r="AJ34" s="2">
        <f t="shared" si="6"/>
        <v>1.63</v>
      </c>
      <c r="AK34" s="3">
        <f t="shared" si="7"/>
        <v>0.159335288367546</v>
      </c>
      <c r="AL34">
        <v>11.67</v>
      </c>
      <c r="AM34">
        <v>11.64</v>
      </c>
      <c r="AN34" s="3">
        <f t="shared" si="8"/>
        <v>0.241088440446013</v>
      </c>
    </row>
    <row r="35" spans="1:40">
      <c r="A35">
        <v>113688</v>
      </c>
      <c r="B35" t="s">
        <v>109</v>
      </c>
      <c r="C35" s="4">
        <v>45582</v>
      </c>
      <c r="D35">
        <v>754060</v>
      </c>
      <c r="E35">
        <v>603060</v>
      </c>
      <c r="F35" t="s">
        <v>110</v>
      </c>
      <c r="G35">
        <v>0.00202207</v>
      </c>
      <c r="H35" s="4">
        <v>45608</v>
      </c>
      <c r="I35" t="s">
        <v>58</v>
      </c>
      <c r="J35" s="4">
        <v>45209</v>
      </c>
      <c r="K35" s="4">
        <v>45540</v>
      </c>
      <c r="L35">
        <v>373</v>
      </c>
      <c r="M35">
        <v>42</v>
      </c>
      <c r="N35">
        <v>10.43</v>
      </c>
      <c r="O35">
        <v>10.43</v>
      </c>
      <c r="P35">
        <v>6.02</v>
      </c>
      <c r="Q35">
        <v>6.01</v>
      </c>
      <c r="R35">
        <v>6.63</v>
      </c>
      <c r="S35">
        <v>6.93</v>
      </c>
      <c r="T35" s="2">
        <f t="shared" si="0"/>
        <v>0.92</v>
      </c>
      <c r="U35" s="3">
        <f t="shared" si="1"/>
        <v>0.153078202995008</v>
      </c>
      <c r="V35">
        <v>6.71</v>
      </c>
      <c r="W35">
        <v>6.39</v>
      </c>
      <c r="X35" s="2">
        <f t="shared" si="2"/>
        <v>0.38</v>
      </c>
      <c r="Y35" s="3">
        <f t="shared" si="3"/>
        <v>0.0632279534109817</v>
      </c>
      <c r="Z35" s="2">
        <f t="shared" si="4"/>
        <v>-0.54</v>
      </c>
      <c r="AA35" s="3">
        <f t="shared" si="5"/>
        <v>-0.0779220779220779</v>
      </c>
      <c r="AB35">
        <v>7.25</v>
      </c>
      <c r="AC35">
        <v>7.22</v>
      </c>
      <c r="AD35">
        <v>11.19</v>
      </c>
      <c r="AE35">
        <v>11.02</v>
      </c>
      <c r="AF35">
        <v>10.03</v>
      </c>
      <c r="AG35">
        <v>10.07</v>
      </c>
      <c r="AH35">
        <v>12.07</v>
      </c>
      <c r="AI35">
        <v>11.95</v>
      </c>
      <c r="AJ35" s="2">
        <f t="shared" si="6"/>
        <v>1.88</v>
      </c>
      <c r="AK35" s="3">
        <f t="shared" si="7"/>
        <v>0.18669314796425</v>
      </c>
      <c r="AL35">
        <v>11.58</v>
      </c>
      <c r="AM35">
        <v>11.54</v>
      </c>
      <c r="AN35" s="3">
        <f t="shared" si="8"/>
        <v>-0.123465194553268</v>
      </c>
    </row>
    <row r="36" spans="1:40">
      <c r="A36">
        <v>113689</v>
      </c>
      <c r="B36" t="s">
        <v>111</v>
      </c>
      <c r="C36" s="4">
        <v>45582</v>
      </c>
      <c r="D36">
        <v>754829</v>
      </c>
      <c r="E36">
        <v>603829</v>
      </c>
      <c r="F36" t="s">
        <v>112</v>
      </c>
      <c r="G36">
        <v>0.00053307</v>
      </c>
      <c r="H36" s="4">
        <v>45607</v>
      </c>
      <c r="I36" t="s">
        <v>55</v>
      </c>
      <c r="J36" s="4">
        <v>45311</v>
      </c>
      <c r="K36" s="4">
        <v>45534</v>
      </c>
      <c r="L36">
        <v>271</v>
      </c>
      <c r="M36">
        <v>48</v>
      </c>
      <c r="N36">
        <v>15.15</v>
      </c>
      <c r="O36">
        <v>14.23</v>
      </c>
      <c r="P36">
        <v>11.95</v>
      </c>
      <c r="Q36">
        <v>12.14</v>
      </c>
      <c r="R36">
        <v>16.33</v>
      </c>
      <c r="S36">
        <v>16.36</v>
      </c>
      <c r="T36" s="2">
        <f t="shared" si="0"/>
        <v>4.22</v>
      </c>
      <c r="U36" s="3">
        <f t="shared" si="1"/>
        <v>0.347611202635914</v>
      </c>
      <c r="V36">
        <v>14.71</v>
      </c>
      <c r="W36">
        <v>14.71</v>
      </c>
      <c r="X36" s="2">
        <f t="shared" si="2"/>
        <v>2.57</v>
      </c>
      <c r="Y36" s="3">
        <f t="shared" si="3"/>
        <v>0.21169686985173</v>
      </c>
      <c r="Z36" s="2">
        <f t="shared" si="4"/>
        <v>-1.65</v>
      </c>
      <c r="AA36" s="3">
        <f t="shared" si="5"/>
        <v>-0.100855745721271</v>
      </c>
      <c r="AB36">
        <v>14.58</v>
      </c>
      <c r="AC36">
        <v>15.05</v>
      </c>
      <c r="AD36">
        <v>9.16</v>
      </c>
      <c r="AE36">
        <v>9.1</v>
      </c>
      <c r="AF36">
        <v>10.11</v>
      </c>
      <c r="AG36">
        <v>10.16</v>
      </c>
      <c r="AH36">
        <v>12.07</v>
      </c>
      <c r="AI36">
        <v>11.95</v>
      </c>
      <c r="AJ36" s="2">
        <f t="shared" si="6"/>
        <v>1.79</v>
      </c>
      <c r="AK36" s="3">
        <f t="shared" si="7"/>
        <v>0.176181102362205</v>
      </c>
      <c r="AL36">
        <v>11.63</v>
      </c>
      <c r="AM36">
        <v>11.6</v>
      </c>
      <c r="AN36" s="3">
        <f t="shared" si="8"/>
        <v>0.0355157674895252</v>
      </c>
    </row>
    <row r="37" spans="1:40">
      <c r="A37">
        <v>118050</v>
      </c>
      <c r="B37" t="s">
        <v>113</v>
      </c>
      <c r="C37" s="4">
        <v>45525</v>
      </c>
      <c r="D37">
        <v>718239</v>
      </c>
      <c r="E37">
        <v>688239</v>
      </c>
      <c r="F37" t="s">
        <v>114</v>
      </c>
      <c r="G37">
        <v>0.00327929</v>
      </c>
      <c r="H37" s="4">
        <v>45545</v>
      </c>
      <c r="I37" t="s">
        <v>55</v>
      </c>
      <c r="J37" s="4">
        <v>45451</v>
      </c>
      <c r="K37" s="4">
        <v>45506</v>
      </c>
      <c r="L37">
        <v>74</v>
      </c>
      <c r="M37">
        <v>19</v>
      </c>
      <c r="N37">
        <v>28.63</v>
      </c>
      <c r="O37">
        <v>30.49</v>
      </c>
      <c r="P37">
        <v>27.59</v>
      </c>
      <c r="Q37">
        <v>26.69</v>
      </c>
      <c r="R37">
        <v>22.48</v>
      </c>
      <c r="S37">
        <v>21.61</v>
      </c>
      <c r="T37" s="2">
        <f t="shared" si="0"/>
        <v>-5.08</v>
      </c>
      <c r="U37" s="3">
        <f t="shared" si="1"/>
        <v>-0.190333458224054</v>
      </c>
      <c r="V37">
        <v>21.17</v>
      </c>
      <c r="W37">
        <v>21.39</v>
      </c>
      <c r="X37" s="2">
        <f t="shared" si="2"/>
        <v>-5.3</v>
      </c>
      <c r="Y37" s="3">
        <f t="shared" si="3"/>
        <v>-0.198576245784938</v>
      </c>
      <c r="Z37" s="2">
        <f t="shared" si="4"/>
        <v>-0.219999999999999</v>
      </c>
      <c r="AA37" s="3">
        <f t="shared" si="5"/>
        <v>-0.0101804720037019</v>
      </c>
      <c r="AB37">
        <v>21.24</v>
      </c>
      <c r="AC37">
        <v>21.32</v>
      </c>
      <c r="AD37">
        <v>10.98</v>
      </c>
      <c r="AE37">
        <v>10.87</v>
      </c>
      <c r="AF37">
        <v>10.22</v>
      </c>
      <c r="AG37">
        <v>10.14</v>
      </c>
      <c r="AH37">
        <v>10.3</v>
      </c>
      <c r="AI37">
        <v>10.35</v>
      </c>
      <c r="AJ37" s="2">
        <f t="shared" si="6"/>
        <v>0.209999999999999</v>
      </c>
      <c r="AK37" s="3">
        <f t="shared" si="7"/>
        <v>0.0207100591715975</v>
      </c>
      <c r="AL37">
        <v>9.86</v>
      </c>
      <c r="AM37">
        <v>9.9</v>
      </c>
      <c r="AN37" s="3">
        <f t="shared" si="8"/>
        <v>-0.219286304956536</v>
      </c>
    </row>
    <row r="38" spans="1:40">
      <c r="A38">
        <v>123248</v>
      </c>
      <c r="B38" t="s">
        <v>115</v>
      </c>
      <c r="C38" s="4">
        <v>45525</v>
      </c>
      <c r="D38">
        <v>370952</v>
      </c>
      <c r="E38">
        <v>300952</v>
      </c>
      <c r="F38" t="s">
        <v>116</v>
      </c>
      <c r="G38">
        <v>0.000912737</v>
      </c>
      <c r="H38" s="4">
        <v>45547</v>
      </c>
      <c r="I38" t="s">
        <v>55</v>
      </c>
      <c r="J38" s="4">
        <v>45458</v>
      </c>
      <c r="K38" s="4">
        <v>45507</v>
      </c>
      <c r="L38">
        <v>67</v>
      </c>
      <c r="M38">
        <v>18</v>
      </c>
      <c r="N38">
        <v>17.83</v>
      </c>
      <c r="O38">
        <v>18.25</v>
      </c>
      <c r="P38">
        <v>16.77</v>
      </c>
      <c r="Q38">
        <v>16.21</v>
      </c>
      <c r="R38">
        <v>17.93</v>
      </c>
      <c r="S38">
        <v>17.44</v>
      </c>
      <c r="T38" s="2">
        <f t="shared" si="0"/>
        <v>1.23</v>
      </c>
      <c r="U38" s="3">
        <f t="shared" si="1"/>
        <v>0.0758790869833436</v>
      </c>
      <c r="V38">
        <v>16.41</v>
      </c>
      <c r="W38">
        <v>16.72</v>
      </c>
      <c r="X38" s="2">
        <f t="shared" si="2"/>
        <v>0.509999999999998</v>
      </c>
      <c r="Y38" s="3">
        <f t="shared" si="3"/>
        <v>0.0314620604565082</v>
      </c>
      <c r="Z38" s="2">
        <f t="shared" si="4"/>
        <v>-0.720000000000002</v>
      </c>
      <c r="AA38" s="3">
        <f t="shared" si="5"/>
        <v>-0.0412844036697249</v>
      </c>
      <c r="AB38">
        <v>16.36</v>
      </c>
      <c r="AC38">
        <v>16.31</v>
      </c>
      <c r="AD38">
        <v>10.13</v>
      </c>
      <c r="AE38">
        <v>10.1</v>
      </c>
      <c r="AF38">
        <v>10.11</v>
      </c>
      <c r="AG38">
        <v>10.05</v>
      </c>
      <c r="AH38">
        <v>10.3</v>
      </c>
      <c r="AI38">
        <v>10.35</v>
      </c>
      <c r="AJ38" s="2">
        <f t="shared" si="6"/>
        <v>0.299999999999999</v>
      </c>
      <c r="AK38" s="3">
        <f t="shared" si="7"/>
        <v>0.0298507462686566</v>
      </c>
      <c r="AL38">
        <v>9.65</v>
      </c>
      <c r="AM38">
        <v>9.74</v>
      </c>
      <c r="AN38" s="3">
        <f t="shared" si="8"/>
        <v>0.0016113141878516</v>
      </c>
    </row>
    <row r="39" spans="1:40">
      <c r="A39">
        <v>123247</v>
      </c>
      <c r="B39" t="s">
        <v>117</v>
      </c>
      <c r="C39" s="4">
        <v>45520</v>
      </c>
      <c r="D39">
        <v>371216</v>
      </c>
      <c r="E39">
        <v>301216</v>
      </c>
      <c r="F39" t="s">
        <v>118</v>
      </c>
      <c r="G39">
        <v>0.0219868882</v>
      </c>
      <c r="H39" s="4">
        <v>45540</v>
      </c>
      <c r="I39" t="s">
        <v>40</v>
      </c>
      <c r="J39" s="4">
        <v>45157</v>
      </c>
      <c r="K39" s="4">
        <v>45468</v>
      </c>
      <c r="L39">
        <v>363</v>
      </c>
      <c r="M39">
        <v>52</v>
      </c>
      <c r="N39">
        <v>15.05</v>
      </c>
      <c r="O39">
        <v>14.92</v>
      </c>
      <c r="P39">
        <v>10.82</v>
      </c>
      <c r="Q39">
        <v>10.9</v>
      </c>
      <c r="R39">
        <v>10.84</v>
      </c>
      <c r="S39">
        <v>10.78</v>
      </c>
      <c r="T39" s="2">
        <f t="shared" si="0"/>
        <v>-0.120000000000001</v>
      </c>
      <c r="U39" s="3">
        <f t="shared" si="1"/>
        <v>-0.0110091743119267</v>
      </c>
      <c r="V39">
        <v>10.24</v>
      </c>
      <c r="W39">
        <v>10.13</v>
      </c>
      <c r="X39" s="2">
        <f t="shared" si="2"/>
        <v>-0.77</v>
      </c>
      <c r="Y39" s="3">
        <f t="shared" si="3"/>
        <v>-0.0706422018348623</v>
      </c>
      <c r="Z39" s="2">
        <f t="shared" si="4"/>
        <v>-0.649999999999999</v>
      </c>
      <c r="AA39" s="3">
        <f t="shared" si="5"/>
        <v>-0.0602968460111316</v>
      </c>
      <c r="AB39">
        <v>9.83</v>
      </c>
      <c r="AC39">
        <v>9.8</v>
      </c>
      <c r="AD39">
        <v>11.56</v>
      </c>
      <c r="AE39">
        <v>11.32</v>
      </c>
      <c r="AF39">
        <v>9.99</v>
      </c>
      <c r="AG39">
        <v>10.08</v>
      </c>
      <c r="AH39">
        <v>10.08</v>
      </c>
      <c r="AI39">
        <v>10.13</v>
      </c>
      <c r="AJ39" s="2">
        <f t="shared" si="6"/>
        <v>0.0500000000000007</v>
      </c>
      <c r="AK39" s="3">
        <f t="shared" si="7"/>
        <v>0.00496031746031753</v>
      </c>
      <c r="AL39">
        <v>10.03</v>
      </c>
      <c r="AM39">
        <v>10.07</v>
      </c>
      <c r="AN39" s="3">
        <f t="shared" si="8"/>
        <v>-0.0756025192951799</v>
      </c>
    </row>
    <row r="40" spans="1:40">
      <c r="A40">
        <v>123246</v>
      </c>
      <c r="B40" t="s">
        <v>119</v>
      </c>
      <c r="C40" s="4">
        <v>45520</v>
      </c>
      <c r="D40">
        <v>371053</v>
      </c>
      <c r="E40">
        <v>301053</v>
      </c>
      <c r="F40" t="s">
        <v>120</v>
      </c>
      <c r="G40">
        <v>0.0003409553</v>
      </c>
      <c r="H40" s="4">
        <v>45538</v>
      </c>
      <c r="I40" t="s">
        <v>121</v>
      </c>
      <c r="J40" s="4">
        <v>45247</v>
      </c>
      <c r="K40" s="5">
        <v>45282</v>
      </c>
      <c r="L40">
        <v>273</v>
      </c>
      <c r="M40">
        <v>238</v>
      </c>
      <c r="N40">
        <v>25.93</v>
      </c>
      <c r="O40">
        <v>26.5</v>
      </c>
      <c r="P40">
        <v>26.4</v>
      </c>
      <c r="Q40">
        <v>26.21</v>
      </c>
      <c r="R40">
        <v>23.68</v>
      </c>
      <c r="S40">
        <v>23.42</v>
      </c>
      <c r="T40" s="2">
        <f t="shared" si="0"/>
        <v>-2.79</v>
      </c>
      <c r="U40" s="3">
        <f t="shared" si="1"/>
        <v>-0.106447920640977</v>
      </c>
      <c r="V40">
        <v>19.74</v>
      </c>
      <c r="W40">
        <v>19.22</v>
      </c>
      <c r="X40" s="2">
        <f t="shared" si="2"/>
        <v>-6.99</v>
      </c>
      <c r="Y40" s="3">
        <f t="shared" si="3"/>
        <v>-0.266692102251049</v>
      </c>
      <c r="Z40" s="2">
        <f t="shared" si="4"/>
        <v>-4.2</v>
      </c>
      <c r="AA40" s="3">
        <f t="shared" si="5"/>
        <v>-0.17933390264731</v>
      </c>
      <c r="AB40">
        <v>17.7</v>
      </c>
      <c r="AC40">
        <v>17.88</v>
      </c>
      <c r="AD40">
        <v>10.22</v>
      </c>
      <c r="AE40">
        <v>10.15</v>
      </c>
      <c r="AF40">
        <v>9.19</v>
      </c>
      <c r="AG40">
        <v>9.2</v>
      </c>
      <c r="AH40">
        <v>10.08</v>
      </c>
      <c r="AI40">
        <v>10.13</v>
      </c>
      <c r="AJ40" s="2">
        <f t="shared" si="6"/>
        <v>0.930000000000001</v>
      </c>
      <c r="AK40" s="3">
        <f t="shared" si="7"/>
        <v>0.101086956521739</v>
      </c>
      <c r="AL40">
        <v>10.11</v>
      </c>
      <c r="AM40">
        <v>10.08</v>
      </c>
      <c r="AN40" s="3">
        <f t="shared" si="8"/>
        <v>-0.367779058772789</v>
      </c>
    </row>
    <row r="41" spans="1:40">
      <c r="A41">
        <v>123245</v>
      </c>
      <c r="B41" t="s">
        <v>122</v>
      </c>
      <c r="C41" s="4">
        <v>45518</v>
      </c>
      <c r="D41">
        <v>370553</v>
      </c>
      <c r="E41">
        <v>300553</v>
      </c>
      <c r="F41" t="s">
        <v>123</v>
      </c>
      <c r="G41">
        <v>0.0012028753</v>
      </c>
      <c r="H41" s="4">
        <v>45532</v>
      </c>
      <c r="I41" t="s">
        <v>121</v>
      </c>
      <c r="J41" s="4">
        <v>45163</v>
      </c>
      <c r="K41" s="4">
        <v>45226</v>
      </c>
      <c r="L41">
        <v>355</v>
      </c>
      <c r="M41">
        <v>292</v>
      </c>
      <c r="N41">
        <v>35.88</v>
      </c>
      <c r="O41">
        <v>35.23</v>
      </c>
      <c r="P41">
        <v>32.15</v>
      </c>
      <c r="Q41">
        <v>31.15</v>
      </c>
      <c r="R41">
        <v>18.51</v>
      </c>
      <c r="S41">
        <v>18.13</v>
      </c>
      <c r="T41" s="2">
        <f t="shared" si="0"/>
        <v>-13.02</v>
      </c>
      <c r="U41" s="3">
        <f t="shared" si="1"/>
        <v>-0.417977528089888</v>
      </c>
      <c r="V41">
        <v>16.15</v>
      </c>
      <c r="W41">
        <v>16.2</v>
      </c>
      <c r="X41" s="2">
        <f t="shared" si="2"/>
        <v>-14.95</v>
      </c>
      <c r="Y41" s="3">
        <f t="shared" si="3"/>
        <v>-0.479935794542536</v>
      </c>
      <c r="Z41" s="2">
        <f t="shared" si="4"/>
        <v>-1.93</v>
      </c>
      <c r="AA41" s="3">
        <f t="shared" si="5"/>
        <v>-0.106453392167678</v>
      </c>
      <c r="AB41">
        <v>14.68</v>
      </c>
      <c r="AC41">
        <v>14.79</v>
      </c>
      <c r="AD41">
        <v>11.1</v>
      </c>
      <c r="AE41">
        <v>11.23</v>
      </c>
      <c r="AF41">
        <v>10.38</v>
      </c>
      <c r="AG41">
        <v>10.45</v>
      </c>
      <c r="AH41">
        <v>9.94</v>
      </c>
      <c r="AI41">
        <v>9.92</v>
      </c>
      <c r="AJ41" s="2">
        <f t="shared" si="6"/>
        <v>-0.529999999999999</v>
      </c>
      <c r="AK41" s="3">
        <f t="shared" si="7"/>
        <v>-0.0507177033492822</v>
      </c>
      <c r="AL41">
        <v>10.41</v>
      </c>
      <c r="AM41">
        <v>10.33</v>
      </c>
      <c r="AN41" s="3">
        <f t="shared" si="8"/>
        <v>-0.429218091193254</v>
      </c>
    </row>
    <row r="42" spans="1:40">
      <c r="A42">
        <v>127106</v>
      </c>
      <c r="B42" t="s">
        <v>124</v>
      </c>
      <c r="C42" s="4">
        <v>45517</v>
      </c>
      <c r="D42">
        <v>72871</v>
      </c>
      <c r="E42">
        <v>2871</v>
      </c>
      <c r="F42" t="s">
        <v>125</v>
      </c>
      <c r="G42">
        <v>0.0004217956</v>
      </c>
      <c r="H42" s="4">
        <v>45532</v>
      </c>
      <c r="I42" t="s">
        <v>121</v>
      </c>
      <c r="J42" s="4">
        <v>45444</v>
      </c>
      <c r="K42" s="4">
        <v>45484</v>
      </c>
      <c r="L42">
        <v>73</v>
      </c>
      <c r="M42">
        <v>33</v>
      </c>
      <c r="N42">
        <v>8.04</v>
      </c>
      <c r="O42">
        <v>7.77</v>
      </c>
      <c r="P42">
        <v>7.67</v>
      </c>
      <c r="Q42">
        <v>7.71</v>
      </c>
      <c r="R42">
        <v>9.26</v>
      </c>
      <c r="S42">
        <v>9.76</v>
      </c>
      <c r="T42" s="2">
        <f t="shared" si="0"/>
        <v>2.05</v>
      </c>
      <c r="U42" s="3">
        <f t="shared" si="1"/>
        <v>0.265888456549935</v>
      </c>
      <c r="V42">
        <v>8.75</v>
      </c>
      <c r="W42">
        <v>8.75</v>
      </c>
      <c r="X42" s="2">
        <f t="shared" si="2"/>
        <v>1.04</v>
      </c>
      <c r="Y42" s="3">
        <f t="shared" si="3"/>
        <v>0.134889753566796</v>
      </c>
      <c r="Z42" s="2">
        <f t="shared" si="4"/>
        <v>-1.01</v>
      </c>
      <c r="AA42" s="3">
        <f t="shared" si="5"/>
        <v>-0.103483606557377</v>
      </c>
      <c r="AB42">
        <v>7.32</v>
      </c>
      <c r="AC42">
        <v>7.34</v>
      </c>
      <c r="AD42">
        <v>11.12</v>
      </c>
      <c r="AE42">
        <v>10.98</v>
      </c>
      <c r="AF42">
        <v>10.21</v>
      </c>
      <c r="AG42">
        <v>10.13</v>
      </c>
      <c r="AH42">
        <v>10.02</v>
      </c>
      <c r="AI42">
        <v>9.95</v>
      </c>
      <c r="AJ42" s="2">
        <f t="shared" si="6"/>
        <v>-0.180000000000001</v>
      </c>
      <c r="AK42" s="3">
        <f t="shared" si="7"/>
        <v>-0.0177690029615006</v>
      </c>
      <c r="AL42">
        <v>10.41</v>
      </c>
      <c r="AM42">
        <v>10.33</v>
      </c>
      <c r="AN42" s="3">
        <f t="shared" si="8"/>
        <v>0.152658756528297</v>
      </c>
    </row>
    <row r="43" spans="1:40">
      <c r="A43">
        <v>110096</v>
      </c>
      <c r="B43" t="s">
        <v>126</v>
      </c>
      <c r="C43" s="4">
        <v>45516</v>
      </c>
      <c r="D43">
        <v>733531</v>
      </c>
      <c r="E43">
        <v>600531</v>
      </c>
      <c r="F43" t="s">
        <v>127</v>
      </c>
      <c r="G43">
        <v>0.00408851</v>
      </c>
      <c r="H43" s="4">
        <v>45538</v>
      </c>
      <c r="I43" t="s">
        <v>40</v>
      </c>
      <c r="J43" s="4">
        <v>45322</v>
      </c>
      <c r="K43" s="4">
        <v>45477</v>
      </c>
      <c r="L43">
        <v>194</v>
      </c>
      <c r="M43">
        <v>39</v>
      </c>
      <c r="N43">
        <v>5.13</v>
      </c>
      <c r="O43">
        <v>4.96</v>
      </c>
      <c r="P43">
        <v>6.31</v>
      </c>
      <c r="Q43">
        <v>6.08</v>
      </c>
      <c r="R43">
        <v>5.43</v>
      </c>
      <c r="S43">
        <v>5.41</v>
      </c>
      <c r="T43" s="2">
        <f t="shared" si="0"/>
        <v>-0.67</v>
      </c>
      <c r="U43" s="3">
        <f t="shared" si="1"/>
        <v>-0.110197368421053</v>
      </c>
      <c r="V43">
        <v>5.27</v>
      </c>
      <c r="W43">
        <v>5.31</v>
      </c>
      <c r="X43" s="2">
        <f t="shared" si="2"/>
        <v>-0.77</v>
      </c>
      <c r="Y43" s="3">
        <f t="shared" si="3"/>
        <v>-0.126644736842105</v>
      </c>
      <c r="Z43" s="2">
        <f t="shared" si="4"/>
        <v>-0.100000000000001</v>
      </c>
      <c r="AA43" s="3">
        <f t="shared" si="5"/>
        <v>-0.0184842883548984</v>
      </c>
      <c r="AB43">
        <v>5.41</v>
      </c>
      <c r="AC43">
        <v>5.44</v>
      </c>
      <c r="AD43">
        <v>9.46</v>
      </c>
      <c r="AE43">
        <v>9.46</v>
      </c>
      <c r="AF43">
        <v>10.3</v>
      </c>
      <c r="AG43">
        <v>10.26</v>
      </c>
      <c r="AH43">
        <v>10.02</v>
      </c>
      <c r="AI43">
        <v>10.01</v>
      </c>
      <c r="AJ43" s="2">
        <f t="shared" si="6"/>
        <v>-0.25</v>
      </c>
      <c r="AK43" s="3">
        <f t="shared" si="7"/>
        <v>-0.0243664717348928</v>
      </c>
      <c r="AL43">
        <v>10.11</v>
      </c>
      <c r="AM43">
        <v>10.08</v>
      </c>
      <c r="AN43" s="3">
        <f t="shared" si="8"/>
        <v>-0.102278265107213</v>
      </c>
    </row>
    <row r="44" spans="1:40">
      <c r="A44">
        <v>118049</v>
      </c>
      <c r="B44" t="s">
        <v>128</v>
      </c>
      <c r="C44" s="4">
        <v>45511</v>
      </c>
      <c r="D44">
        <v>718403</v>
      </c>
      <c r="E44">
        <v>688403</v>
      </c>
      <c r="F44" t="s">
        <v>129</v>
      </c>
      <c r="G44">
        <v>0.00606009</v>
      </c>
      <c r="H44" s="4">
        <v>45537</v>
      </c>
      <c r="I44" t="s">
        <v>55</v>
      </c>
      <c r="J44" s="4">
        <v>45314</v>
      </c>
      <c r="K44" s="4">
        <v>45451</v>
      </c>
      <c r="L44">
        <v>197</v>
      </c>
      <c r="M44">
        <v>60</v>
      </c>
      <c r="N44">
        <v>8.03</v>
      </c>
      <c r="O44">
        <v>8.1</v>
      </c>
      <c r="P44">
        <v>8.29</v>
      </c>
      <c r="Q44">
        <v>8.84</v>
      </c>
      <c r="R44">
        <v>7.32</v>
      </c>
      <c r="S44">
        <v>7.38</v>
      </c>
      <c r="T44" s="2">
        <f t="shared" si="0"/>
        <v>-1.46</v>
      </c>
      <c r="U44" s="3">
        <f t="shared" si="1"/>
        <v>-0.165158371040724</v>
      </c>
      <c r="V44">
        <v>7.18</v>
      </c>
      <c r="W44">
        <v>7.04</v>
      </c>
      <c r="X44" s="2">
        <f t="shared" si="2"/>
        <v>-1.8</v>
      </c>
      <c r="Y44" s="3">
        <f t="shared" si="3"/>
        <v>-0.203619909502262</v>
      </c>
      <c r="Z44" s="2">
        <f t="shared" si="4"/>
        <v>-0.34</v>
      </c>
      <c r="AA44" s="3">
        <f t="shared" si="5"/>
        <v>-0.046070460704607</v>
      </c>
      <c r="AB44">
        <v>6.95</v>
      </c>
      <c r="AC44">
        <v>6.68</v>
      </c>
      <c r="AD44">
        <v>9.05</v>
      </c>
      <c r="AE44">
        <v>9.16</v>
      </c>
      <c r="AF44">
        <v>10.98</v>
      </c>
      <c r="AG44">
        <v>10.87</v>
      </c>
      <c r="AH44">
        <v>9.95</v>
      </c>
      <c r="AI44">
        <v>9.93</v>
      </c>
      <c r="AJ44" s="2">
        <f t="shared" si="6"/>
        <v>-0.94</v>
      </c>
      <c r="AK44" s="3">
        <f t="shared" si="7"/>
        <v>-0.0864765409383624</v>
      </c>
      <c r="AL44">
        <v>10.12</v>
      </c>
      <c r="AM44">
        <v>10.11</v>
      </c>
      <c r="AN44" s="3">
        <f t="shared" si="8"/>
        <v>-0.1171433685639</v>
      </c>
    </row>
    <row r="45" spans="1:40">
      <c r="A45">
        <v>123244</v>
      </c>
      <c r="B45" t="s">
        <v>130</v>
      </c>
      <c r="C45" s="4">
        <v>45505</v>
      </c>
      <c r="D45">
        <v>370893</v>
      </c>
      <c r="E45">
        <v>300893</v>
      </c>
      <c r="F45" t="s">
        <v>131</v>
      </c>
      <c r="G45">
        <v>0.0006162684</v>
      </c>
      <c r="H45" s="4">
        <v>45526</v>
      </c>
      <c r="I45" t="s">
        <v>50</v>
      </c>
      <c r="J45" s="4">
        <v>45159</v>
      </c>
      <c r="K45" s="5">
        <v>45261</v>
      </c>
      <c r="L45">
        <v>346</v>
      </c>
      <c r="M45">
        <v>244</v>
      </c>
      <c r="N45">
        <v>15.51</v>
      </c>
      <c r="O45">
        <v>15.63</v>
      </c>
      <c r="P45">
        <v>20.86</v>
      </c>
      <c r="Q45">
        <v>20.5</v>
      </c>
      <c r="R45">
        <v>19.88</v>
      </c>
      <c r="S45">
        <v>20.45</v>
      </c>
      <c r="T45" s="2">
        <f t="shared" si="0"/>
        <v>-0.0500000000000007</v>
      </c>
      <c r="U45" s="3">
        <f t="shared" si="1"/>
        <v>-0.00243902439024394</v>
      </c>
      <c r="V45">
        <v>19.2</v>
      </c>
      <c r="W45">
        <v>19.43</v>
      </c>
      <c r="X45" s="2">
        <f t="shared" si="2"/>
        <v>-1.07</v>
      </c>
      <c r="Y45" s="3">
        <f t="shared" si="3"/>
        <v>-0.0521951219512195</v>
      </c>
      <c r="Z45" s="2">
        <f t="shared" si="4"/>
        <v>-1.02</v>
      </c>
      <c r="AA45" s="3">
        <f t="shared" si="5"/>
        <v>-0.0498777506112469</v>
      </c>
      <c r="AB45">
        <v>17.97</v>
      </c>
      <c r="AC45">
        <v>17.73</v>
      </c>
      <c r="AD45">
        <v>11.56</v>
      </c>
      <c r="AE45">
        <v>11.32</v>
      </c>
      <c r="AF45">
        <v>9.65</v>
      </c>
      <c r="AG45">
        <v>9.66</v>
      </c>
      <c r="AH45">
        <v>10.25</v>
      </c>
      <c r="AI45">
        <v>10.27</v>
      </c>
      <c r="AJ45" s="2">
        <f t="shared" si="6"/>
        <v>0.609999999999999</v>
      </c>
      <c r="AK45" s="3">
        <f t="shared" si="7"/>
        <v>0.0631469979296066</v>
      </c>
      <c r="AL45">
        <v>10.34</v>
      </c>
      <c r="AM45">
        <v>10.38</v>
      </c>
      <c r="AN45" s="3">
        <f t="shared" si="8"/>
        <v>-0.115342119880826</v>
      </c>
    </row>
    <row r="46" spans="1:40">
      <c r="A46">
        <v>111021</v>
      </c>
      <c r="B46" t="s">
        <v>132</v>
      </c>
      <c r="C46" s="4">
        <v>45499</v>
      </c>
      <c r="D46">
        <v>713116</v>
      </c>
      <c r="E46">
        <v>605116</v>
      </c>
      <c r="F46" t="s">
        <v>133</v>
      </c>
      <c r="G46">
        <v>0.00154693</v>
      </c>
      <c r="H46" s="4">
        <v>45519</v>
      </c>
      <c r="I46" t="s">
        <v>55</v>
      </c>
      <c r="J46" s="4">
        <v>45315</v>
      </c>
      <c r="K46" s="4">
        <v>45468</v>
      </c>
      <c r="L46">
        <v>184</v>
      </c>
      <c r="M46">
        <v>31</v>
      </c>
      <c r="N46">
        <v>22.36</v>
      </c>
      <c r="O46">
        <v>21.92</v>
      </c>
      <c r="P46">
        <v>22.52</v>
      </c>
      <c r="Q46">
        <v>21.87</v>
      </c>
      <c r="R46">
        <v>23.49</v>
      </c>
      <c r="S46">
        <v>22.96</v>
      </c>
      <c r="T46" s="2">
        <f t="shared" si="0"/>
        <v>1.09</v>
      </c>
      <c r="U46" s="3">
        <f t="shared" si="1"/>
        <v>0.0498399634202103</v>
      </c>
      <c r="V46">
        <v>22.1</v>
      </c>
      <c r="W46">
        <v>22.21</v>
      </c>
      <c r="X46" s="2">
        <f t="shared" si="2"/>
        <v>0.34</v>
      </c>
      <c r="Y46" s="3">
        <f t="shared" si="3"/>
        <v>0.015546410608139</v>
      </c>
      <c r="Z46" s="2">
        <f t="shared" si="4"/>
        <v>-0.75</v>
      </c>
      <c r="AA46" s="3">
        <f t="shared" si="5"/>
        <v>-0.0326655052264808</v>
      </c>
      <c r="AB46">
        <v>22.51</v>
      </c>
      <c r="AC46">
        <v>22.66</v>
      </c>
      <c r="AD46">
        <v>9.23</v>
      </c>
      <c r="AE46">
        <v>9.33</v>
      </c>
      <c r="AF46">
        <v>9.99</v>
      </c>
      <c r="AG46">
        <v>10.08</v>
      </c>
      <c r="AH46">
        <v>10.1</v>
      </c>
      <c r="AI46">
        <v>10.03</v>
      </c>
      <c r="AJ46" s="2">
        <f t="shared" si="6"/>
        <v>-0.0500000000000007</v>
      </c>
      <c r="AK46" s="3">
        <f t="shared" si="7"/>
        <v>-0.00496031746031753</v>
      </c>
      <c r="AL46">
        <v>9.92</v>
      </c>
      <c r="AM46">
        <v>10.03</v>
      </c>
      <c r="AN46" s="3">
        <f t="shared" si="8"/>
        <v>0.0205067280684565</v>
      </c>
    </row>
    <row r="47" spans="1:40">
      <c r="A47">
        <v>111020</v>
      </c>
      <c r="B47" t="s">
        <v>134</v>
      </c>
      <c r="C47" s="4">
        <v>45495</v>
      </c>
      <c r="D47">
        <v>713166</v>
      </c>
      <c r="E47">
        <v>605166</v>
      </c>
      <c r="F47" t="s">
        <v>135</v>
      </c>
      <c r="G47">
        <v>0.00085277</v>
      </c>
      <c r="H47" s="4">
        <v>45519</v>
      </c>
      <c r="I47" t="s">
        <v>55</v>
      </c>
      <c r="J47" s="4">
        <v>45323</v>
      </c>
      <c r="K47" s="4">
        <v>45450</v>
      </c>
      <c r="L47">
        <v>172</v>
      </c>
      <c r="M47">
        <v>45</v>
      </c>
      <c r="N47">
        <v>7.41</v>
      </c>
      <c r="O47">
        <v>7.18</v>
      </c>
      <c r="P47">
        <v>10.5</v>
      </c>
      <c r="Q47">
        <v>10.7</v>
      </c>
      <c r="R47">
        <v>10.47</v>
      </c>
      <c r="S47">
        <v>10.43</v>
      </c>
      <c r="T47" s="2">
        <f t="shared" si="0"/>
        <v>-0.27</v>
      </c>
      <c r="U47" s="3">
        <f t="shared" si="1"/>
        <v>-0.025233644859813</v>
      </c>
      <c r="V47">
        <v>9.7</v>
      </c>
      <c r="W47">
        <v>9.81</v>
      </c>
      <c r="X47" s="2">
        <f t="shared" si="2"/>
        <v>-0.889999999999999</v>
      </c>
      <c r="Y47" s="3">
        <f t="shared" si="3"/>
        <v>-0.0831775700934578</v>
      </c>
      <c r="Z47" s="2">
        <f t="shared" si="4"/>
        <v>-0.619999999999999</v>
      </c>
      <c r="AA47" s="3">
        <f t="shared" si="5"/>
        <v>-0.059443911792905</v>
      </c>
      <c r="AB47">
        <v>9.09</v>
      </c>
      <c r="AC47">
        <v>9</v>
      </c>
      <c r="AD47">
        <v>9.41</v>
      </c>
      <c r="AE47">
        <v>9.41</v>
      </c>
      <c r="AF47">
        <v>10.92</v>
      </c>
      <c r="AG47">
        <v>10.99</v>
      </c>
      <c r="AH47">
        <v>10.36</v>
      </c>
      <c r="AI47">
        <v>10.23</v>
      </c>
      <c r="AJ47" s="2">
        <f t="shared" si="6"/>
        <v>-0.76</v>
      </c>
      <c r="AK47" s="3">
        <f t="shared" si="7"/>
        <v>-0.0691537761601456</v>
      </c>
      <c r="AL47">
        <v>9.92</v>
      </c>
      <c r="AM47">
        <v>10.03</v>
      </c>
      <c r="AN47" s="3">
        <f t="shared" si="8"/>
        <v>-0.0140237939333123</v>
      </c>
    </row>
    <row r="48" spans="1:40">
      <c r="A48">
        <v>113687</v>
      </c>
      <c r="B48" t="s">
        <v>136</v>
      </c>
      <c r="C48" s="4">
        <v>45485</v>
      </c>
      <c r="D48">
        <v>754067</v>
      </c>
      <c r="E48">
        <v>603067</v>
      </c>
      <c r="F48" t="s">
        <v>137</v>
      </c>
      <c r="G48">
        <v>0.00133007</v>
      </c>
      <c r="H48" s="4">
        <v>45506</v>
      </c>
      <c r="I48" t="s">
        <v>40</v>
      </c>
      <c r="J48" s="4">
        <v>45316</v>
      </c>
      <c r="K48" s="4">
        <v>45456</v>
      </c>
      <c r="L48">
        <v>169</v>
      </c>
      <c r="M48">
        <v>29</v>
      </c>
      <c r="N48">
        <v>6.14</v>
      </c>
      <c r="O48">
        <v>6.26</v>
      </c>
      <c r="P48">
        <v>7.46</v>
      </c>
      <c r="Q48">
        <v>7.43</v>
      </c>
      <c r="R48">
        <v>8.24</v>
      </c>
      <c r="S48">
        <v>8.52</v>
      </c>
      <c r="T48" s="2">
        <f t="shared" si="0"/>
        <v>1.09</v>
      </c>
      <c r="U48" s="3">
        <f t="shared" si="1"/>
        <v>0.146702557200538</v>
      </c>
      <c r="V48">
        <v>8.29</v>
      </c>
      <c r="W48">
        <v>8.15</v>
      </c>
      <c r="X48" s="2">
        <f t="shared" si="2"/>
        <v>0.720000000000001</v>
      </c>
      <c r="Y48" s="3">
        <f t="shared" si="3"/>
        <v>0.0969044414535667</v>
      </c>
      <c r="Z48" s="2">
        <f t="shared" si="4"/>
        <v>-0.369999999999999</v>
      </c>
      <c r="AA48" s="3">
        <f t="shared" si="5"/>
        <v>-0.0434272300469483</v>
      </c>
      <c r="AB48">
        <v>8.36</v>
      </c>
      <c r="AC48">
        <v>8.46</v>
      </c>
      <c r="AD48">
        <v>9.33</v>
      </c>
      <c r="AE48">
        <v>9.5</v>
      </c>
      <c r="AF48">
        <v>10.89</v>
      </c>
      <c r="AG48">
        <v>10.8</v>
      </c>
      <c r="AH48">
        <v>10.12</v>
      </c>
      <c r="AI48">
        <v>10.31</v>
      </c>
      <c r="AJ48" s="2">
        <f t="shared" si="6"/>
        <v>-0.49</v>
      </c>
      <c r="AK48" s="3">
        <f t="shared" si="7"/>
        <v>-0.0453703703703704</v>
      </c>
      <c r="AL48">
        <v>10.22</v>
      </c>
      <c r="AM48">
        <v>10.14</v>
      </c>
      <c r="AN48" s="3">
        <f t="shared" si="8"/>
        <v>0.142274811823937</v>
      </c>
    </row>
    <row r="49" spans="1:40">
      <c r="A49">
        <v>123243</v>
      </c>
      <c r="B49" t="s">
        <v>138</v>
      </c>
      <c r="C49" s="4">
        <v>45483</v>
      </c>
      <c r="D49">
        <v>371081</v>
      </c>
      <c r="E49">
        <v>301081</v>
      </c>
      <c r="F49" t="s">
        <v>139</v>
      </c>
      <c r="G49">
        <v>0.0010868486</v>
      </c>
      <c r="H49" s="4">
        <v>45499</v>
      </c>
      <c r="I49" t="s">
        <v>50</v>
      </c>
      <c r="J49" s="4">
        <v>45261</v>
      </c>
      <c r="K49" s="4">
        <v>45306</v>
      </c>
      <c r="L49">
        <v>222</v>
      </c>
      <c r="M49">
        <v>177</v>
      </c>
      <c r="N49">
        <v>10.56</v>
      </c>
      <c r="O49">
        <v>10.76</v>
      </c>
      <c r="P49">
        <v>10.4</v>
      </c>
      <c r="Q49">
        <v>10.38</v>
      </c>
      <c r="R49">
        <v>7.37</v>
      </c>
      <c r="S49">
        <v>7.5</v>
      </c>
      <c r="T49" s="2">
        <f t="shared" si="0"/>
        <v>-2.88</v>
      </c>
      <c r="U49" s="3">
        <f t="shared" si="1"/>
        <v>-0.277456647398844</v>
      </c>
      <c r="V49">
        <v>6.75</v>
      </c>
      <c r="W49">
        <v>6.66</v>
      </c>
      <c r="X49" s="2">
        <f t="shared" si="2"/>
        <v>-3.72</v>
      </c>
      <c r="Y49" s="3">
        <f t="shared" si="3"/>
        <v>-0.358381502890173</v>
      </c>
      <c r="Z49" s="2">
        <f t="shared" si="4"/>
        <v>-0.84</v>
      </c>
      <c r="AA49" s="3">
        <f t="shared" si="5"/>
        <v>-0.112</v>
      </c>
      <c r="AB49">
        <v>6.6</v>
      </c>
      <c r="AC49">
        <v>6.69</v>
      </c>
      <c r="AD49">
        <v>9.65</v>
      </c>
      <c r="AE49">
        <v>9.66</v>
      </c>
      <c r="AF49">
        <v>9.16</v>
      </c>
      <c r="AG49">
        <v>9.21</v>
      </c>
      <c r="AH49">
        <v>10.07</v>
      </c>
      <c r="AI49">
        <v>10.14</v>
      </c>
      <c r="AJ49" s="2">
        <f t="shared" si="6"/>
        <v>0.93</v>
      </c>
      <c r="AK49" s="3">
        <f t="shared" si="7"/>
        <v>0.100977198697068</v>
      </c>
      <c r="AL49">
        <v>10.1</v>
      </c>
      <c r="AM49">
        <v>10.03</v>
      </c>
      <c r="AN49" s="3">
        <f t="shared" si="8"/>
        <v>-0.459358701587242</v>
      </c>
    </row>
    <row r="50" spans="1:40">
      <c r="A50">
        <v>123242</v>
      </c>
      <c r="B50" t="s">
        <v>140</v>
      </c>
      <c r="C50" s="4">
        <v>45481</v>
      </c>
      <c r="D50">
        <v>371131</v>
      </c>
      <c r="E50">
        <v>301131</v>
      </c>
      <c r="F50" t="s">
        <v>141</v>
      </c>
      <c r="G50">
        <v>0.0008402282</v>
      </c>
      <c r="H50" s="4">
        <v>45502</v>
      </c>
      <c r="I50" t="s">
        <v>50</v>
      </c>
      <c r="J50" s="4">
        <v>45289</v>
      </c>
      <c r="K50" s="4">
        <v>45328</v>
      </c>
      <c r="L50">
        <v>192</v>
      </c>
      <c r="M50">
        <v>153</v>
      </c>
      <c r="N50">
        <v>47.76</v>
      </c>
      <c r="O50">
        <v>49.72</v>
      </c>
      <c r="P50">
        <v>27.48</v>
      </c>
      <c r="Q50">
        <v>28.1</v>
      </c>
      <c r="R50">
        <v>38.28</v>
      </c>
      <c r="S50">
        <v>39.44</v>
      </c>
      <c r="T50" s="2">
        <f t="shared" si="0"/>
        <v>11.34</v>
      </c>
      <c r="U50" s="3">
        <f t="shared" si="1"/>
        <v>0.40355871886121</v>
      </c>
      <c r="V50">
        <v>35.25</v>
      </c>
      <c r="W50">
        <v>32.93</v>
      </c>
      <c r="X50" s="2">
        <f t="shared" si="2"/>
        <v>4.83</v>
      </c>
      <c r="Y50" s="3">
        <f t="shared" si="3"/>
        <v>0.171886120996441</v>
      </c>
      <c r="Z50" s="2">
        <f t="shared" si="4"/>
        <v>-6.51</v>
      </c>
      <c r="AA50" s="3">
        <f t="shared" si="5"/>
        <v>-0.165060851926978</v>
      </c>
      <c r="AB50">
        <v>33.78</v>
      </c>
      <c r="AC50">
        <v>33.54</v>
      </c>
      <c r="AD50">
        <v>9.42</v>
      </c>
      <c r="AE50">
        <v>9.39</v>
      </c>
      <c r="AF50">
        <v>9.3</v>
      </c>
      <c r="AG50">
        <v>9.68</v>
      </c>
      <c r="AH50">
        <v>9.94</v>
      </c>
      <c r="AI50">
        <v>9.93</v>
      </c>
      <c r="AJ50" s="2">
        <f t="shared" si="6"/>
        <v>0.25</v>
      </c>
      <c r="AK50" s="3">
        <f t="shared" si="7"/>
        <v>0.0258264462809917</v>
      </c>
      <c r="AL50">
        <v>10.02</v>
      </c>
      <c r="AM50">
        <v>10.11</v>
      </c>
      <c r="AN50" s="3">
        <f t="shared" si="8"/>
        <v>0.146059674715449</v>
      </c>
    </row>
    <row r="51" spans="1:40">
      <c r="A51">
        <v>123241</v>
      </c>
      <c r="B51" t="s">
        <v>142</v>
      </c>
      <c r="C51" s="4">
        <v>45478</v>
      </c>
      <c r="D51">
        <v>370870</v>
      </c>
      <c r="E51">
        <v>300870</v>
      </c>
      <c r="F51" t="s">
        <v>143</v>
      </c>
      <c r="G51">
        <v>0.0026145421</v>
      </c>
      <c r="H51" s="4">
        <v>45499</v>
      </c>
      <c r="I51" t="s">
        <v>55</v>
      </c>
      <c r="J51" s="4">
        <v>45289</v>
      </c>
      <c r="K51" s="4">
        <v>45329</v>
      </c>
      <c r="L51">
        <v>189</v>
      </c>
      <c r="M51">
        <v>149</v>
      </c>
      <c r="N51">
        <v>41.99</v>
      </c>
      <c r="O51">
        <v>43.05</v>
      </c>
      <c r="P51">
        <v>27</v>
      </c>
      <c r="Q51">
        <v>26.26</v>
      </c>
      <c r="R51">
        <v>39.67</v>
      </c>
      <c r="S51">
        <v>38.67</v>
      </c>
      <c r="T51" s="2">
        <f t="shared" si="0"/>
        <v>12.41</v>
      </c>
      <c r="U51" s="3">
        <f t="shared" si="1"/>
        <v>0.472581873571973</v>
      </c>
      <c r="V51">
        <v>37.51</v>
      </c>
      <c r="W51">
        <v>38.62</v>
      </c>
      <c r="X51" s="2">
        <f t="shared" si="2"/>
        <v>12.36</v>
      </c>
      <c r="Y51" s="3">
        <f t="shared" si="3"/>
        <v>0.47067783701447</v>
      </c>
      <c r="Z51" s="2">
        <f t="shared" si="4"/>
        <v>-0.0500000000000043</v>
      </c>
      <c r="AA51" s="3">
        <f t="shared" si="5"/>
        <v>-0.00129299198344981</v>
      </c>
      <c r="AB51">
        <v>36.43</v>
      </c>
      <c r="AC51">
        <v>37.32</v>
      </c>
      <c r="AD51">
        <v>9.42</v>
      </c>
      <c r="AE51">
        <v>9.39</v>
      </c>
      <c r="AF51">
        <v>9.62</v>
      </c>
      <c r="AG51">
        <v>9.61</v>
      </c>
      <c r="AH51">
        <v>10.26</v>
      </c>
      <c r="AI51">
        <v>9.97</v>
      </c>
      <c r="AJ51" s="2">
        <f t="shared" si="6"/>
        <v>0.360000000000001</v>
      </c>
      <c r="AK51" s="3">
        <f t="shared" si="7"/>
        <v>0.0374609781477629</v>
      </c>
      <c r="AL51">
        <v>10.1</v>
      </c>
      <c r="AM51">
        <v>10.03</v>
      </c>
      <c r="AN51" s="3">
        <f t="shared" si="8"/>
        <v>0.433216858866708</v>
      </c>
    </row>
    <row r="52" spans="1:40">
      <c r="A52">
        <v>113686</v>
      </c>
      <c r="B52" t="s">
        <v>144</v>
      </c>
      <c r="C52" s="4">
        <v>45475</v>
      </c>
      <c r="D52">
        <v>754289</v>
      </c>
      <c r="E52">
        <v>603289</v>
      </c>
      <c r="F52" t="s">
        <v>145</v>
      </c>
      <c r="G52">
        <v>0.00058458</v>
      </c>
      <c r="H52" s="4">
        <v>45497</v>
      </c>
      <c r="I52" t="s">
        <v>55</v>
      </c>
      <c r="J52" s="4">
        <v>45325</v>
      </c>
      <c r="K52" s="4">
        <v>45433</v>
      </c>
      <c r="L52">
        <v>150</v>
      </c>
      <c r="M52">
        <v>42</v>
      </c>
      <c r="N52">
        <v>6.9</v>
      </c>
      <c r="O52">
        <v>6.21</v>
      </c>
      <c r="P52">
        <v>9.15</v>
      </c>
      <c r="Q52">
        <v>8.96</v>
      </c>
      <c r="R52">
        <v>8.69</v>
      </c>
      <c r="S52">
        <v>9.18</v>
      </c>
      <c r="T52" s="2">
        <f t="shared" si="0"/>
        <v>0.219999999999999</v>
      </c>
      <c r="U52" s="3">
        <f t="shared" si="1"/>
        <v>0.0245535714285713</v>
      </c>
      <c r="V52">
        <v>8.27</v>
      </c>
      <c r="W52">
        <v>8.46</v>
      </c>
      <c r="X52" s="2">
        <f t="shared" si="2"/>
        <v>-0.5</v>
      </c>
      <c r="Y52" s="3">
        <f t="shared" si="3"/>
        <v>-0.0558035714285714</v>
      </c>
      <c r="Z52" s="2">
        <f t="shared" si="4"/>
        <v>-0.719999999999999</v>
      </c>
      <c r="AA52" s="3">
        <f t="shared" si="5"/>
        <v>-0.0784313725490195</v>
      </c>
      <c r="AB52">
        <v>7.69</v>
      </c>
      <c r="AC52">
        <v>7.48</v>
      </c>
      <c r="AD52">
        <v>9.19</v>
      </c>
      <c r="AE52">
        <v>9.38</v>
      </c>
      <c r="AF52">
        <v>11.32</v>
      </c>
      <c r="AG52">
        <v>11.55</v>
      </c>
      <c r="AH52">
        <v>10.3</v>
      </c>
      <c r="AI52">
        <v>10.4</v>
      </c>
      <c r="AJ52" s="2">
        <f t="shared" si="6"/>
        <v>-1.15</v>
      </c>
      <c r="AK52" s="3">
        <f t="shared" si="7"/>
        <v>-0.0995670995670996</v>
      </c>
      <c r="AL52">
        <v>10.18</v>
      </c>
      <c r="AM52">
        <v>10.13</v>
      </c>
      <c r="AN52" s="3">
        <f t="shared" si="8"/>
        <v>0.0437635281385282</v>
      </c>
    </row>
    <row r="53" spans="1:40">
      <c r="A53">
        <v>118048</v>
      </c>
      <c r="B53" t="s">
        <v>146</v>
      </c>
      <c r="C53" s="4">
        <v>45475</v>
      </c>
      <c r="D53">
        <v>718135</v>
      </c>
      <c r="E53">
        <v>688135</v>
      </c>
      <c r="F53" t="s">
        <v>147</v>
      </c>
      <c r="G53">
        <v>0.00446186</v>
      </c>
      <c r="H53" s="4">
        <v>45492</v>
      </c>
      <c r="I53" t="s">
        <v>50</v>
      </c>
      <c r="J53" s="4">
        <v>45275</v>
      </c>
      <c r="K53" s="4">
        <v>45352</v>
      </c>
      <c r="L53">
        <v>200</v>
      </c>
      <c r="M53">
        <v>123</v>
      </c>
      <c r="N53">
        <v>22.24</v>
      </c>
      <c r="O53">
        <v>22.36</v>
      </c>
      <c r="P53">
        <v>18</v>
      </c>
      <c r="Q53">
        <v>17.92</v>
      </c>
      <c r="R53">
        <v>16.11</v>
      </c>
      <c r="S53">
        <v>15.72</v>
      </c>
      <c r="T53" s="2">
        <f t="shared" si="0"/>
        <v>-2.2</v>
      </c>
      <c r="U53" s="3">
        <f t="shared" si="1"/>
        <v>-0.122767857142857</v>
      </c>
      <c r="V53">
        <v>15.01</v>
      </c>
      <c r="W53">
        <v>14.79</v>
      </c>
      <c r="X53" s="2">
        <f t="shared" si="2"/>
        <v>-3.13</v>
      </c>
      <c r="Y53" s="3">
        <f t="shared" si="3"/>
        <v>-0.174665178571429</v>
      </c>
      <c r="Z53" s="2">
        <f t="shared" si="4"/>
        <v>-0.930000000000001</v>
      </c>
      <c r="AA53" s="3">
        <f t="shared" si="5"/>
        <v>-0.0591603053435115</v>
      </c>
      <c r="AB53">
        <v>14.65</v>
      </c>
      <c r="AC53">
        <v>15.78</v>
      </c>
      <c r="AD53">
        <v>9.2</v>
      </c>
      <c r="AE53">
        <v>9.21</v>
      </c>
      <c r="AF53">
        <v>10.59</v>
      </c>
      <c r="AG53">
        <v>10.49</v>
      </c>
      <c r="AH53">
        <v>10.3</v>
      </c>
      <c r="AI53">
        <v>10.4</v>
      </c>
      <c r="AJ53" s="2">
        <f t="shared" si="6"/>
        <v>-0.0899999999999999</v>
      </c>
      <c r="AK53" s="3">
        <f t="shared" si="7"/>
        <v>-0.00857959961868445</v>
      </c>
      <c r="AL53">
        <v>10.38</v>
      </c>
      <c r="AM53">
        <v>10.37</v>
      </c>
      <c r="AN53" s="3">
        <f t="shared" si="8"/>
        <v>-0.166085578952744</v>
      </c>
    </row>
    <row r="54" spans="1:40">
      <c r="A54">
        <v>113685</v>
      </c>
      <c r="B54" t="s">
        <v>148</v>
      </c>
      <c r="C54" s="4">
        <v>45457</v>
      </c>
      <c r="D54">
        <v>754305</v>
      </c>
      <c r="E54">
        <v>603305</v>
      </c>
      <c r="F54" t="s">
        <v>149</v>
      </c>
      <c r="G54">
        <v>0.03292173</v>
      </c>
      <c r="H54" s="4">
        <v>45483</v>
      </c>
      <c r="I54" t="s">
        <v>55</v>
      </c>
      <c r="J54" s="4">
        <v>45127</v>
      </c>
      <c r="K54" s="4">
        <v>45427</v>
      </c>
      <c r="L54">
        <v>330</v>
      </c>
      <c r="M54">
        <v>30</v>
      </c>
      <c r="N54">
        <v>26.12</v>
      </c>
      <c r="O54">
        <v>25.05</v>
      </c>
      <c r="P54">
        <v>13.24</v>
      </c>
      <c r="Q54">
        <v>12.92</v>
      </c>
      <c r="R54">
        <v>12.05</v>
      </c>
      <c r="S54">
        <v>12.18</v>
      </c>
      <c r="T54" s="2">
        <f t="shared" si="0"/>
        <v>-0.74</v>
      </c>
      <c r="U54" s="3">
        <f t="shared" si="1"/>
        <v>-0.0572755417956657</v>
      </c>
      <c r="V54">
        <v>11.67</v>
      </c>
      <c r="W54">
        <v>11.83</v>
      </c>
      <c r="X54" s="2">
        <f t="shared" si="2"/>
        <v>-1.09</v>
      </c>
      <c r="Y54" s="3">
        <f t="shared" si="3"/>
        <v>-0.0843653250773994</v>
      </c>
      <c r="Z54" s="2">
        <f t="shared" si="4"/>
        <v>-0.35</v>
      </c>
      <c r="AA54" s="3">
        <f t="shared" si="5"/>
        <v>-0.028735632183908</v>
      </c>
      <c r="AB54">
        <v>9.78</v>
      </c>
      <c r="AC54">
        <v>9.99</v>
      </c>
      <c r="AD54">
        <v>11.33</v>
      </c>
      <c r="AE54">
        <v>11.32</v>
      </c>
      <c r="AF54">
        <v>10.9</v>
      </c>
      <c r="AG54">
        <v>10.83</v>
      </c>
      <c r="AH54">
        <v>10.15</v>
      </c>
      <c r="AI54">
        <v>10.18</v>
      </c>
      <c r="AJ54" s="2">
        <f t="shared" si="6"/>
        <v>-0.65</v>
      </c>
      <c r="AK54" s="3">
        <f t="shared" si="7"/>
        <v>-0.0600184672206833</v>
      </c>
      <c r="AL54">
        <v>10.07</v>
      </c>
      <c r="AM54">
        <v>10.14</v>
      </c>
      <c r="AN54" s="3">
        <f t="shared" si="8"/>
        <v>-0.0243468578567161</v>
      </c>
    </row>
    <row r="55" spans="1:40">
      <c r="A55">
        <v>111019</v>
      </c>
      <c r="B55" t="s">
        <v>150</v>
      </c>
      <c r="C55" s="4">
        <v>45399</v>
      </c>
      <c r="D55">
        <v>713366</v>
      </c>
      <c r="E55">
        <v>605366</v>
      </c>
      <c r="F55" t="s">
        <v>151</v>
      </c>
      <c r="G55">
        <v>0.00419888</v>
      </c>
      <c r="H55" s="4">
        <v>45426</v>
      </c>
      <c r="I55" t="s">
        <v>55</v>
      </c>
      <c r="J55" s="4">
        <v>45209</v>
      </c>
      <c r="K55" s="4">
        <v>45315</v>
      </c>
      <c r="L55">
        <v>190</v>
      </c>
      <c r="M55">
        <v>84</v>
      </c>
      <c r="N55">
        <v>8.15</v>
      </c>
      <c r="O55">
        <v>8.1</v>
      </c>
      <c r="P55">
        <v>8.67</v>
      </c>
      <c r="Q55">
        <v>8.91</v>
      </c>
      <c r="R55">
        <v>7.03</v>
      </c>
      <c r="S55">
        <v>6.85</v>
      </c>
      <c r="T55" s="2">
        <f t="shared" si="0"/>
        <v>-2.06</v>
      </c>
      <c r="U55" s="3">
        <f t="shared" si="1"/>
        <v>-0.231200897867565</v>
      </c>
      <c r="V55">
        <v>6.56</v>
      </c>
      <c r="W55">
        <v>6.84</v>
      </c>
      <c r="X55" s="2">
        <f t="shared" si="2"/>
        <v>-2.07</v>
      </c>
      <c r="Y55" s="3">
        <f t="shared" si="3"/>
        <v>-0.232323232323232</v>
      </c>
      <c r="Z55" s="2">
        <f t="shared" si="4"/>
        <v>-0.00999999999999979</v>
      </c>
      <c r="AA55" s="3">
        <f t="shared" si="5"/>
        <v>-0.00145985401459851</v>
      </c>
      <c r="AB55">
        <v>7.08</v>
      </c>
      <c r="AC55">
        <v>7.08</v>
      </c>
      <c r="AD55">
        <v>11.19</v>
      </c>
      <c r="AE55">
        <v>11.02</v>
      </c>
      <c r="AF55">
        <v>9.23</v>
      </c>
      <c r="AG55">
        <v>9.33</v>
      </c>
      <c r="AH55">
        <v>10.26</v>
      </c>
      <c r="AI55">
        <v>10.62</v>
      </c>
      <c r="AJ55" s="2">
        <f t="shared" si="6"/>
        <v>1.29</v>
      </c>
      <c r="AK55" s="3">
        <f t="shared" si="7"/>
        <v>0.138263665594855</v>
      </c>
      <c r="AL55">
        <v>11</v>
      </c>
      <c r="AM55">
        <v>10.91</v>
      </c>
      <c r="AN55" s="3">
        <f t="shared" si="8"/>
        <v>-0.370586897918088</v>
      </c>
    </row>
    <row r="56" spans="1:40">
      <c r="A56">
        <v>113684</v>
      </c>
      <c r="B56" t="s">
        <v>152</v>
      </c>
      <c r="C56" s="4">
        <v>45383</v>
      </c>
      <c r="D56">
        <v>754319</v>
      </c>
      <c r="E56">
        <v>603319</v>
      </c>
      <c r="F56" t="s">
        <v>153</v>
      </c>
      <c r="G56">
        <v>0.00159843</v>
      </c>
      <c r="H56" s="4">
        <v>45411</v>
      </c>
      <c r="I56" t="s">
        <v>55</v>
      </c>
      <c r="J56" s="4">
        <v>45157</v>
      </c>
      <c r="K56" s="5">
        <v>45261</v>
      </c>
      <c r="L56">
        <v>226</v>
      </c>
      <c r="M56">
        <v>122</v>
      </c>
      <c r="N56">
        <v>11.24</v>
      </c>
      <c r="O56">
        <v>11.31</v>
      </c>
      <c r="P56">
        <v>13.24</v>
      </c>
      <c r="Q56">
        <v>13.13</v>
      </c>
      <c r="R56">
        <v>12.34</v>
      </c>
      <c r="S56">
        <v>12.31</v>
      </c>
      <c r="T56" s="2">
        <f t="shared" si="0"/>
        <v>-0.82</v>
      </c>
      <c r="U56" s="3">
        <f t="shared" si="1"/>
        <v>-0.0624523990860625</v>
      </c>
      <c r="V56">
        <v>11.81</v>
      </c>
      <c r="W56">
        <v>12.15</v>
      </c>
      <c r="X56" s="2">
        <f t="shared" si="2"/>
        <v>-0.98</v>
      </c>
      <c r="Y56" s="3">
        <f t="shared" si="3"/>
        <v>-0.0746382330540747</v>
      </c>
      <c r="Z56" s="2">
        <f t="shared" si="4"/>
        <v>-0.16</v>
      </c>
      <c r="AA56" s="3">
        <f t="shared" si="5"/>
        <v>-0.0129975629569456</v>
      </c>
      <c r="AB56">
        <v>12.42</v>
      </c>
      <c r="AC56">
        <v>12.46</v>
      </c>
      <c r="AD56">
        <v>11.56</v>
      </c>
      <c r="AE56">
        <v>11.32</v>
      </c>
      <c r="AF56">
        <v>9.65</v>
      </c>
      <c r="AG56">
        <v>9.66</v>
      </c>
      <c r="AH56">
        <v>10.52</v>
      </c>
      <c r="AI56">
        <v>10.64</v>
      </c>
      <c r="AJ56" s="2">
        <f t="shared" si="6"/>
        <v>0.98</v>
      </c>
      <c r="AK56" s="3">
        <f t="shared" si="7"/>
        <v>0.101449275362319</v>
      </c>
      <c r="AL56">
        <v>10.56</v>
      </c>
      <c r="AM56">
        <v>10.81</v>
      </c>
      <c r="AN56" s="3">
        <f t="shared" si="8"/>
        <v>-0.176087508416394</v>
      </c>
    </row>
    <row r="57" spans="1:40">
      <c r="A57">
        <v>113683</v>
      </c>
      <c r="B57" t="s">
        <v>154</v>
      </c>
      <c r="C57" s="4">
        <v>45379</v>
      </c>
      <c r="D57">
        <v>754568</v>
      </c>
      <c r="E57">
        <v>603568</v>
      </c>
      <c r="F57" t="s">
        <v>155</v>
      </c>
      <c r="G57">
        <v>0.00033243</v>
      </c>
      <c r="H57" s="4">
        <v>45404</v>
      </c>
      <c r="I57" t="s">
        <v>40</v>
      </c>
      <c r="J57" s="4">
        <v>45274</v>
      </c>
      <c r="K57" s="4">
        <v>45352</v>
      </c>
      <c r="L57">
        <v>105</v>
      </c>
      <c r="M57">
        <v>27</v>
      </c>
      <c r="N57">
        <v>16.48</v>
      </c>
      <c r="O57">
        <v>16.63</v>
      </c>
      <c r="P57">
        <v>17.28</v>
      </c>
      <c r="Q57">
        <v>17.38</v>
      </c>
      <c r="R57">
        <v>17.65</v>
      </c>
      <c r="S57">
        <v>17.6</v>
      </c>
      <c r="T57" s="2">
        <f t="shared" si="0"/>
        <v>0.220000000000002</v>
      </c>
      <c r="U57" s="3">
        <f t="shared" si="1"/>
        <v>0.0126582278481014</v>
      </c>
      <c r="V57">
        <v>17.32</v>
      </c>
      <c r="W57">
        <v>17.51</v>
      </c>
      <c r="X57" s="2">
        <f t="shared" si="2"/>
        <v>0.130000000000003</v>
      </c>
      <c r="Y57" s="3">
        <f t="shared" si="3"/>
        <v>0.0074798619102418</v>
      </c>
      <c r="Z57" s="2">
        <f t="shared" si="4"/>
        <v>-0.0899999999999999</v>
      </c>
      <c r="AA57" s="3">
        <f t="shared" si="5"/>
        <v>-0.00511363636363635</v>
      </c>
      <c r="AB57">
        <v>19.58</v>
      </c>
      <c r="AC57">
        <v>19.36</v>
      </c>
      <c r="AD57">
        <v>9.21</v>
      </c>
      <c r="AE57">
        <v>9.15</v>
      </c>
      <c r="AF57">
        <v>10.59</v>
      </c>
      <c r="AG57">
        <v>10.49</v>
      </c>
      <c r="AH57">
        <v>10.51</v>
      </c>
      <c r="AI57">
        <v>10.49</v>
      </c>
      <c r="AJ57" s="2">
        <f t="shared" si="6"/>
        <v>0</v>
      </c>
      <c r="AK57" s="3">
        <f t="shared" si="7"/>
        <v>0</v>
      </c>
      <c r="AL57">
        <v>10.64</v>
      </c>
      <c r="AM57">
        <v>10.5</v>
      </c>
      <c r="AN57" s="3">
        <f t="shared" si="8"/>
        <v>0.0074798619102418</v>
      </c>
    </row>
    <row r="58" spans="1:40">
      <c r="A58">
        <v>113682</v>
      </c>
      <c r="B58" t="s">
        <v>156</v>
      </c>
      <c r="C58" s="4">
        <v>45355</v>
      </c>
      <c r="D58">
        <v>754939</v>
      </c>
      <c r="E58">
        <v>603939</v>
      </c>
      <c r="F58" t="s">
        <v>157</v>
      </c>
      <c r="G58">
        <v>0.01059669</v>
      </c>
      <c r="H58" s="4">
        <v>45378</v>
      </c>
      <c r="I58" t="s">
        <v>40</v>
      </c>
      <c r="J58" s="4">
        <v>45248</v>
      </c>
      <c r="K58" s="5">
        <v>45315</v>
      </c>
      <c r="L58">
        <v>107</v>
      </c>
      <c r="M58">
        <v>40</v>
      </c>
      <c r="N58">
        <v>30.32</v>
      </c>
      <c r="O58">
        <v>30.37</v>
      </c>
      <c r="P58">
        <v>31.02</v>
      </c>
      <c r="Q58">
        <v>31.18</v>
      </c>
      <c r="R58">
        <v>31.83</v>
      </c>
      <c r="S58">
        <v>31.89</v>
      </c>
      <c r="T58" s="2">
        <f t="shared" si="0"/>
        <v>0.710000000000001</v>
      </c>
      <c r="U58" s="3">
        <f t="shared" si="1"/>
        <v>0.022771007055805</v>
      </c>
      <c r="V58">
        <v>31.58</v>
      </c>
      <c r="W58">
        <v>31.37</v>
      </c>
      <c r="X58" s="2">
        <f t="shared" si="2"/>
        <v>0.190000000000001</v>
      </c>
      <c r="Y58" s="3">
        <f t="shared" si="3"/>
        <v>0.00609364977549715</v>
      </c>
      <c r="Z58" s="2">
        <f t="shared" si="4"/>
        <v>-0.52</v>
      </c>
      <c r="AA58" s="3">
        <f t="shared" si="5"/>
        <v>-0.0163060520539354</v>
      </c>
      <c r="AB58">
        <v>31.57</v>
      </c>
      <c r="AC58">
        <v>32.1</v>
      </c>
      <c r="AD58">
        <v>10.15</v>
      </c>
      <c r="AE58">
        <v>10.19</v>
      </c>
      <c r="AF58">
        <v>9.23</v>
      </c>
      <c r="AG58">
        <v>9.33</v>
      </c>
      <c r="AH58">
        <v>10.45</v>
      </c>
      <c r="AI58">
        <v>10.33</v>
      </c>
      <c r="AJ58" s="2">
        <f t="shared" si="6"/>
        <v>1</v>
      </c>
      <c r="AK58" s="3">
        <f t="shared" si="7"/>
        <v>0.107181136120043</v>
      </c>
      <c r="AL58">
        <v>10.56</v>
      </c>
      <c r="AM58">
        <v>10.53</v>
      </c>
      <c r="AN58" s="3">
        <f t="shared" si="8"/>
        <v>-0.101087486344546</v>
      </c>
    </row>
    <row r="59" spans="1:40">
      <c r="A59">
        <v>127105</v>
      </c>
      <c r="B59" t="s">
        <v>158</v>
      </c>
      <c r="C59" s="4">
        <v>45323</v>
      </c>
      <c r="D59">
        <v>72442</v>
      </c>
      <c r="E59">
        <v>2442</v>
      </c>
      <c r="F59" t="s">
        <v>159</v>
      </c>
      <c r="G59">
        <v>0.0054914743</v>
      </c>
      <c r="H59" s="4">
        <v>45357</v>
      </c>
      <c r="I59" t="s">
        <v>55</v>
      </c>
      <c r="J59" s="4">
        <v>45248</v>
      </c>
      <c r="K59" s="5">
        <v>45293</v>
      </c>
      <c r="L59">
        <v>75</v>
      </c>
      <c r="M59">
        <v>30</v>
      </c>
      <c r="N59">
        <v>5.47</v>
      </c>
      <c r="O59">
        <v>5.45</v>
      </c>
      <c r="P59">
        <v>6.28</v>
      </c>
      <c r="Q59">
        <v>6.42</v>
      </c>
      <c r="R59">
        <v>4.76</v>
      </c>
      <c r="S59">
        <v>4.47</v>
      </c>
      <c r="T59" s="2">
        <f t="shared" si="0"/>
        <v>-1.95</v>
      </c>
      <c r="U59" s="3">
        <f t="shared" si="1"/>
        <v>-0.303738317757009</v>
      </c>
      <c r="V59">
        <v>4.21</v>
      </c>
      <c r="W59">
        <v>4.14</v>
      </c>
      <c r="X59" s="2">
        <f t="shared" si="2"/>
        <v>-2.28</v>
      </c>
      <c r="Y59" s="3">
        <f t="shared" si="3"/>
        <v>-0.355140186915888</v>
      </c>
      <c r="Z59" s="2">
        <f t="shared" si="4"/>
        <v>-0.33</v>
      </c>
      <c r="AA59" s="3">
        <f t="shared" si="5"/>
        <v>-0.0738255033557047</v>
      </c>
      <c r="AB59">
        <v>4.07</v>
      </c>
      <c r="AC59">
        <v>4.15</v>
      </c>
      <c r="AD59">
        <v>10.15</v>
      </c>
      <c r="AE59">
        <v>10.19</v>
      </c>
      <c r="AF59">
        <v>9.39</v>
      </c>
      <c r="AG59">
        <v>9.21</v>
      </c>
      <c r="AH59">
        <v>9.41</v>
      </c>
      <c r="AI59">
        <v>9.41</v>
      </c>
      <c r="AJ59" s="2">
        <f t="shared" si="6"/>
        <v>0.199999999999999</v>
      </c>
      <c r="AK59" s="3">
        <f t="shared" si="7"/>
        <v>0.02171552660152</v>
      </c>
      <c r="AL59">
        <v>10.4</v>
      </c>
      <c r="AM59">
        <v>10.33</v>
      </c>
      <c r="AN59" s="3">
        <f t="shared" si="8"/>
        <v>-0.376855713517408</v>
      </c>
    </row>
    <row r="60" spans="1:40">
      <c r="A60">
        <v>123240</v>
      </c>
      <c r="B60" t="s">
        <v>160</v>
      </c>
      <c r="C60" s="4">
        <v>45322</v>
      </c>
      <c r="D60">
        <v>370358</v>
      </c>
      <c r="E60">
        <v>300358</v>
      </c>
      <c r="F60" t="s">
        <v>161</v>
      </c>
      <c r="G60">
        <v>0.0043068188</v>
      </c>
      <c r="H60" s="4">
        <v>45351</v>
      </c>
      <c r="I60" t="s">
        <v>40</v>
      </c>
      <c r="J60" s="4">
        <v>45253</v>
      </c>
      <c r="K60" s="4">
        <v>45293</v>
      </c>
      <c r="L60">
        <v>69</v>
      </c>
      <c r="M60">
        <v>29</v>
      </c>
      <c r="N60">
        <v>11.73</v>
      </c>
      <c r="O60">
        <v>11.84</v>
      </c>
      <c r="P60">
        <v>10.7</v>
      </c>
      <c r="Q60">
        <v>10.59</v>
      </c>
      <c r="R60">
        <v>8.9</v>
      </c>
      <c r="S60">
        <v>8.54</v>
      </c>
      <c r="T60" s="2">
        <f t="shared" si="0"/>
        <v>-2.05</v>
      </c>
      <c r="U60" s="3">
        <f t="shared" si="1"/>
        <v>-0.193578847969783</v>
      </c>
      <c r="V60">
        <v>8.27</v>
      </c>
      <c r="W60">
        <v>8.02</v>
      </c>
      <c r="X60" s="2">
        <f t="shared" si="2"/>
        <v>-2.57</v>
      </c>
      <c r="Y60" s="3">
        <f t="shared" si="3"/>
        <v>-0.242681775259679</v>
      </c>
      <c r="Z60" s="2">
        <f t="shared" si="4"/>
        <v>-0.52</v>
      </c>
      <c r="AA60" s="3">
        <f t="shared" si="5"/>
        <v>-0.0608899297423887</v>
      </c>
      <c r="AB60">
        <v>8.72</v>
      </c>
      <c r="AC60">
        <v>8.98</v>
      </c>
      <c r="AD60">
        <v>10.15</v>
      </c>
      <c r="AE60">
        <v>10.15</v>
      </c>
      <c r="AF60">
        <v>9.39</v>
      </c>
      <c r="AG60">
        <v>9.21</v>
      </c>
      <c r="AH60">
        <v>9.46</v>
      </c>
      <c r="AI60">
        <v>9.46</v>
      </c>
      <c r="AJ60" s="2">
        <f t="shared" si="6"/>
        <v>0.25</v>
      </c>
      <c r="AK60" s="3">
        <f t="shared" si="7"/>
        <v>0.0271444082519001</v>
      </c>
      <c r="AL60">
        <v>10.42</v>
      </c>
      <c r="AM60">
        <v>10.59</v>
      </c>
      <c r="AN60" s="3">
        <f t="shared" si="8"/>
        <v>-0.269826183511579</v>
      </c>
    </row>
    <row r="61" spans="1:40">
      <c r="A61">
        <v>127104</v>
      </c>
      <c r="B61" t="s">
        <v>162</v>
      </c>
      <c r="C61" s="4">
        <v>45316</v>
      </c>
      <c r="D61">
        <v>72605</v>
      </c>
      <c r="E61">
        <v>2605</v>
      </c>
      <c r="F61" t="s">
        <v>163</v>
      </c>
      <c r="G61">
        <v>0.0018660693</v>
      </c>
      <c r="H61" s="4">
        <v>45348</v>
      </c>
      <c r="I61" t="s">
        <v>50</v>
      </c>
      <c r="J61" s="4">
        <v>45029</v>
      </c>
      <c r="K61" s="4">
        <v>45071</v>
      </c>
      <c r="L61">
        <v>287</v>
      </c>
      <c r="M61">
        <v>245</v>
      </c>
      <c r="N61">
        <v>34.29</v>
      </c>
      <c r="O61">
        <v>35.45</v>
      </c>
      <c r="P61">
        <v>28.95</v>
      </c>
      <c r="Q61">
        <v>28.19</v>
      </c>
      <c r="R61">
        <v>21.38</v>
      </c>
      <c r="S61">
        <v>21.87</v>
      </c>
      <c r="T61" s="2">
        <f t="shared" si="0"/>
        <v>-6.32</v>
      </c>
      <c r="U61" s="3">
        <f t="shared" si="1"/>
        <v>-0.224192976232707</v>
      </c>
      <c r="V61">
        <v>22.06</v>
      </c>
      <c r="W61">
        <v>22.47</v>
      </c>
      <c r="X61" s="2">
        <f t="shared" si="2"/>
        <v>-5.72</v>
      </c>
      <c r="Y61" s="3">
        <f t="shared" si="3"/>
        <v>-0.202908832919475</v>
      </c>
      <c r="Z61" s="2">
        <f t="shared" si="4"/>
        <v>0.599999999999998</v>
      </c>
      <c r="AA61" s="3">
        <f t="shared" si="5"/>
        <v>0.027434842249657</v>
      </c>
      <c r="AB61">
        <v>22.9</v>
      </c>
      <c r="AC61">
        <v>22.64</v>
      </c>
      <c r="AD61">
        <v>12.41</v>
      </c>
      <c r="AE61">
        <v>12.56</v>
      </c>
      <c r="AF61">
        <v>11.99</v>
      </c>
      <c r="AG61">
        <v>11.93</v>
      </c>
      <c r="AH61">
        <v>9.33</v>
      </c>
      <c r="AI61">
        <v>9.5</v>
      </c>
      <c r="AJ61" s="2">
        <f t="shared" si="6"/>
        <v>-2.43</v>
      </c>
      <c r="AK61" s="3">
        <f t="shared" si="7"/>
        <v>-0.203688181056161</v>
      </c>
      <c r="AL61">
        <v>10.78</v>
      </c>
      <c r="AM61">
        <v>10.53</v>
      </c>
      <c r="AN61" s="3">
        <f t="shared" si="8"/>
        <v>0.00077934813668587</v>
      </c>
    </row>
    <row r="62" spans="1:40">
      <c r="A62">
        <v>123239</v>
      </c>
      <c r="B62" t="s">
        <v>164</v>
      </c>
      <c r="C62" s="4">
        <v>45310</v>
      </c>
      <c r="D62">
        <v>370488</v>
      </c>
      <c r="E62">
        <v>300488</v>
      </c>
      <c r="F62" t="s">
        <v>165</v>
      </c>
      <c r="G62">
        <v>0.0007342904</v>
      </c>
      <c r="H62" s="4">
        <v>45344</v>
      </c>
      <c r="I62" t="s">
        <v>50</v>
      </c>
      <c r="J62" s="4">
        <v>45254</v>
      </c>
      <c r="K62" s="4">
        <v>45282</v>
      </c>
      <c r="L62">
        <v>56</v>
      </c>
      <c r="M62">
        <v>28</v>
      </c>
      <c r="N62">
        <v>24.34</v>
      </c>
      <c r="O62">
        <v>23.63</v>
      </c>
      <c r="P62">
        <v>23.54</v>
      </c>
      <c r="Q62">
        <v>23.41</v>
      </c>
      <c r="R62">
        <v>22.76</v>
      </c>
      <c r="S62">
        <v>22.54</v>
      </c>
      <c r="T62" s="2">
        <f t="shared" si="0"/>
        <v>-0.870000000000001</v>
      </c>
      <c r="U62" s="3">
        <f t="shared" si="1"/>
        <v>-0.0371636052968817</v>
      </c>
      <c r="V62">
        <v>21.54</v>
      </c>
      <c r="W62">
        <v>20.72</v>
      </c>
      <c r="X62" s="2">
        <f t="shared" si="2"/>
        <v>-2.69</v>
      </c>
      <c r="Y62" s="3">
        <f t="shared" si="3"/>
        <v>-0.11490815890645</v>
      </c>
      <c r="Z62" s="2">
        <f t="shared" si="4"/>
        <v>-1.82</v>
      </c>
      <c r="AA62" s="3">
        <f t="shared" si="5"/>
        <v>-0.0807453416149068</v>
      </c>
      <c r="AB62">
        <v>18.74</v>
      </c>
      <c r="AC62">
        <v>19.22</v>
      </c>
      <c r="AD62">
        <v>10.11</v>
      </c>
      <c r="AE62">
        <v>10.1</v>
      </c>
      <c r="AF62">
        <v>9.19</v>
      </c>
      <c r="AG62">
        <v>9.2</v>
      </c>
      <c r="AH62">
        <v>9.16</v>
      </c>
      <c r="AI62">
        <v>9.17</v>
      </c>
      <c r="AJ62" s="2">
        <f t="shared" si="6"/>
        <v>-0.0299999999999994</v>
      </c>
      <c r="AK62" s="3">
        <f t="shared" si="7"/>
        <v>-0.00326086956521732</v>
      </c>
      <c r="AL62">
        <v>10.65</v>
      </c>
      <c r="AM62">
        <v>10.9</v>
      </c>
      <c r="AN62" s="3">
        <f t="shared" si="8"/>
        <v>-0.111647289341233</v>
      </c>
    </row>
    <row r="63" spans="1:40">
      <c r="A63">
        <v>123238</v>
      </c>
      <c r="B63" t="s">
        <v>166</v>
      </c>
      <c r="C63" s="4">
        <v>45302</v>
      </c>
      <c r="D63">
        <v>370863</v>
      </c>
      <c r="E63">
        <v>300863</v>
      </c>
      <c r="F63" t="s">
        <v>167</v>
      </c>
      <c r="G63">
        <v>0.0008165958</v>
      </c>
      <c r="H63" s="4">
        <v>45323</v>
      </c>
      <c r="I63" t="s">
        <v>50</v>
      </c>
      <c r="J63" s="4">
        <v>45239</v>
      </c>
      <c r="K63" s="4">
        <v>45278</v>
      </c>
      <c r="L63">
        <v>63</v>
      </c>
      <c r="M63">
        <v>24</v>
      </c>
      <c r="N63">
        <v>25.67</v>
      </c>
      <c r="O63">
        <v>25.32</v>
      </c>
      <c r="P63">
        <v>24.33</v>
      </c>
      <c r="Q63">
        <v>25.41</v>
      </c>
      <c r="R63">
        <v>23.82</v>
      </c>
      <c r="S63">
        <v>24.02</v>
      </c>
      <c r="T63" s="2">
        <f t="shared" si="0"/>
        <v>-1.39</v>
      </c>
      <c r="U63" s="3">
        <f t="shared" si="1"/>
        <v>-0.0547028728846911</v>
      </c>
      <c r="V63">
        <v>23</v>
      </c>
      <c r="W63">
        <v>23.47</v>
      </c>
      <c r="X63" s="2">
        <f t="shared" si="2"/>
        <v>-1.94</v>
      </c>
      <c r="Y63" s="3">
        <f t="shared" si="3"/>
        <v>-0.0763478945297128</v>
      </c>
      <c r="Z63" s="2">
        <f t="shared" si="4"/>
        <v>-0.550000000000001</v>
      </c>
      <c r="AA63" s="3">
        <f t="shared" si="5"/>
        <v>-0.0228975853455454</v>
      </c>
      <c r="AB63">
        <v>17.59</v>
      </c>
      <c r="AC63">
        <v>17.51</v>
      </c>
      <c r="AD63">
        <v>10.46</v>
      </c>
      <c r="AE63">
        <v>10.49</v>
      </c>
      <c r="AF63">
        <v>9.18</v>
      </c>
      <c r="AG63">
        <v>9.13</v>
      </c>
      <c r="AH63">
        <v>9.08</v>
      </c>
      <c r="AI63">
        <v>9.17</v>
      </c>
      <c r="AJ63" s="2">
        <f t="shared" si="6"/>
        <v>0.0399999999999991</v>
      </c>
      <c r="AK63" s="3">
        <f t="shared" si="7"/>
        <v>0.00438116100766694</v>
      </c>
      <c r="AL63">
        <v>9.41</v>
      </c>
      <c r="AM63">
        <v>9.41</v>
      </c>
      <c r="AN63" s="3">
        <f t="shared" si="8"/>
        <v>-0.0807290555373797</v>
      </c>
    </row>
    <row r="64" spans="1:40">
      <c r="A64">
        <v>123237</v>
      </c>
      <c r="B64" t="s">
        <v>168</v>
      </c>
      <c r="C64" s="4">
        <v>45295</v>
      </c>
      <c r="D64">
        <v>370793</v>
      </c>
      <c r="E64">
        <v>300793</v>
      </c>
      <c r="F64" t="s">
        <v>169</v>
      </c>
      <c r="G64">
        <v>0.0042312552</v>
      </c>
      <c r="H64" s="4">
        <v>45315</v>
      </c>
      <c r="I64" t="s">
        <v>50</v>
      </c>
      <c r="J64" s="4">
        <v>44907</v>
      </c>
      <c r="K64" s="4">
        <v>44970</v>
      </c>
      <c r="L64">
        <v>388</v>
      </c>
      <c r="M64">
        <v>325</v>
      </c>
      <c r="N64">
        <v>15.78</v>
      </c>
      <c r="O64">
        <v>15.92</v>
      </c>
      <c r="P64">
        <v>17.48</v>
      </c>
      <c r="Q64">
        <v>17.33</v>
      </c>
      <c r="R64">
        <v>20.89</v>
      </c>
      <c r="S64">
        <v>20.1</v>
      </c>
      <c r="T64" s="2">
        <f t="shared" si="0"/>
        <v>2.77</v>
      </c>
      <c r="U64" s="3">
        <f t="shared" si="1"/>
        <v>0.159838430467398</v>
      </c>
      <c r="V64">
        <v>19.73</v>
      </c>
      <c r="W64">
        <v>19.87</v>
      </c>
      <c r="X64" s="2">
        <f t="shared" si="2"/>
        <v>2.54</v>
      </c>
      <c r="Y64" s="3">
        <f t="shared" si="3"/>
        <v>0.146566647432199</v>
      </c>
      <c r="Z64" s="2">
        <f t="shared" si="4"/>
        <v>-0.23</v>
      </c>
      <c r="AA64" s="3">
        <f t="shared" si="5"/>
        <v>-0.0114427860696518</v>
      </c>
      <c r="AB64">
        <v>14.73</v>
      </c>
      <c r="AC64">
        <v>14.82</v>
      </c>
      <c r="AD64">
        <v>13.58</v>
      </c>
      <c r="AE64">
        <v>13.11</v>
      </c>
      <c r="AF64">
        <v>13.94</v>
      </c>
      <c r="AG64">
        <v>13.82</v>
      </c>
      <c r="AH64">
        <v>9.19</v>
      </c>
      <c r="AI64">
        <v>9.11</v>
      </c>
      <c r="AJ64" s="2">
        <f t="shared" si="6"/>
        <v>-4.71</v>
      </c>
      <c r="AK64" s="3">
        <f t="shared" si="7"/>
        <v>-0.340810419681621</v>
      </c>
      <c r="AL64">
        <v>9.23</v>
      </c>
      <c r="AM64">
        <v>9.33</v>
      </c>
      <c r="AN64" s="3">
        <f t="shared" si="8"/>
        <v>0.48737706711382</v>
      </c>
    </row>
    <row r="65" spans="1:40">
      <c r="A65">
        <v>127103</v>
      </c>
      <c r="B65" t="s">
        <v>170</v>
      </c>
      <c r="C65" s="4">
        <v>45294</v>
      </c>
      <c r="D65">
        <v>72135</v>
      </c>
      <c r="E65">
        <v>2135</v>
      </c>
      <c r="F65" t="s">
        <v>171</v>
      </c>
      <c r="G65">
        <v>0.0063762297</v>
      </c>
      <c r="H65" s="4">
        <v>45315</v>
      </c>
      <c r="I65" t="s">
        <v>40</v>
      </c>
      <c r="J65" s="4">
        <v>45093</v>
      </c>
      <c r="K65" s="4">
        <v>45166</v>
      </c>
      <c r="L65">
        <v>201</v>
      </c>
      <c r="M65">
        <v>128</v>
      </c>
      <c r="N65">
        <v>6.34</v>
      </c>
      <c r="O65">
        <v>6.43</v>
      </c>
      <c r="P65">
        <v>6.17</v>
      </c>
      <c r="Q65">
        <v>6</v>
      </c>
      <c r="R65">
        <v>5.6</v>
      </c>
      <c r="S65">
        <v>5.51</v>
      </c>
      <c r="T65" s="2">
        <f t="shared" si="0"/>
        <v>-0.49</v>
      </c>
      <c r="U65" s="3">
        <f t="shared" si="1"/>
        <v>-0.0816666666666667</v>
      </c>
      <c r="V65">
        <v>5.28</v>
      </c>
      <c r="W65">
        <v>5.31</v>
      </c>
      <c r="X65" s="2">
        <f t="shared" si="2"/>
        <v>-0.69</v>
      </c>
      <c r="Y65" s="3">
        <f t="shared" si="3"/>
        <v>-0.115</v>
      </c>
      <c r="Z65" s="2">
        <f t="shared" si="4"/>
        <v>-0.2</v>
      </c>
      <c r="AA65" s="3">
        <f t="shared" si="5"/>
        <v>-0.0362976406533576</v>
      </c>
      <c r="AB65">
        <v>4.79</v>
      </c>
      <c r="AC65">
        <v>4.96</v>
      </c>
      <c r="AD65">
        <v>11.61</v>
      </c>
      <c r="AE65">
        <v>11.63</v>
      </c>
      <c r="AF65">
        <v>11.84</v>
      </c>
      <c r="AG65">
        <v>11.52</v>
      </c>
      <c r="AH65">
        <v>9.19</v>
      </c>
      <c r="AI65">
        <v>9.2</v>
      </c>
      <c r="AJ65" s="2">
        <f t="shared" si="6"/>
        <v>-2.32</v>
      </c>
      <c r="AK65" s="3">
        <f t="shared" si="7"/>
        <v>-0.201388888888889</v>
      </c>
      <c r="AL65">
        <v>9.23</v>
      </c>
      <c r="AM65">
        <v>9.33</v>
      </c>
      <c r="AN65" s="3">
        <f t="shared" si="8"/>
        <v>0.0863888888888889</v>
      </c>
    </row>
    <row r="66" spans="1:40">
      <c r="A66">
        <v>113681</v>
      </c>
      <c r="B66" t="s">
        <v>172</v>
      </c>
      <c r="C66" s="4">
        <v>45289</v>
      </c>
      <c r="D66">
        <v>754213</v>
      </c>
      <c r="E66">
        <v>603213</v>
      </c>
      <c r="F66" t="s">
        <v>173</v>
      </c>
      <c r="G66">
        <v>0.00098724</v>
      </c>
      <c r="H66" s="4">
        <v>45308</v>
      </c>
      <c r="I66" t="s">
        <v>55</v>
      </c>
      <c r="J66" s="4">
        <v>45156</v>
      </c>
      <c r="K66" s="4">
        <v>45230</v>
      </c>
      <c r="L66">
        <v>133</v>
      </c>
      <c r="M66">
        <v>59</v>
      </c>
      <c r="N66">
        <v>10.99</v>
      </c>
      <c r="O66">
        <v>10.91</v>
      </c>
      <c r="P66">
        <v>10.63</v>
      </c>
      <c r="Q66">
        <v>10.64</v>
      </c>
      <c r="R66">
        <v>10.44</v>
      </c>
      <c r="S66">
        <v>10.73</v>
      </c>
      <c r="T66" s="2">
        <f t="shared" ref="T66:T129" si="9">S66-Q66</f>
        <v>0.0899999999999999</v>
      </c>
      <c r="U66" s="3">
        <f t="shared" ref="U66:U129" si="10">T66/Q66</f>
        <v>0.00845864661654134</v>
      </c>
      <c r="V66">
        <v>9.99</v>
      </c>
      <c r="W66">
        <v>10.24</v>
      </c>
      <c r="X66" s="2">
        <f t="shared" ref="X66:X129" si="11">W66-Q66</f>
        <v>-0.4</v>
      </c>
      <c r="Y66" s="3">
        <f t="shared" ref="Y66:Y129" si="12">X66/Q66</f>
        <v>-0.037593984962406</v>
      </c>
      <c r="Z66" s="2">
        <f t="shared" ref="Z66:Z129" si="13">W66-S66</f>
        <v>-0.49</v>
      </c>
      <c r="AA66" s="3">
        <f t="shared" ref="AA66:AA129" si="14">Z66/S66</f>
        <v>-0.0456663560111836</v>
      </c>
      <c r="AB66">
        <v>11.84</v>
      </c>
      <c r="AC66">
        <v>11.08</v>
      </c>
      <c r="AD66">
        <v>11.58</v>
      </c>
      <c r="AE66">
        <v>11.56</v>
      </c>
      <c r="AF66">
        <v>10.43</v>
      </c>
      <c r="AG66">
        <v>10.46</v>
      </c>
      <c r="AH66">
        <v>9.42</v>
      </c>
      <c r="AI66">
        <v>9.39</v>
      </c>
      <c r="AJ66" s="2">
        <f t="shared" si="6"/>
        <v>-1.07</v>
      </c>
      <c r="AK66" s="3">
        <f t="shared" si="7"/>
        <v>-0.102294455066922</v>
      </c>
      <c r="AL66">
        <v>9.33</v>
      </c>
      <c r="AM66">
        <v>9.23</v>
      </c>
      <c r="AN66" s="3">
        <f t="shared" si="8"/>
        <v>0.0647004701045156</v>
      </c>
    </row>
    <row r="67" spans="1:40">
      <c r="A67">
        <v>111018</v>
      </c>
      <c r="B67" t="s">
        <v>174</v>
      </c>
      <c r="C67" s="4">
        <v>45285</v>
      </c>
      <c r="D67">
        <v>713077</v>
      </c>
      <c r="E67">
        <v>605077</v>
      </c>
      <c r="F67" t="s">
        <v>175</v>
      </c>
      <c r="G67">
        <v>0.00278331</v>
      </c>
      <c r="H67" s="4">
        <v>45306</v>
      </c>
      <c r="I67" t="s">
        <v>55</v>
      </c>
      <c r="J67" s="4">
        <v>45157</v>
      </c>
      <c r="K67" s="4">
        <v>45269</v>
      </c>
      <c r="L67">
        <v>128</v>
      </c>
      <c r="M67">
        <v>16</v>
      </c>
      <c r="N67">
        <v>18.31</v>
      </c>
      <c r="O67">
        <v>18.16</v>
      </c>
      <c r="P67">
        <v>16.09</v>
      </c>
      <c r="Q67">
        <v>16.36</v>
      </c>
      <c r="R67">
        <v>16.33</v>
      </c>
      <c r="S67">
        <v>16.67</v>
      </c>
      <c r="T67" s="2">
        <f t="shared" si="9"/>
        <v>0.310000000000002</v>
      </c>
      <c r="U67" s="3">
        <f t="shared" si="10"/>
        <v>0.0189486552567239</v>
      </c>
      <c r="V67">
        <v>15.67</v>
      </c>
      <c r="W67">
        <v>15.64</v>
      </c>
      <c r="X67" s="2">
        <f t="shared" si="11"/>
        <v>-0.719999999999999</v>
      </c>
      <c r="Y67" s="3">
        <f t="shared" si="12"/>
        <v>-0.0440097799511002</v>
      </c>
      <c r="Z67" s="2">
        <f t="shared" si="13"/>
        <v>-1.03</v>
      </c>
      <c r="AA67" s="3">
        <f t="shared" si="14"/>
        <v>-0.0617876424715058</v>
      </c>
      <c r="AB67">
        <v>15.8</v>
      </c>
      <c r="AC67">
        <v>15.77</v>
      </c>
      <c r="AD67">
        <v>11.56</v>
      </c>
      <c r="AE67">
        <v>11.32</v>
      </c>
      <c r="AF67">
        <v>9.22</v>
      </c>
      <c r="AG67">
        <v>9.35</v>
      </c>
      <c r="AH67">
        <v>9.18</v>
      </c>
      <c r="AI67">
        <v>9.19</v>
      </c>
      <c r="AJ67" s="2">
        <f t="shared" ref="AJ67:AJ130" si="15">AI67-AG67</f>
        <v>-0.16</v>
      </c>
      <c r="AK67" s="3">
        <f t="shared" ref="AK67:AK130" si="16">AJ67/AG67</f>
        <v>-0.0171122994652407</v>
      </c>
      <c r="AL67">
        <v>9.16</v>
      </c>
      <c r="AM67">
        <v>9.21</v>
      </c>
      <c r="AN67" s="3">
        <f t="shared" ref="AN67:AN130" si="17">Y67-AK67</f>
        <v>-0.0268974804858595</v>
      </c>
    </row>
    <row r="68" spans="1:40">
      <c r="A68">
        <v>127102</v>
      </c>
      <c r="B68" t="s">
        <v>176</v>
      </c>
      <c r="C68" s="4">
        <v>45285</v>
      </c>
      <c r="D68">
        <v>72761</v>
      </c>
      <c r="E68">
        <v>2761</v>
      </c>
      <c r="F68" t="s">
        <v>177</v>
      </c>
      <c r="G68">
        <v>0.005139885</v>
      </c>
      <c r="H68" s="4">
        <v>45307</v>
      </c>
      <c r="I68" t="s">
        <v>58</v>
      </c>
      <c r="J68" s="4">
        <v>45129</v>
      </c>
      <c r="K68" s="4">
        <v>45185</v>
      </c>
      <c r="L68">
        <v>156</v>
      </c>
      <c r="M68">
        <v>100</v>
      </c>
      <c r="N68">
        <v>17</v>
      </c>
      <c r="O68">
        <v>16.63</v>
      </c>
      <c r="P68">
        <v>14.25</v>
      </c>
      <c r="Q68">
        <v>14.66</v>
      </c>
      <c r="R68">
        <v>10.07</v>
      </c>
      <c r="S68">
        <v>9.95</v>
      </c>
      <c r="T68" s="2">
        <f t="shared" si="9"/>
        <v>-4.71</v>
      </c>
      <c r="U68" s="3">
        <f t="shared" si="10"/>
        <v>-0.321282401091405</v>
      </c>
      <c r="V68">
        <v>9.84</v>
      </c>
      <c r="W68">
        <v>9.74</v>
      </c>
      <c r="X68" s="2">
        <f t="shared" si="11"/>
        <v>-4.92</v>
      </c>
      <c r="Y68" s="3">
        <f t="shared" si="12"/>
        <v>-0.335607094133697</v>
      </c>
      <c r="Z68" s="2">
        <f t="shared" si="13"/>
        <v>-0.209999999999999</v>
      </c>
      <c r="AA68" s="3">
        <f t="shared" si="14"/>
        <v>-0.0211055276381909</v>
      </c>
      <c r="AB68">
        <v>9.72</v>
      </c>
      <c r="AC68">
        <v>9.66</v>
      </c>
      <c r="AD68">
        <v>11.33</v>
      </c>
      <c r="AE68">
        <v>11.26</v>
      </c>
      <c r="AF68">
        <v>11.22</v>
      </c>
      <c r="AG68">
        <v>11.23</v>
      </c>
      <c r="AH68">
        <v>9.18</v>
      </c>
      <c r="AI68">
        <v>9.19</v>
      </c>
      <c r="AJ68" s="2">
        <f t="shared" si="15"/>
        <v>-2.04</v>
      </c>
      <c r="AK68" s="3">
        <f t="shared" si="16"/>
        <v>-0.181656277827249</v>
      </c>
      <c r="AL68">
        <v>9.19</v>
      </c>
      <c r="AM68">
        <v>9.34</v>
      </c>
      <c r="AN68" s="3">
        <f t="shared" si="17"/>
        <v>-0.153950816306449</v>
      </c>
    </row>
    <row r="69" spans="1:40">
      <c r="A69">
        <v>123236</v>
      </c>
      <c r="B69" t="s">
        <v>178</v>
      </c>
      <c r="C69" s="4">
        <v>45282</v>
      </c>
      <c r="D69">
        <v>371193</v>
      </c>
      <c r="E69">
        <v>301193</v>
      </c>
      <c r="F69" t="s">
        <v>179</v>
      </c>
      <c r="G69">
        <v>0.0009433278</v>
      </c>
      <c r="H69" s="4">
        <v>45309</v>
      </c>
      <c r="I69" t="s">
        <v>55</v>
      </c>
      <c r="J69" s="4">
        <v>45156</v>
      </c>
      <c r="K69" s="4">
        <v>45251</v>
      </c>
      <c r="L69">
        <v>126</v>
      </c>
      <c r="M69">
        <v>31</v>
      </c>
      <c r="N69">
        <v>17.18</v>
      </c>
      <c r="O69">
        <v>17.04</v>
      </c>
      <c r="P69">
        <v>17.72</v>
      </c>
      <c r="Q69">
        <v>17.66</v>
      </c>
      <c r="R69">
        <v>17.52</v>
      </c>
      <c r="S69">
        <v>18.32</v>
      </c>
      <c r="T69" s="2">
        <f t="shared" si="9"/>
        <v>0.66</v>
      </c>
      <c r="U69" s="3">
        <f t="shared" si="10"/>
        <v>0.0373725934314836</v>
      </c>
      <c r="V69">
        <v>17.47</v>
      </c>
      <c r="W69">
        <v>17.15</v>
      </c>
      <c r="X69" s="2">
        <f t="shared" si="11"/>
        <v>-0.510000000000002</v>
      </c>
      <c r="Y69" s="3">
        <f t="shared" si="12"/>
        <v>-0.0288788221970556</v>
      </c>
      <c r="Z69" s="2">
        <f t="shared" si="13"/>
        <v>-1.17</v>
      </c>
      <c r="AA69" s="3">
        <f t="shared" si="14"/>
        <v>-0.0638646288209608</v>
      </c>
      <c r="AB69">
        <v>19.05</v>
      </c>
      <c r="AC69">
        <v>19.7</v>
      </c>
      <c r="AD69">
        <v>11.58</v>
      </c>
      <c r="AE69">
        <v>11.56</v>
      </c>
      <c r="AF69">
        <v>10.23</v>
      </c>
      <c r="AG69">
        <v>10.28</v>
      </c>
      <c r="AH69">
        <v>9.19</v>
      </c>
      <c r="AI69">
        <v>9.2</v>
      </c>
      <c r="AJ69" s="2">
        <f t="shared" si="15"/>
        <v>-1.08</v>
      </c>
      <c r="AK69" s="3">
        <f t="shared" si="16"/>
        <v>-0.105058365758755</v>
      </c>
      <c r="AL69">
        <v>9.21</v>
      </c>
      <c r="AM69">
        <v>9.2</v>
      </c>
      <c r="AN69" s="3">
        <f t="shared" si="17"/>
        <v>0.0761795435616993</v>
      </c>
    </row>
    <row r="70" spans="1:40">
      <c r="A70">
        <v>113069</v>
      </c>
      <c r="B70" t="s">
        <v>180</v>
      </c>
      <c r="C70" s="4">
        <v>45282</v>
      </c>
      <c r="D70">
        <v>783137</v>
      </c>
      <c r="E70">
        <v>601137</v>
      </c>
      <c r="F70" t="s">
        <v>181</v>
      </c>
      <c r="G70">
        <v>0.00671801</v>
      </c>
      <c r="H70" s="4">
        <v>45309</v>
      </c>
      <c r="I70" t="s">
        <v>40</v>
      </c>
      <c r="J70" s="4">
        <v>45162</v>
      </c>
      <c r="K70" s="4">
        <v>45245</v>
      </c>
      <c r="L70">
        <v>120</v>
      </c>
      <c r="M70">
        <v>37</v>
      </c>
      <c r="N70">
        <v>12.7</v>
      </c>
      <c r="O70">
        <v>12.8</v>
      </c>
      <c r="P70">
        <v>15.05</v>
      </c>
      <c r="Q70">
        <v>15.51</v>
      </c>
      <c r="R70">
        <v>13.52</v>
      </c>
      <c r="S70">
        <v>13.56</v>
      </c>
      <c r="T70" s="2">
        <f t="shared" si="9"/>
        <v>-1.95</v>
      </c>
      <c r="U70" s="3">
        <f t="shared" si="10"/>
        <v>-0.125725338491296</v>
      </c>
      <c r="V70">
        <v>13.21</v>
      </c>
      <c r="W70">
        <v>13.43</v>
      </c>
      <c r="X70" s="2">
        <f t="shared" si="11"/>
        <v>-2.08</v>
      </c>
      <c r="Y70" s="3">
        <f t="shared" si="12"/>
        <v>-0.134107027724049</v>
      </c>
      <c r="Z70" s="2">
        <f t="shared" si="13"/>
        <v>-0.130000000000001</v>
      </c>
      <c r="AA70" s="3">
        <f t="shared" si="14"/>
        <v>-0.00958702064896761</v>
      </c>
      <c r="AB70">
        <v>13.93</v>
      </c>
      <c r="AC70">
        <v>14.2</v>
      </c>
      <c r="AD70">
        <v>11.29</v>
      </c>
      <c r="AE70">
        <v>11.13</v>
      </c>
      <c r="AF70">
        <v>10.37</v>
      </c>
      <c r="AG70">
        <v>10.37</v>
      </c>
      <c r="AH70">
        <v>9.19</v>
      </c>
      <c r="AI70">
        <v>9.2</v>
      </c>
      <c r="AJ70" s="2">
        <f t="shared" si="15"/>
        <v>-1.17</v>
      </c>
      <c r="AK70" s="3">
        <f t="shared" si="16"/>
        <v>-0.112825458052073</v>
      </c>
      <c r="AL70">
        <v>9.21</v>
      </c>
      <c r="AM70">
        <v>9.2</v>
      </c>
      <c r="AN70" s="3">
        <f t="shared" si="17"/>
        <v>-0.0212815696719757</v>
      </c>
    </row>
    <row r="71" spans="1:40">
      <c r="A71">
        <v>127101</v>
      </c>
      <c r="B71" t="s">
        <v>182</v>
      </c>
      <c r="C71" s="4">
        <v>45282</v>
      </c>
      <c r="D71">
        <v>71283</v>
      </c>
      <c r="E71">
        <v>1283</v>
      </c>
      <c r="F71" t="s">
        <v>183</v>
      </c>
      <c r="G71">
        <v>0.0043906434</v>
      </c>
      <c r="H71" s="4">
        <v>45302</v>
      </c>
      <c r="I71" t="s">
        <v>55</v>
      </c>
      <c r="J71" s="4">
        <v>45129</v>
      </c>
      <c r="K71" s="4">
        <v>45176</v>
      </c>
      <c r="L71">
        <v>153</v>
      </c>
      <c r="M71">
        <v>106</v>
      </c>
      <c r="N71">
        <v>50.46</v>
      </c>
      <c r="O71">
        <v>48.3</v>
      </c>
      <c r="P71">
        <v>46.59</v>
      </c>
      <c r="Q71">
        <v>44.87</v>
      </c>
      <c r="R71">
        <v>48.76</v>
      </c>
      <c r="S71">
        <v>49.14</v>
      </c>
      <c r="T71" s="2">
        <f t="shared" si="9"/>
        <v>4.27</v>
      </c>
      <c r="U71" s="3">
        <f t="shared" si="10"/>
        <v>0.0951638065522622</v>
      </c>
      <c r="V71">
        <v>46.75</v>
      </c>
      <c r="W71">
        <v>48.33</v>
      </c>
      <c r="X71" s="2">
        <f t="shared" si="11"/>
        <v>3.46</v>
      </c>
      <c r="Y71" s="3">
        <f t="shared" si="12"/>
        <v>0.0771116558948072</v>
      </c>
      <c r="Z71" s="2">
        <f t="shared" si="13"/>
        <v>-0.810000000000002</v>
      </c>
      <c r="AA71" s="3">
        <f t="shared" si="14"/>
        <v>-0.0164835164835165</v>
      </c>
      <c r="AB71">
        <v>50.46</v>
      </c>
      <c r="AC71">
        <v>51.09</v>
      </c>
      <c r="AD71">
        <v>11.33</v>
      </c>
      <c r="AE71">
        <v>11.26</v>
      </c>
      <c r="AF71">
        <v>11.4</v>
      </c>
      <c r="AG71">
        <v>11.33</v>
      </c>
      <c r="AH71">
        <v>9.19</v>
      </c>
      <c r="AI71">
        <v>9.2</v>
      </c>
      <c r="AJ71" s="2">
        <f t="shared" si="15"/>
        <v>-2.13</v>
      </c>
      <c r="AK71" s="3">
        <f t="shared" si="16"/>
        <v>-0.187996469549868</v>
      </c>
      <c r="AL71">
        <v>9.08</v>
      </c>
      <c r="AM71">
        <v>9.17</v>
      </c>
      <c r="AN71" s="3">
        <f t="shared" si="17"/>
        <v>0.265108125444675</v>
      </c>
    </row>
    <row r="72" spans="1:40">
      <c r="A72">
        <v>127100</v>
      </c>
      <c r="B72" t="s">
        <v>184</v>
      </c>
      <c r="C72" s="4">
        <v>45281</v>
      </c>
      <c r="D72">
        <v>70034</v>
      </c>
      <c r="E72">
        <v>34</v>
      </c>
      <c r="F72" t="s">
        <v>185</v>
      </c>
      <c r="G72">
        <v>0.0044770632</v>
      </c>
      <c r="H72" s="4">
        <v>45310</v>
      </c>
      <c r="I72" t="s">
        <v>40</v>
      </c>
      <c r="J72" s="4">
        <v>45170</v>
      </c>
      <c r="K72" s="4">
        <v>45247</v>
      </c>
      <c r="L72">
        <v>111</v>
      </c>
      <c r="M72">
        <v>34</v>
      </c>
      <c r="N72">
        <v>30.94</v>
      </c>
      <c r="O72">
        <v>30.24</v>
      </c>
      <c r="P72">
        <v>34.63</v>
      </c>
      <c r="Q72">
        <v>34.8</v>
      </c>
      <c r="R72">
        <v>30.19</v>
      </c>
      <c r="S72">
        <v>28.35</v>
      </c>
      <c r="T72" s="2">
        <f t="shared" si="9"/>
        <v>-6.45</v>
      </c>
      <c r="U72" s="3">
        <f t="shared" si="10"/>
        <v>-0.185344827586207</v>
      </c>
      <c r="V72">
        <v>27.9</v>
      </c>
      <c r="W72">
        <v>29.03</v>
      </c>
      <c r="X72" s="2">
        <f t="shared" si="11"/>
        <v>-5.77</v>
      </c>
      <c r="Y72" s="3">
        <f t="shared" si="12"/>
        <v>-0.165804597701149</v>
      </c>
      <c r="Z72" s="2">
        <f t="shared" si="13"/>
        <v>0.68</v>
      </c>
      <c r="AA72" s="3">
        <f t="shared" si="14"/>
        <v>0.0239858906525573</v>
      </c>
      <c r="AB72">
        <v>25.64</v>
      </c>
      <c r="AC72">
        <v>25.82</v>
      </c>
      <c r="AD72">
        <v>11.19</v>
      </c>
      <c r="AE72">
        <v>11.32</v>
      </c>
      <c r="AF72">
        <v>10.22</v>
      </c>
      <c r="AG72">
        <v>10.15</v>
      </c>
      <c r="AH72">
        <v>9.01</v>
      </c>
      <c r="AI72">
        <v>9.17</v>
      </c>
      <c r="AJ72" s="2">
        <f t="shared" si="15"/>
        <v>-0.98</v>
      </c>
      <c r="AK72" s="3">
        <f t="shared" si="16"/>
        <v>-0.0965517241379311</v>
      </c>
      <c r="AL72">
        <v>9.16</v>
      </c>
      <c r="AM72">
        <v>9.17</v>
      </c>
      <c r="AN72" s="3">
        <f t="shared" si="17"/>
        <v>-0.0692528735632183</v>
      </c>
    </row>
    <row r="73" spans="1:40">
      <c r="A73">
        <v>123235</v>
      </c>
      <c r="B73" t="s">
        <v>186</v>
      </c>
      <c r="C73" s="4">
        <v>45281</v>
      </c>
      <c r="D73">
        <v>370911</v>
      </c>
      <c r="E73">
        <v>300911</v>
      </c>
      <c r="F73" t="s">
        <v>187</v>
      </c>
      <c r="G73">
        <v>0.0010338434</v>
      </c>
      <c r="H73" s="4">
        <v>45303</v>
      </c>
      <c r="I73" t="s">
        <v>55</v>
      </c>
      <c r="J73" s="4">
        <v>45219</v>
      </c>
      <c r="K73" s="4">
        <v>45251</v>
      </c>
      <c r="L73">
        <v>62</v>
      </c>
      <c r="M73">
        <v>30</v>
      </c>
      <c r="N73">
        <v>21.08</v>
      </c>
      <c r="O73">
        <v>21.23</v>
      </c>
      <c r="P73">
        <v>21.04</v>
      </c>
      <c r="Q73">
        <v>21.08</v>
      </c>
      <c r="R73">
        <v>20.8</v>
      </c>
      <c r="S73">
        <v>20.42</v>
      </c>
      <c r="T73" s="2">
        <f t="shared" si="9"/>
        <v>-0.659999999999997</v>
      </c>
      <c r="U73" s="3">
        <f t="shared" si="10"/>
        <v>-0.0313092979127133</v>
      </c>
      <c r="V73">
        <v>19.72</v>
      </c>
      <c r="W73">
        <v>19.63</v>
      </c>
      <c r="X73" s="2">
        <f t="shared" si="11"/>
        <v>-1.45</v>
      </c>
      <c r="Y73" s="3">
        <f t="shared" si="12"/>
        <v>-0.0687855787476281</v>
      </c>
      <c r="Z73" s="2">
        <f t="shared" si="13"/>
        <v>-0.790000000000003</v>
      </c>
      <c r="AA73" s="3">
        <f t="shared" si="14"/>
        <v>-0.0386875612144957</v>
      </c>
      <c r="AB73">
        <v>19.49</v>
      </c>
      <c r="AC73">
        <v>19.21</v>
      </c>
      <c r="AD73">
        <v>10.55</v>
      </c>
      <c r="AE73">
        <v>10.6</v>
      </c>
      <c r="AF73">
        <v>10.23</v>
      </c>
      <c r="AG73">
        <v>10.28</v>
      </c>
      <c r="AH73">
        <v>9.01</v>
      </c>
      <c r="AI73">
        <v>9.17</v>
      </c>
      <c r="AJ73" s="2">
        <f t="shared" si="15"/>
        <v>-1.11</v>
      </c>
      <c r="AK73" s="3">
        <f t="shared" si="16"/>
        <v>-0.107976653696498</v>
      </c>
      <c r="AL73">
        <v>9.13</v>
      </c>
      <c r="AM73">
        <v>9.19</v>
      </c>
      <c r="AN73" s="3">
        <f t="shared" si="17"/>
        <v>0.0391910749488699</v>
      </c>
    </row>
    <row r="74" spans="1:40">
      <c r="A74">
        <v>118046</v>
      </c>
      <c r="B74" t="s">
        <v>188</v>
      </c>
      <c r="C74" s="4">
        <v>45275</v>
      </c>
      <c r="D74">
        <v>718076</v>
      </c>
      <c r="E74">
        <v>688076</v>
      </c>
      <c r="F74" t="s">
        <v>189</v>
      </c>
      <c r="G74">
        <v>0.00172269</v>
      </c>
      <c r="H74" s="4">
        <v>45309</v>
      </c>
      <c r="I74" t="s">
        <v>50</v>
      </c>
      <c r="J74" s="4">
        <v>45128</v>
      </c>
      <c r="K74" s="4">
        <v>45247</v>
      </c>
      <c r="L74">
        <v>147</v>
      </c>
      <c r="M74">
        <v>28</v>
      </c>
      <c r="N74">
        <v>23.43</v>
      </c>
      <c r="O74">
        <v>23.36</v>
      </c>
      <c r="P74">
        <v>29.21</v>
      </c>
      <c r="Q74">
        <v>29.5</v>
      </c>
      <c r="R74">
        <v>29.39</v>
      </c>
      <c r="S74">
        <v>28.4</v>
      </c>
      <c r="T74" s="2">
        <f t="shared" si="9"/>
        <v>-1.1</v>
      </c>
      <c r="U74" s="3">
        <f t="shared" si="10"/>
        <v>-0.0372881355932204</v>
      </c>
      <c r="V74">
        <v>27.78</v>
      </c>
      <c r="W74">
        <v>27.96</v>
      </c>
      <c r="X74" s="2">
        <f t="shared" si="11"/>
        <v>-1.54</v>
      </c>
      <c r="Y74" s="3">
        <f t="shared" si="12"/>
        <v>-0.0522033898305084</v>
      </c>
      <c r="Z74" s="2">
        <f t="shared" si="13"/>
        <v>-0.439999999999998</v>
      </c>
      <c r="AA74" s="3">
        <f t="shared" si="14"/>
        <v>-0.0154929577464788</v>
      </c>
      <c r="AB74">
        <v>29.74</v>
      </c>
      <c r="AC74">
        <v>29.64</v>
      </c>
      <c r="AD74">
        <v>11.31</v>
      </c>
      <c r="AE74">
        <v>11.34</v>
      </c>
      <c r="AF74">
        <v>10.22</v>
      </c>
      <c r="AG74">
        <v>10.15</v>
      </c>
      <c r="AH74">
        <v>9.2</v>
      </c>
      <c r="AI74">
        <v>9.21</v>
      </c>
      <c r="AJ74" s="2">
        <f t="shared" si="15"/>
        <v>-0.94</v>
      </c>
      <c r="AK74" s="3">
        <f t="shared" si="16"/>
        <v>-0.0926108374384236</v>
      </c>
      <c r="AL74">
        <v>9.21</v>
      </c>
      <c r="AM74">
        <v>9.2</v>
      </c>
      <c r="AN74" s="3">
        <f t="shared" si="17"/>
        <v>0.0404074476079151</v>
      </c>
    </row>
    <row r="75" spans="1:40">
      <c r="A75">
        <v>123234</v>
      </c>
      <c r="B75" t="s">
        <v>190</v>
      </c>
      <c r="C75" s="4">
        <v>45271</v>
      </c>
      <c r="D75">
        <v>370062</v>
      </c>
      <c r="E75">
        <v>300062</v>
      </c>
      <c r="F75" t="s">
        <v>191</v>
      </c>
      <c r="G75">
        <v>0.001357269</v>
      </c>
      <c r="H75" s="4">
        <v>45289</v>
      </c>
      <c r="I75" t="s">
        <v>50</v>
      </c>
      <c r="J75" s="4">
        <v>45129</v>
      </c>
      <c r="K75" s="4">
        <v>45240</v>
      </c>
      <c r="L75">
        <v>142</v>
      </c>
      <c r="M75">
        <v>31</v>
      </c>
      <c r="N75">
        <v>6.44</v>
      </c>
      <c r="O75">
        <v>6.42</v>
      </c>
      <c r="P75">
        <v>6.34</v>
      </c>
      <c r="Q75">
        <v>6.32</v>
      </c>
      <c r="R75">
        <v>6.26</v>
      </c>
      <c r="S75">
        <v>6.27</v>
      </c>
      <c r="T75" s="2">
        <f t="shared" si="9"/>
        <v>-0.0500000000000007</v>
      </c>
      <c r="U75" s="3">
        <f t="shared" si="10"/>
        <v>-0.0079113924050634</v>
      </c>
      <c r="V75">
        <v>5.99</v>
      </c>
      <c r="W75">
        <v>6.08</v>
      </c>
      <c r="X75" s="2">
        <f t="shared" si="11"/>
        <v>-0.24</v>
      </c>
      <c r="Y75" s="3">
        <f t="shared" si="12"/>
        <v>-0.0379746835443038</v>
      </c>
      <c r="Z75" s="2">
        <f t="shared" si="13"/>
        <v>-0.19</v>
      </c>
      <c r="AA75" s="3">
        <f t="shared" si="14"/>
        <v>-0.0303030303030302</v>
      </c>
      <c r="AB75">
        <v>6.08</v>
      </c>
      <c r="AC75">
        <v>6.21</v>
      </c>
      <c r="AD75">
        <v>11.33</v>
      </c>
      <c r="AE75">
        <v>11.26</v>
      </c>
      <c r="AF75">
        <v>10.45</v>
      </c>
      <c r="AG75">
        <v>10.3</v>
      </c>
      <c r="AH75">
        <v>9.22</v>
      </c>
      <c r="AI75">
        <v>9.35</v>
      </c>
      <c r="AJ75" s="2">
        <f t="shared" si="15"/>
        <v>-0.950000000000001</v>
      </c>
      <c r="AK75" s="3">
        <f t="shared" si="16"/>
        <v>-0.092233009708738</v>
      </c>
      <c r="AL75">
        <v>9.42</v>
      </c>
      <c r="AM75">
        <v>9.39</v>
      </c>
      <c r="AN75" s="3">
        <f t="shared" si="17"/>
        <v>0.0542583261644341</v>
      </c>
    </row>
    <row r="76" spans="1:40">
      <c r="A76">
        <v>127099</v>
      </c>
      <c r="B76" t="s">
        <v>192</v>
      </c>
      <c r="C76" s="4">
        <v>45266</v>
      </c>
      <c r="D76">
        <v>71205</v>
      </c>
      <c r="E76">
        <v>1205</v>
      </c>
      <c r="F76" t="s">
        <v>193</v>
      </c>
      <c r="G76">
        <v>0.0027218265</v>
      </c>
      <c r="H76" s="4">
        <v>45288</v>
      </c>
      <c r="I76" t="s">
        <v>55</v>
      </c>
      <c r="J76" s="4">
        <v>45170</v>
      </c>
      <c r="K76" s="5">
        <v>45229</v>
      </c>
      <c r="L76">
        <v>96</v>
      </c>
      <c r="M76">
        <v>37</v>
      </c>
      <c r="N76">
        <v>18.53</v>
      </c>
      <c r="O76">
        <v>18.4</v>
      </c>
      <c r="P76">
        <v>16.62</v>
      </c>
      <c r="Q76">
        <v>16.61</v>
      </c>
      <c r="R76">
        <v>18.57</v>
      </c>
      <c r="S76">
        <v>18.46</v>
      </c>
      <c r="T76" s="2">
        <f t="shared" si="9"/>
        <v>1.85</v>
      </c>
      <c r="U76" s="3">
        <f t="shared" si="10"/>
        <v>0.111378687537628</v>
      </c>
      <c r="V76">
        <v>17.57</v>
      </c>
      <c r="W76">
        <v>17.19</v>
      </c>
      <c r="X76" s="2">
        <f t="shared" si="11"/>
        <v>0.580000000000002</v>
      </c>
      <c r="Y76" s="3">
        <f t="shared" si="12"/>
        <v>0.0349187236604456</v>
      </c>
      <c r="Z76" s="2">
        <f t="shared" si="13"/>
        <v>-1.27</v>
      </c>
      <c r="AA76" s="3">
        <f t="shared" si="14"/>
        <v>-0.0687973997833153</v>
      </c>
      <c r="AB76">
        <v>16.48</v>
      </c>
      <c r="AC76">
        <v>16.81</v>
      </c>
      <c r="AD76">
        <v>11.19</v>
      </c>
      <c r="AE76">
        <v>11.32</v>
      </c>
      <c r="AF76">
        <v>10.4</v>
      </c>
      <c r="AG76">
        <v>10.45</v>
      </c>
      <c r="AH76">
        <v>9.44</v>
      </c>
      <c r="AI76">
        <v>9.5</v>
      </c>
      <c r="AJ76" s="2">
        <f t="shared" si="15"/>
        <v>-0.949999999999999</v>
      </c>
      <c r="AK76" s="3">
        <f t="shared" si="16"/>
        <v>-0.0909090909090908</v>
      </c>
      <c r="AL76">
        <v>9.11</v>
      </c>
      <c r="AM76">
        <v>9.45</v>
      </c>
      <c r="AN76" s="3">
        <f t="shared" si="17"/>
        <v>0.125827814569536</v>
      </c>
    </row>
    <row r="77" spans="1:40">
      <c r="A77">
        <v>123233</v>
      </c>
      <c r="B77" t="s">
        <v>194</v>
      </c>
      <c r="C77" s="4">
        <v>45259</v>
      </c>
      <c r="D77">
        <v>371069</v>
      </c>
      <c r="E77">
        <v>301069</v>
      </c>
      <c r="F77" t="s">
        <v>195</v>
      </c>
      <c r="G77">
        <v>0.0012234346</v>
      </c>
      <c r="H77" s="4">
        <v>45275</v>
      </c>
      <c r="I77" t="s">
        <v>55</v>
      </c>
      <c r="J77" s="4">
        <v>45107</v>
      </c>
      <c r="K77" s="4">
        <v>45168</v>
      </c>
      <c r="L77">
        <v>152</v>
      </c>
      <c r="M77">
        <v>91</v>
      </c>
      <c r="N77">
        <v>23.21</v>
      </c>
      <c r="O77">
        <v>25.19</v>
      </c>
      <c r="P77">
        <v>21.39</v>
      </c>
      <c r="Q77">
        <v>21.65</v>
      </c>
      <c r="R77">
        <v>19.59</v>
      </c>
      <c r="S77">
        <v>19.92</v>
      </c>
      <c r="T77" s="2">
        <f t="shared" si="9"/>
        <v>-1.73</v>
      </c>
      <c r="U77" s="3">
        <f t="shared" si="10"/>
        <v>-0.079907621247113</v>
      </c>
      <c r="V77">
        <v>19.42</v>
      </c>
      <c r="W77">
        <v>19.22</v>
      </c>
      <c r="X77" s="2">
        <f t="shared" si="11"/>
        <v>-2.43</v>
      </c>
      <c r="Y77" s="3">
        <f t="shared" si="12"/>
        <v>-0.112240184757506</v>
      </c>
      <c r="Z77" s="2">
        <f t="shared" si="13"/>
        <v>-0.700000000000003</v>
      </c>
      <c r="AA77" s="3">
        <f t="shared" si="14"/>
        <v>-0.0351405622489961</v>
      </c>
      <c r="AB77">
        <v>17.99</v>
      </c>
      <c r="AC77">
        <v>17.85</v>
      </c>
      <c r="AD77">
        <v>11.18</v>
      </c>
      <c r="AE77">
        <v>11.23</v>
      </c>
      <c r="AF77">
        <v>11.27</v>
      </c>
      <c r="AG77">
        <v>11.13</v>
      </c>
      <c r="AH77">
        <v>9.95</v>
      </c>
      <c r="AI77">
        <v>9.72</v>
      </c>
      <c r="AJ77" s="2">
        <f t="shared" si="15"/>
        <v>-1.41</v>
      </c>
      <c r="AK77" s="3">
        <f t="shared" si="16"/>
        <v>-0.126684636118598</v>
      </c>
      <c r="AL77">
        <v>9.2</v>
      </c>
      <c r="AM77">
        <v>9.21</v>
      </c>
      <c r="AN77" s="3">
        <f t="shared" si="17"/>
        <v>0.0144444513610926</v>
      </c>
    </row>
    <row r="78" spans="1:40">
      <c r="A78">
        <v>123232</v>
      </c>
      <c r="B78" t="s">
        <v>196</v>
      </c>
      <c r="C78" s="4">
        <v>45257</v>
      </c>
      <c r="D78">
        <v>370830</v>
      </c>
      <c r="E78">
        <v>300830</v>
      </c>
      <c r="F78" t="s">
        <v>197</v>
      </c>
      <c r="G78">
        <v>0.0014685712</v>
      </c>
      <c r="H78" s="4">
        <v>45279</v>
      </c>
      <c r="I78" t="s">
        <v>50</v>
      </c>
      <c r="J78" s="4">
        <v>45107</v>
      </c>
      <c r="K78" s="4">
        <v>45169</v>
      </c>
      <c r="L78">
        <v>150</v>
      </c>
      <c r="M78">
        <v>88</v>
      </c>
      <c r="N78">
        <v>9.54</v>
      </c>
      <c r="O78">
        <v>9.45</v>
      </c>
      <c r="P78">
        <v>8.84</v>
      </c>
      <c r="Q78">
        <v>8.79</v>
      </c>
      <c r="R78">
        <v>9.36</v>
      </c>
      <c r="S78">
        <v>9.2</v>
      </c>
      <c r="T78" s="2">
        <f t="shared" si="9"/>
        <v>0.41</v>
      </c>
      <c r="U78" s="3">
        <f t="shared" si="10"/>
        <v>0.0466439135381115</v>
      </c>
      <c r="V78">
        <v>8.66</v>
      </c>
      <c r="W78">
        <v>8.94</v>
      </c>
      <c r="X78" s="2">
        <f t="shared" si="11"/>
        <v>0.15</v>
      </c>
      <c r="Y78" s="3">
        <f t="shared" si="12"/>
        <v>0.0170648464163823</v>
      </c>
      <c r="Z78" s="2">
        <f t="shared" si="13"/>
        <v>-0.26</v>
      </c>
      <c r="AA78" s="3">
        <f t="shared" si="14"/>
        <v>-0.0282608695652174</v>
      </c>
      <c r="AB78">
        <v>8.67</v>
      </c>
      <c r="AC78">
        <v>8.65</v>
      </c>
      <c r="AD78">
        <v>11.18</v>
      </c>
      <c r="AE78">
        <v>11.23</v>
      </c>
      <c r="AF78">
        <v>11.14</v>
      </c>
      <c r="AG78">
        <v>11.13</v>
      </c>
      <c r="AH78">
        <v>10.09</v>
      </c>
      <c r="AI78">
        <v>10.01</v>
      </c>
      <c r="AJ78" s="2">
        <f t="shared" si="15"/>
        <v>-1.12</v>
      </c>
      <c r="AK78" s="3">
        <f t="shared" si="16"/>
        <v>-0.10062893081761</v>
      </c>
      <c r="AL78">
        <v>9.12</v>
      </c>
      <c r="AM78">
        <v>9.1</v>
      </c>
      <c r="AN78" s="3">
        <f t="shared" si="17"/>
        <v>0.117693777233992</v>
      </c>
    </row>
    <row r="79" spans="1:40">
      <c r="A79">
        <v>127098</v>
      </c>
      <c r="B79" t="s">
        <v>198</v>
      </c>
      <c r="C79" s="4">
        <v>45254</v>
      </c>
      <c r="D79">
        <v>71269</v>
      </c>
      <c r="E79">
        <v>1269</v>
      </c>
      <c r="F79" t="s">
        <v>199</v>
      </c>
      <c r="G79">
        <v>0.0017127732</v>
      </c>
      <c r="H79" s="4">
        <v>45275</v>
      </c>
      <c r="I79" t="s">
        <v>55</v>
      </c>
      <c r="J79" s="4">
        <v>45136</v>
      </c>
      <c r="K79" s="4">
        <v>45240</v>
      </c>
      <c r="L79">
        <v>118</v>
      </c>
      <c r="M79">
        <v>14</v>
      </c>
      <c r="N79">
        <v>56.49</v>
      </c>
      <c r="O79">
        <v>56.65</v>
      </c>
      <c r="P79">
        <v>45.6</v>
      </c>
      <c r="Q79">
        <v>45.44</v>
      </c>
      <c r="R79">
        <v>44.48</v>
      </c>
      <c r="S79">
        <v>45.03</v>
      </c>
      <c r="T79" s="2">
        <f t="shared" si="9"/>
        <v>-0.409999999999997</v>
      </c>
      <c r="U79" s="3">
        <f t="shared" si="10"/>
        <v>-0.00902288732394359</v>
      </c>
      <c r="V79">
        <v>43.79</v>
      </c>
      <c r="W79">
        <v>42.69</v>
      </c>
      <c r="X79" s="2">
        <f t="shared" si="11"/>
        <v>-2.75</v>
      </c>
      <c r="Y79" s="3">
        <f t="shared" si="12"/>
        <v>-0.0605193661971831</v>
      </c>
      <c r="Z79" s="2">
        <f t="shared" si="13"/>
        <v>-2.34</v>
      </c>
      <c r="AA79" s="3">
        <f t="shared" si="14"/>
        <v>-0.0519653564290474</v>
      </c>
      <c r="AB79">
        <v>37</v>
      </c>
      <c r="AC79">
        <v>37.45</v>
      </c>
      <c r="AD79">
        <v>12.3</v>
      </c>
      <c r="AE79">
        <v>12.32</v>
      </c>
      <c r="AF79">
        <v>10.45</v>
      </c>
      <c r="AG79">
        <v>10.3</v>
      </c>
      <c r="AH79">
        <v>10.11</v>
      </c>
      <c r="AI79">
        <v>10.1</v>
      </c>
      <c r="AJ79" s="2">
        <f t="shared" si="15"/>
        <v>-0.200000000000001</v>
      </c>
      <c r="AK79" s="3">
        <f t="shared" si="16"/>
        <v>-0.0194174757281554</v>
      </c>
      <c r="AL79">
        <v>9.2</v>
      </c>
      <c r="AM79">
        <v>9.21</v>
      </c>
      <c r="AN79" s="3">
        <f t="shared" si="17"/>
        <v>-0.0411018904690277</v>
      </c>
    </row>
    <row r="80" spans="1:40">
      <c r="A80">
        <v>113680</v>
      </c>
      <c r="B80" t="s">
        <v>200</v>
      </c>
      <c r="C80" s="4">
        <v>45245</v>
      </c>
      <c r="D80">
        <v>754937</v>
      </c>
      <c r="E80">
        <v>603937</v>
      </c>
      <c r="F80" t="s">
        <v>201</v>
      </c>
      <c r="G80">
        <v>0.00048969</v>
      </c>
      <c r="H80" s="4">
        <v>45265</v>
      </c>
      <c r="I80" t="s">
        <v>50</v>
      </c>
      <c r="J80" s="4">
        <v>45127</v>
      </c>
      <c r="K80" s="5">
        <v>45191</v>
      </c>
      <c r="L80">
        <v>118</v>
      </c>
      <c r="M80">
        <v>54</v>
      </c>
      <c r="N80">
        <v>12.6</v>
      </c>
      <c r="O80">
        <v>12.35</v>
      </c>
      <c r="P80">
        <v>12.71</v>
      </c>
      <c r="Q80">
        <v>12.62</v>
      </c>
      <c r="R80">
        <v>12.88</v>
      </c>
      <c r="S80">
        <v>13.08</v>
      </c>
      <c r="T80" s="2">
        <f t="shared" si="9"/>
        <v>0.460000000000001</v>
      </c>
      <c r="U80" s="3">
        <f t="shared" si="10"/>
        <v>0.0364500792393028</v>
      </c>
      <c r="V80">
        <v>12.3</v>
      </c>
      <c r="W80">
        <v>12.49</v>
      </c>
      <c r="X80" s="2">
        <f t="shared" si="11"/>
        <v>-0.129999999999999</v>
      </c>
      <c r="Y80" s="3">
        <f t="shared" si="12"/>
        <v>-0.0103011093502376</v>
      </c>
      <c r="Z80" s="2">
        <f t="shared" si="13"/>
        <v>-0.59</v>
      </c>
      <c r="AA80" s="3">
        <f t="shared" si="14"/>
        <v>-0.0451070336391437</v>
      </c>
      <c r="AB80">
        <v>12.73</v>
      </c>
      <c r="AC80">
        <v>12.36</v>
      </c>
      <c r="AD80">
        <v>11.33</v>
      </c>
      <c r="AE80">
        <v>11.32</v>
      </c>
      <c r="AF80">
        <v>11.03</v>
      </c>
      <c r="AG80">
        <v>11.24</v>
      </c>
      <c r="AH80">
        <v>10.37</v>
      </c>
      <c r="AI80">
        <v>10.37</v>
      </c>
      <c r="AJ80" s="2">
        <f t="shared" si="15"/>
        <v>-0.870000000000001</v>
      </c>
      <c r="AK80" s="3">
        <f t="shared" si="16"/>
        <v>-0.0774021352313168</v>
      </c>
      <c r="AL80">
        <v>9.61</v>
      </c>
      <c r="AM80">
        <v>9.48</v>
      </c>
      <c r="AN80" s="3">
        <f t="shared" si="17"/>
        <v>0.0671010258810792</v>
      </c>
    </row>
    <row r="81" spans="1:40">
      <c r="A81">
        <v>123230</v>
      </c>
      <c r="B81" t="s">
        <v>202</v>
      </c>
      <c r="C81" s="4">
        <v>45239</v>
      </c>
      <c r="D81">
        <v>371133</v>
      </c>
      <c r="E81">
        <v>301133</v>
      </c>
      <c r="F81" t="s">
        <v>203</v>
      </c>
      <c r="G81">
        <v>0.0004519079</v>
      </c>
      <c r="H81" s="4">
        <v>45261</v>
      </c>
      <c r="I81" t="s">
        <v>121</v>
      </c>
      <c r="J81" s="4">
        <v>45121</v>
      </c>
      <c r="K81" s="4">
        <v>45168</v>
      </c>
      <c r="L81">
        <v>118</v>
      </c>
      <c r="M81">
        <v>71</v>
      </c>
      <c r="N81">
        <v>27.89</v>
      </c>
      <c r="O81">
        <v>27.41</v>
      </c>
      <c r="P81">
        <v>26.58</v>
      </c>
      <c r="Q81">
        <v>27.11</v>
      </c>
      <c r="R81">
        <v>29.29</v>
      </c>
      <c r="S81">
        <v>29.4</v>
      </c>
      <c r="T81" s="2">
        <f t="shared" si="9"/>
        <v>2.29</v>
      </c>
      <c r="U81" s="3">
        <f t="shared" si="10"/>
        <v>0.084470675027665</v>
      </c>
      <c r="V81">
        <v>27.51</v>
      </c>
      <c r="W81">
        <v>28.41</v>
      </c>
      <c r="X81" s="2">
        <f t="shared" si="11"/>
        <v>1.3</v>
      </c>
      <c r="Y81" s="3">
        <f t="shared" si="12"/>
        <v>0.0479527849502029</v>
      </c>
      <c r="Z81" s="2">
        <f t="shared" si="13"/>
        <v>-0.989999999999998</v>
      </c>
      <c r="AA81" s="3">
        <f t="shared" si="14"/>
        <v>-0.033673469387755</v>
      </c>
      <c r="AB81">
        <v>31.45</v>
      </c>
      <c r="AC81">
        <v>31.66</v>
      </c>
      <c r="AD81">
        <v>11.43</v>
      </c>
      <c r="AE81">
        <v>11.46</v>
      </c>
      <c r="AF81">
        <v>11.27</v>
      </c>
      <c r="AG81">
        <v>11.13</v>
      </c>
      <c r="AH81">
        <v>10.46</v>
      </c>
      <c r="AI81">
        <v>10.49</v>
      </c>
      <c r="AJ81" s="2">
        <f t="shared" si="15"/>
        <v>-0.640000000000001</v>
      </c>
      <c r="AK81" s="3">
        <f t="shared" si="16"/>
        <v>-0.0575022461814915</v>
      </c>
      <c r="AL81">
        <v>9.65</v>
      </c>
      <c r="AM81">
        <v>9.66</v>
      </c>
      <c r="AN81" s="3">
        <f t="shared" si="17"/>
        <v>0.105455031131694</v>
      </c>
    </row>
    <row r="82" spans="1:40">
      <c r="A82">
        <v>123231</v>
      </c>
      <c r="B82" t="s">
        <v>204</v>
      </c>
      <c r="C82" s="4">
        <v>45239</v>
      </c>
      <c r="D82">
        <v>370938</v>
      </c>
      <c r="E82">
        <v>300938</v>
      </c>
      <c r="F82" t="s">
        <v>205</v>
      </c>
      <c r="G82">
        <v>0.0010515875</v>
      </c>
      <c r="H82" s="4">
        <v>45259</v>
      </c>
      <c r="I82" t="s">
        <v>55</v>
      </c>
      <c r="J82" s="4">
        <v>45121</v>
      </c>
      <c r="K82" s="4">
        <v>45168</v>
      </c>
      <c r="L82">
        <v>118</v>
      </c>
      <c r="M82">
        <v>71</v>
      </c>
      <c r="N82">
        <v>20.9</v>
      </c>
      <c r="O82">
        <v>20.76</v>
      </c>
      <c r="P82">
        <v>20.46</v>
      </c>
      <c r="Q82">
        <v>20.8</v>
      </c>
      <c r="R82">
        <v>18.34</v>
      </c>
      <c r="S82">
        <v>18.1</v>
      </c>
      <c r="T82" s="2">
        <f t="shared" si="9"/>
        <v>-2.7</v>
      </c>
      <c r="U82" s="3">
        <f t="shared" si="10"/>
        <v>-0.129807692307692</v>
      </c>
      <c r="V82">
        <v>17.51</v>
      </c>
      <c r="W82">
        <v>17.71</v>
      </c>
      <c r="X82" s="2">
        <f t="shared" si="11"/>
        <v>-3.09</v>
      </c>
      <c r="Y82" s="3">
        <f t="shared" si="12"/>
        <v>-0.148557692307692</v>
      </c>
      <c r="Z82" s="2">
        <f t="shared" si="13"/>
        <v>-0.390000000000001</v>
      </c>
      <c r="AA82" s="3">
        <f t="shared" si="14"/>
        <v>-0.0215469613259669</v>
      </c>
      <c r="AB82">
        <v>18.52</v>
      </c>
      <c r="AC82">
        <v>18.19</v>
      </c>
      <c r="AD82">
        <v>11.43</v>
      </c>
      <c r="AE82">
        <v>11.46</v>
      </c>
      <c r="AF82">
        <v>11.27</v>
      </c>
      <c r="AG82">
        <v>11.13</v>
      </c>
      <c r="AH82">
        <v>10.46</v>
      </c>
      <c r="AI82">
        <v>10.49</v>
      </c>
      <c r="AJ82" s="2">
        <f t="shared" si="15"/>
        <v>-0.640000000000001</v>
      </c>
      <c r="AK82" s="3">
        <f t="shared" si="16"/>
        <v>-0.0575022461814915</v>
      </c>
      <c r="AL82">
        <v>9.95</v>
      </c>
      <c r="AM82">
        <v>9.72</v>
      </c>
      <c r="AN82" s="3">
        <f t="shared" si="17"/>
        <v>-0.0910554461262008</v>
      </c>
    </row>
    <row r="83" spans="1:40">
      <c r="A83">
        <v>127097</v>
      </c>
      <c r="B83" t="s">
        <v>206</v>
      </c>
      <c r="C83" s="4">
        <v>45225</v>
      </c>
      <c r="D83">
        <v>71317</v>
      </c>
      <c r="E83">
        <v>1317</v>
      </c>
      <c r="F83" t="s">
        <v>207</v>
      </c>
      <c r="G83">
        <v>0.0004248122</v>
      </c>
      <c r="H83" s="4">
        <v>45247</v>
      </c>
      <c r="I83" t="s">
        <v>50</v>
      </c>
      <c r="J83" s="4">
        <v>45099</v>
      </c>
      <c r="K83" s="4">
        <v>45176</v>
      </c>
      <c r="L83">
        <v>126</v>
      </c>
      <c r="M83">
        <v>49</v>
      </c>
      <c r="N83">
        <v>36.37</v>
      </c>
      <c r="O83">
        <v>35.75</v>
      </c>
      <c r="P83">
        <v>36.58</v>
      </c>
      <c r="Q83">
        <v>35.81</v>
      </c>
      <c r="R83">
        <v>35.66</v>
      </c>
      <c r="S83">
        <v>35.72</v>
      </c>
      <c r="T83" s="2">
        <f t="shared" si="9"/>
        <v>-0.0900000000000034</v>
      </c>
      <c r="U83" s="3">
        <f t="shared" si="10"/>
        <v>-0.00251326445127069</v>
      </c>
      <c r="V83">
        <v>32.78</v>
      </c>
      <c r="W83">
        <v>33.75</v>
      </c>
      <c r="X83" s="2">
        <f t="shared" si="11"/>
        <v>-2.06</v>
      </c>
      <c r="Y83" s="3">
        <f t="shared" si="12"/>
        <v>-0.057525830773527</v>
      </c>
      <c r="Z83" s="2">
        <f t="shared" si="13"/>
        <v>-1.97</v>
      </c>
      <c r="AA83" s="3">
        <f t="shared" si="14"/>
        <v>-0.0551511758118701</v>
      </c>
      <c r="AB83">
        <v>37.47</v>
      </c>
      <c r="AC83">
        <v>39.83</v>
      </c>
      <c r="AD83">
        <v>11.3</v>
      </c>
      <c r="AE83">
        <v>11.18</v>
      </c>
      <c r="AF83">
        <v>11.4</v>
      </c>
      <c r="AG83">
        <v>11.33</v>
      </c>
      <c r="AH83">
        <v>10.31</v>
      </c>
      <c r="AI83">
        <v>10.41</v>
      </c>
      <c r="AJ83" s="2">
        <f t="shared" si="15"/>
        <v>-0.92</v>
      </c>
      <c r="AK83" s="3">
        <f t="shared" si="16"/>
        <v>-0.0812003530450132</v>
      </c>
      <c r="AL83">
        <v>10.22</v>
      </c>
      <c r="AM83">
        <v>10.15</v>
      </c>
      <c r="AN83" s="3">
        <f t="shared" si="17"/>
        <v>0.0236745222714862</v>
      </c>
    </row>
    <row r="84" spans="1:40">
      <c r="A84">
        <v>113679</v>
      </c>
      <c r="B84" t="s">
        <v>208</v>
      </c>
      <c r="C84" s="4">
        <v>45225</v>
      </c>
      <c r="D84">
        <v>754105</v>
      </c>
      <c r="E84">
        <v>603105</v>
      </c>
      <c r="F84" t="s">
        <v>209</v>
      </c>
      <c r="G84">
        <v>0.00265816</v>
      </c>
      <c r="H84" s="4">
        <v>45254</v>
      </c>
      <c r="I84" t="s">
        <v>55</v>
      </c>
      <c r="J84" s="4">
        <v>45150</v>
      </c>
      <c r="K84" s="4">
        <v>45191</v>
      </c>
      <c r="L84">
        <v>75</v>
      </c>
      <c r="M84">
        <v>34</v>
      </c>
      <c r="N84">
        <v>14.5</v>
      </c>
      <c r="O84">
        <v>14.73</v>
      </c>
      <c r="P84">
        <v>12.73</v>
      </c>
      <c r="Q84">
        <v>13.08</v>
      </c>
      <c r="R84">
        <v>11.95</v>
      </c>
      <c r="S84">
        <v>11.67</v>
      </c>
      <c r="T84" s="2">
        <f t="shared" si="9"/>
        <v>-1.41</v>
      </c>
      <c r="U84" s="3">
        <f t="shared" si="10"/>
        <v>-0.107798165137615</v>
      </c>
      <c r="V84">
        <v>11.15</v>
      </c>
      <c r="W84">
        <v>11.53</v>
      </c>
      <c r="X84" s="2">
        <f t="shared" si="11"/>
        <v>-1.55</v>
      </c>
      <c r="Y84" s="3">
        <f t="shared" si="12"/>
        <v>-0.118501529051988</v>
      </c>
      <c r="Z84" s="2">
        <f t="shared" si="13"/>
        <v>-0.140000000000001</v>
      </c>
      <c r="AA84" s="3">
        <f t="shared" si="14"/>
        <v>-0.0119965724078835</v>
      </c>
      <c r="AB84">
        <v>12.28</v>
      </c>
      <c r="AC84">
        <v>12.02</v>
      </c>
      <c r="AD84">
        <v>11.76</v>
      </c>
      <c r="AE84">
        <v>11.67</v>
      </c>
      <c r="AF84">
        <v>11.03</v>
      </c>
      <c r="AG84">
        <v>11.24</v>
      </c>
      <c r="AH84">
        <v>10.31</v>
      </c>
      <c r="AI84">
        <v>10.41</v>
      </c>
      <c r="AJ84" s="2">
        <f t="shared" si="15"/>
        <v>-0.83</v>
      </c>
      <c r="AK84" s="3">
        <f t="shared" si="16"/>
        <v>-0.0738434163701068</v>
      </c>
      <c r="AL84">
        <v>10.11</v>
      </c>
      <c r="AM84">
        <v>10.1</v>
      </c>
      <c r="AN84" s="3">
        <f t="shared" si="17"/>
        <v>-0.0446581126818811</v>
      </c>
    </row>
    <row r="85" spans="1:40">
      <c r="A85">
        <v>123229</v>
      </c>
      <c r="B85" t="s">
        <v>210</v>
      </c>
      <c r="C85" s="4">
        <v>45222</v>
      </c>
      <c r="D85">
        <v>371062</v>
      </c>
      <c r="E85">
        <v>301062</v>
      </c>
      <c r="F85" t="s">
        <v>211</v>
      </c>
      <c r="G85">
        <v>0.0015666985</v>
      </c>
      <c r="H85" s="4">
        <v>45250</v>
      </c>
      <c r="I85" t="s">
        <v>50</v>
      </c>
      <c r="J85" s="4">
        <v>45121</v>
      </c>
      <c r="K85" s="4">
        <v>45167</v>
      </c>
      <c r="L85">
        <v>101</v>
      </c>
      <c r="M85">
        <v>55</v>
      </c>
      <c r="N85">
        <v>10.31</v>
      </c>
      <c r="O85">
        <v>10.33</v>
      </c>
      <c r="P85">
        <v>9.24</v>
      </c>
      <c r="Q85">
        <v>9.63</v>
      </c>
      <c r="R85">
        <v>9.6</v>
      </c>
      <c r="S85">
        <v>9.53</v>
      </c>
      <c r="T85" s="2">
        <f t="shared" si="9"/>
        <v>-0.100000000000001</v>
      </c>
      <c r="U85" s="3">
        <f t="shared" si="10"/>
        <v>-0.0103842159916928</v>
      </c>
      <c r="V85">
        <v>9.12</v>
      </c>
      <c r="W85">
        <v>8.83</v>
      </c>
      <c r="X85" s="2">
        <f t="shared" si="11"/>
        <v>-0.800000000000001</v>
      </c>
      <c r="Y85" s="3">
        <f t="shared" si="12"/>
        <v>-0.0830737279335411</v>
      </c>
      <c r="Z85" s="2">
        <f t="shared" si="13"/>
        <v>-0.699999999999999</v>
      </c>
      <c r="AA85" s="3">
        <f t="shared" si="14"/>
        <v>-0.0734522560335781</v>
      </c>
      <c r="AB85">
        <v>11.17</v>
      </c>
      <c r="AC85">
        <v>11.35</v>
      </c>
      <c r="AD85">
        <v>11.43</v>
      </c>
      <c r="AE85">
        <v>11.46</v>
      </c>
      <c r="AF85">
        <v>11.47</v>
      </c>
      <c r="AG85">
        <v>11.31</v>
      </c>
      <c r="AH85">
        <v>10.59</v>
      </c>
      <c r="AI85">
        <v>10.5</v>
      </c>
      <c r="AJ85" s="2">
        <f t="shared" si="15"/>
        <v>-0.81</v>
      </c>
      <c r="AK85" s="3">
        <f t="shared" si="16"/>
        <v>-0.0716180371352786</v>
      </c>
      <c r="AL85">
        <v>10.15</v>
      </c>
      <c r="AM85">
        <v>10.19</v>
      </c>
      <c r="AN85" s="3">
        <f t="shared" si="17"/>
        <v>-0.0114556907982625</v>
      </c>
    </row>
    <row r="86" spans="1:40">
      <c r="A86">
        <v>123228</v>
      </c>
      <c r="B86" t="s">
        <v>212</v>
      </c>
      <c r="C86" s="4">
        <v>45219</v>
      </c>
      <c r="D86">
        <v>370953</v>
      </c>
      <c r="E86">
        <v>300953</v>
      </c>
      <c r="F86" t="s">
        <v>213</v>
      </c>
      <c r="G86">
        <v>0.0033437479</v>
      </c>
      <c r="H86" s="4">
        <v>45239</v>
      </c>
      <c r="I86" t="s">
        <v>55</v>
      </c>
      <c r="J86" s="4">
        <v>45135</v>
      </c>
      <c r="K86" s="4">
        <v>45175</v>
      </c>
      <c r="L86">
        <v>84</v>
      </c>
      <c r="M86">
        <v>44</v>
      </c>
      <c r="N86">
        <v>50.37</v>
      </c>
      <c r="O86">
        <v>50.74</v>
      </c>
      <c r="P86">
        <v>43.94</v>
      </c>
      <c r="Q86">
        <v>45.75</v>
      </c>
      <c r="R86">
        <v>42.24</v>
      </c>
      <c r="S86">
        <v>41.29</v>
      </c>
      <c r="T86" s="2">
        <f t="shared" si="9"/>
        <v>-4.46</v>
      </c>
      <c r="U86" s="3">
        <f t="shared" si="10"/>
        <v>-0.0974863387978142</v>
      </c>
      <c r="V86">
        <v>39.66</v>
      </c>
      <c r="W86">
        <v>41.19</v>
      </c>
      <c r="X86" s="2">
        <f t="shared" si="11"/>
        <v>-4.56</v>
      </c>
      <c r="Y86" s="3">
        <f t="shared" si="12"/>
        <v>-0.099672131147541</v>
      </c>
      <c r="Z86" s="2">
        <f t="shared" si="13"/>
        <v>-0.100000000000001</v>
      </c>
      <c r="AA86" s="3">
        <f t="shared" si="14"/>
        <v>-0.00242189392104629</v>
      </c>
      <c r="AB86">
        <v>42.12</v>
      </c>
      <c r="AC86">
        <v>42.03</v>
      </c>
      <c r="AD86">
        <v>11.69</v>
      </c>
      <c r="AE86">
        <v>12.26</v>
      </c>
      <c r="AF86">
        <v>11.33</v>
      </c>
      <c r="AG86">
        <v>11.43</v>
      </c>
      <c r="AH86">
        <v>10.55</v>
      </c>
      <c r="AI86">
        <v>10.6</v>
      </c>
      <c r="AJ86" s="2">
        <f t="shared" si="15"/>
        <v>-0.83</v>
      </c>
      <c r="AK86" s="3">
        <f t="shared" si="16"/>
        <v>-0.0726159230096238</v>
      </c>
      <c r="AL86">
        <v>10.46</v>
      </c>
      <c r="AM86">
        <v>10.49</v>
      </c>
      <c r="AN86" s="3">
        <f t="shared" si="17"/>
        <v>-0.0270562081379172</v>
      </c>
    </row>
    <row r="87" spans="1:40">
      <c r="A87">
        <v>123227</v>
      </c>
      <c r="B87" t="s">
        <v>214</v>
      </c>
      <c r="C87" s="4">
        <v>45219</v>
      </c>
      <c r="D87">
        <v>371099</v>
      </c>
      <c r="E87">
        <v>301099</v>
      </c>
      <c r="F87" t="s">
        <v>215</v>
      </c>
      <c r="G87">
        <v>0.0008851171</v>
      </c>
      <c r="H87" s="4">
        <v>45240</v>
      </c>
      <c r="I87" t="s">
        <v>50</v>
      </c>
      <c r="J87" s="4">
        <v>45121</v>
      </c>
      <c r="K87" s="4">
        <v>45170</v>
      </c>
      <c r="L87">
        <v>98</v>
      </c>
      <c r="M87">
        <v>49</v>
      </c>
      <c r="N87">
        <v>38.26</v>
      </c>
      <c r="O87">
        <v>36.77</v>
      </c>
      <c r="P87">
        <v>26.99</v>
      </c>
      <c r="Q87">
        <v>27.08</v>
      </c>
      <c r="R87">
        <v>30.58</v>
      </c>
      <c r="S87">
        <v>29.32</v>
      </c>
      <c r="T87" s="2">
        <f t="shared" si="9"/>
        <v>2.24</v>
      </c>
      <c r="U87" s="3">
        <f t="shared" si="10"/>
        <v>0.0827178729689809</v>
      </c>
      <c r="V87">
        <v>27.79</v>
      </c>
      <c r="W87">
        <v>27.71</v>
      </c>
      <c r="X87" s="2">
        <f t="shared" si="11"/>
        <v>0.630000000000003</v>
      </c>
      <c r="Y87" s="3">
        <f t="shared" si="12"/>
        <v>0.0232644017725259</v>
      </c>
      <c r="Z87" s="2">
        <f t="shared" si="13"/>
        <v>-1.61</v>
      </c>
      <c r="AA87" s="3">
        <f t="shared" si="14"/>
        <v>-0.0549113233287858</v>
      </c>
      <c r="AB87">
        <v>31.18</v>
      </c>
      <c r="AC87">
        <v>31.92</v>
      </c>
      <c r="AD87">
        <v>11.43</v>
      </c>
      <c r="AE87">
        <v>11.46</v>
      </c>
      <c r="AF87">
        <v>11.19</v>
      </c>
      <c r="AG87">
        <v>11.32</v>
      </c>
      <c r="AH87">
        <v>10.55</v>
      </c>
      <c r="AI87">
        <v>10.6</v>
      </c>
      <c r="AJ87" s="2">
        <f t="shared" si="15"/>
        <v>-0.720000000000001</v>
      </c>
      <c r="AK87" s="3">
        <f t="shared" si="16"/>
        <v>-0.0636042402826856</v>
      </c>
      <c r="AL87">
        <v>10.45</v>
      </c>
      <c r="AM87">
        <v>10.3</v>
      </c>
      <c r="AN87" s="3">
        <f t="shared" si="17"/>
        <v>0.0868686420552115</v>
      </c>
    </row>
    <row r="88" spans="1:40">
      <c r="A88">
        <v>113678</v>
      </c>
      <c r="B88" t="s">
        <v>216</v>
      </c>
      <c r="C88" s="4">
        <v>45218</v>
      </c>
      <c r="D88">
        <v>754220</v>
      </c>
      <c r="E88">
        <v>603220</v>
      </c>
      <c r="F88" t="s">
        <v>217</v>
      </c>
      <c r="G88">
        <v>0.00148949</v>
      </c>
      <c r="H88" s="4">
        <v>45251</v>
      </c>
      <c r="I88" t="s">
        <v>50</v>
      </c>
      <c r="J88" s="4">
        <v>45105</v>
      </c>
      <c r="K88" s="5">
        <v>45164</v>
      </c>
      <c r="L88">
        <v>113</v>
      </c>
      <c r="M88">
        <v>54</v>
      </c>
      <c r="N88">
        <v>11.49</v>
      </c>
      <c r="O88">
        <v>11.05</v>
      </c>
      <c r="P88">
        <v>17.11</v>
      </c>
      <c r="Q88">
        <v>15.77</v>
      </c>
      <c r="R88">
        <v>25.85</v>
      </c>
      <c r="S88">
        <v>29.25</v>
      </c>
      <c r="T88" s="2">
        <f t="shared" si="9"/>
        <v>13.48</v>
      </c>
      <c r="U88" s="3">
        <f t="shared" si="10"/>
        <v>0.854787571337984</v>
      </c>
      <c r="V88">
        <v>29.77</v>
      </c>
      <c r="W88">
        <v>27.08</v>
      </c>
      <c r="X88" s="2">
        <f t="shared" si="11"/>
        <v>11.31</v>
      </c>
      <c r="Y88" s="3">
        <f t="shared" si="12"/>
        <v>0.71718452758402</v>
      </c>
      <c r="Z88" s="2">
        <f t="shared" si="13"/>
        <v>-2.17</v>
      </c>
      <c r="AA88" s="3">
        <f t="shared" si="14"/>
        <v>-0.0741880341880342</v>
      </c>
      <c r="AB88">
        <v>37.89</v>
      </c>
      <c r="AC88">
        <v>35.24</v>
      </c>
      <c r="AD88">
        <v>11.28</v>
      </c>
      <c r="AE88">
        <v>11.3</v>
      </c>
      <c r="AF88">
        <v>11.84</v>
      </c>
      <c r="AG88">
        <v>11.52</v>
      </c>
      <c r="AH88">
        <v>10.91</v>
      </c>
      <c r="AI88">
        <v>10.6</v>
      </c>
      <c r="AJ88" s="2">
        <f t="shared" si="15"/>
        <v>-0.92</v>
      </c>
      <c r="AK88" s="3">
        <f t="shared" si="16"/>
        <v>-0.0798611111111111</v>
      </c>
      <c r="AL88">
        <v>10.23</v>
      </c>
      <c r="AM88">
        <v>10.28</v>
      </c>
      <c r="AN88" s="3">
        <f t="shared" si="17"/>
        <v>0.797045638695131</v>
      </c>
    </row>
    <row r="89" spans="1:40">
      <c r="A89">
        <v>127095</v>
      </c>
      <c r="B89" t="s">
        <v>218</v>
      </c>
      <c r="C89" s="4">
        <v>45217</v>
      </c>
      <c r="D89">
        <v>72111</v>
      </c>
      <c r="E89">
        <v>2111</v>
      </c>
      <c r="F89" t="s">
        <v>219</v>
      </c>
      <c r="G89">
        <v>0.0022347742</v>
      </c>
      <c r="H89" s="4">
        <v>45240</v>
      </c>
      <c r="I89" t="s">
        <v>55</v>
      </c>
      <c r="J89" s="4">
        <v>45121</v>
      </c>
      <c r="K89" s="4">
        <v>45171</v>
      </c>
      <c r="L89">
        <v>96</v>
      </c>
      <c r="M89">
        <v>46</v>
      </c>
      <c r="N89">
        <v>9.2</v>
      </c>
      <c r="O89">
        <v>9.1</v>
      </c>
      <c r="P89">
        <v>8.88</v>
      </c>
      <c r="Q89">
        <v>8.97</v>
      </c>
      <c r="R89">
        <v>8.96</v>
      </c>
      <c r="S89">
        <v>8.7</v>
      </c>
      <c r="T89" s="2">
        <f t="shared" si="9"/>
        <v>-0.270000000000001</v>
      </c>
      <c r="U89" s="3">
        <f t="shared" si="10"/>
        <v>-0.0301003344481607</v>
      </c>
      <c r="V89">
        <v>8.45</v>
      </c>
      <c r="W89">
        <v>8.4</v>
      </c>
      <c r="X89" s="2">
        <f t="shared" si="11"/>
        <v>-0.57</v>
      </c>
      <c r="Y89" s="3">
        <f t="shared" si="12"/>
        <v>-0.0635451505016723</v>
      </c>
      <c r="Z89" s="2">
        <f t="shared" si="13"/>
        <v>-0.299999999999999</v>
      </c>
      <c r="AA89" s="3">
        <f t="shared" si="14"/>
        <v>-0.0344827586206895</v>
      </c>
      <c r="AB89">
        <v>9.01</v>
      </c>
      <c r="AC89">
        <v>9.06</v>
      </c>
      <c r="AD89">
        <v>11.43</v>
      </c>
      <c r="AE89">
        <v>11.46</v>
      </c>
      <c r="AF89">
        <v>11.35</v>
      </c>
      <c r="AG89">
        <v>11.56</v>
      </c>
      <c r="AH89">
        <v>10.99</v>
      </c>
      <c r="AI89">
        <v>10.95</v>
      </c>
      <c r="AJ89" s="2">
        <f t="shared" si="15"/>
        <v>-0.610000000000001</v>
      </c>
      <c r="AK89" s="3">
        <f t="shared" si="16"/>
        <v>-0.0527681660899655</v>
      </c>
      <c r="AL89">
        <v>10.45</v>
      </c>
      <c r="AM89">
        <v>10.3</v>
      </c>
      <c r="AN89" s="3">
        <f t="shared" si="17"/>
        <v>-0.0107769844117068</v>
      </c>
    </row>
    <row r="90" spans="1:40">
      <c r="A90">
        <v>127094</v>
      </c>
      <c r="B90" t="s">
        <v>220</v>
      </c>
      <c r="C90" s="4">
        <v>45217</v>
      </c>
      <c r="D90">
        <v>72809</v>
      </c>
      <c r="E90">
        <v>2809</v>
      </c>
      <c r="F90" t="s">
        <v>221</v>
      </c>
      <c r="G90">
        <v>0.000963578</v>
      </c>
      <c r="H90" s="4">
        <v>45238</v>
      </c>
      <c r="I90" t="s">
        <v>50</v>
      </c>
      <c r="J90" s="4">
        <v>45121</v>
      </c>
      <c r="K90" s="4">
        <v>45170</v>
      </c>
      <c r="L90">
        <v>96</v>
      </c>
      <c r="M90">
        <v>47</v>
      </c>
      <c r="N90">
        <v>10.71</v>
      </c>
      <c r="O90">
        <v>10.6</v>
      </c>
      <c r="P90">
        <v>10.44</v>
      </c>
      <c r="Q90">
        <v>10.51</v>
      </c>
      <c r="R90">
        <v>10.35</v>
      </c>
      <c r="S90">
        <v>10.21</v>
      </c>
      <c r="T90" s="2">
        <f t="shared" si="9"/>
        <v>-0.299999999999999</v>
      </c>
      <c r="U90" s="3">
        <f t="shared" si="10"/>
        <v>-0.0285442435775451</v>
      </c>
      <c r="V90">
        <v>9.29</v>
      </c>
      <c r="W90">
        <v>9.14</v>
      </c>
      <c r="X90" s="2">
        <f t="shared" si="11"/>
        <v>-1.37</v>
      </c>
      <c r="Y90" s="3">
        <f t="shared" si="12"/>
        <v>-0.13035204567079</v>
      </c>
      <c r="Z90" s="2">
        <f t="shared" si="13"/>
        <v>-1.07</v>
      </c>
      <c r="AA90" s="3">
        <f t="shared" si="14"/>
        <v>-0.104799216454456</v>
      </c>
      <c r="AB90">
        <v>10.23</v>
      </c>
      <c r="AC90">
        <v>10.2</v>
      </c>
      <c r="AD90">
        <v>11.43</v>
      </c>
      <c r="AE90">
        <v>11.46</v>
      </c>
      <c r="AF90">
        <v>11.19</v>
      </c>
      <c r="AG90">
        <v>11.32</v>
      </c>
      <c r="AH90">
        <v>10.99</v>
      </c>
      <c r="AI90">
        <v>10.95</v>
      </c>
      <c r="AJ90" s="2">
        <f t="shared" si="15"/>
        <v>-0.370000000000001</v>
      </c>
      <c r="AK90" s="3">
        <f t="shared" si="16"/>
        <v>-0.0326855123674913</v>
      </c>
      <c r="AL90">
        <v>10.58</v>
      </c>
      <c r="AM90">
        <v>10.5</v>
      </c>
      <c r="AN90" s="3">
        <f t="shared" si="17"/>
        <v>-0.0976665333032984</v>
      </c>
    </row>
    <row r="91" spans="1:40">
      <c r="A91">
        <v>127093</v>
      </c>
      <c r="B91" t="s">
        <v>222</v>
      </c>
      <c r="C91" s="4">
        <v>45216</v>
      </c>
      <c r="D91">
        <v>72598</v>
      </c>
      <c r="E91">
        <v>2598</v>
      </c>
      <c r="F91" t="s">
        <v>223</v>
      </c>
      <c r="G91">
        <v>0.0007387761</v>
      </c>
      <c r="H91" s="4">
        <v>45233</v>
      </c>
      <c r="I91" t="s">
        <v>50</v>
      </c>
      <c r="J91" s="4">
        <v>45115</v>
      </c>
      <c r="K91" s="4">
        <v>45168</v>
      </c>
      <c r="L91">
        <v>101</v>
      </c>
      <c r="M91">
        <v>48</v>
      </c>
      <c r="N91">
        <v>11.41</v>
      </c>
      <c r="O91">
        <v>11.36</v>
      </c>
      <c r="P91">
        <v>10.28</v>
      </c>
      <c r="Q91">
        <v>10.31</v>
      </c>
      <c r="R91">
        <v>10.35</v>
      </c>
      <c r="S91">
        <v>10.32</v>
      </c>
      <c r="T91" s="2">
        <f t="shared" si="9"/>
        <v>0.00999999999999979</v>
      </c>
      <c r="U91" s="3">
        <f t="shared" si="10"/>
        <v>0.000969932104752647</v>
      </c>
      <c r="V91">
        <v>9.61</v>
      </c>
      <c r="W91">
        <v>9.54</v>
      </c>
      <c r="X91" s="2">
        <f t="shared" si="11"/>
        <v>-0.770000000000001</v>
      </c>
      <c r="Y91" s="3">
        <f t="shared" si="12"/>
        <v>-0.0746847720659555</v>
      </c>
      <c r="Z91" s="2">
        <f t="shared" si="13"/>
        <v>-0.780000000000001</v>
      </c>
      <c r="AA91" s="3">
        <f t="shared" si="14"/>
        <v>-0.0755813953488373</v>
      </c>
      <c r="AB91">
        <v>9.76</v>
      </c>
      <c r="AC91">
        <v>9.85</v>
      </c>
      <c r="AD91">
        <v>11.25</v>
      </c>
      <c r="AE91">
        <v>11.2</v>
      </c>
      <c r="AF91">
        <v>11.27</v>
      </c>
      <c r="AG91">
        <v>11.13</v>
      </c>
      <c r="AH91">
        <v>11.01</v>
      </c>
      <c r="AI91">
        <v>11.02</v>
      </c>
      <c r="AJ91" s="2">
        <f t="shared" si="15"/>
        <v>-0.110000000000001</v>
      </c>
      <c r="AK91" s="3">
        <f t="shared" si="16"/>
        <v>-0.00988319856244395</v>
      </c>
      <c r="AL91">
        <v>10.49</v>
      </c>
      <c r="AM91">
        <v>10.48</v>
      </c>
      <c r="AN91" s="3">
        <f t="shared" si="17"/>
        <v>-0.0648015735035116</v>
      </c>
    </row>
    <row r="92" spans="1:40">
      <c r="A92">
        <v>123226</v>
      </c>
      <c r="B92" t="s">
        <v>224</v>
      </c>
      <c r="C92" s="4">
        <v>45215</v>
      </c>
      <c r="D92">
        <v>370814</v>
      </c>
      <c r="E92">
        <v>300814</v>
      </c>
      <c r="F92" t="s">
        <v>225</v>
      </c>
      <c r="G92">
        <v>0.0008351318</v>
      </c>
      <c r="H92" s="4">
        <v>45233</v>
      </c>
      <c r="I92" t="s">
        <v>55</v>
      </c>
      <c r="J92" s="4">
        <v>45135</v>
      </c>
      <c r="K92" s="4">
        <v>45175</v>
      </c>
      <c r="L92">
        <v>80</v>
      </c>
      <c r="M92">
        <v>40</v>
      </c>
      <c r="N92">
        <v>29.99</v>
      </c>
      <c r="O92">
        <v>29.03</v>
      </c>
      <c r="P92">
        <v>38.18</v>
      </c>
      <c r="Q92">
        <v>43.19</v>
      </c>
      <c r="R92">
        <v>34.29</v>
      </c>
      <c r="S92">
        <v>35.95</v>
      </c>
      <c r="T92" s="2">
        <f t="shared" si="9"/>
        <v>-7.23999999999999</v>
      </c>
      <c r="U92" s="3">
        <f t="shared" si="10"/>
        <v>-0.167631396156518</v>
      </c>
      <c r="V92">
        <v>34.62</v>
      </c>
      <c r="W92">
        <v>32.25</v>
      </c>
      <c r="X92" s="2">
        <f t="shared" si="11"/>
        <v>-10.94</v>
      </c>
      <c r="Y92" s="3">
        <f t="shared" si="12"/>
        <v>-0.253299374855291</v>
      </c>
      <c r="Z92" s="2">
        <f t="shared" si="13"/>
        <v>-3.7</v>
      </c>
      <c r="AA92" s="3">
        <f t="shared" si="14"/>
        <v>-0.102920723226704</v>
      </c>
      <c r="AB92">
        <v>30.12</v>
      </c>
      <c r="AC92">
        <v>31.75</v>
      </c>
      <c r="AD92">
        <v>11.69</v>
      </c>
      <c r="AE92">
        <v>12.26</v>
      </c>
      <c r="AF92">
        <v>11.33</v>
      </c>
      <c r="AG92">
        <v>11.43</v>
      </c>
      <c r="AH92">
        <v>11</v>
      </c>
      <c r="AI92">
        <v>11.01</v>
      </c>
      <c r="AJ92" s="2">
        <f t="shared" si="15"/>
        <v>-0.42</v>
      </c>
      <c r="AK92" s="3">
        <f t="shared" si="16"/>
        <v>-0.036745406824147</v>
      </c>
      <c r="AL92">
        <v>10.49</v>
      </c>
      <c r="AM92">
        <v>10.48</v>
      </c>
      <c r="AN92" s="3">
        <f t="shared" si="17"/>
        <v>-0.216553968031144</v>
      </c>
    </row>
    <row r="93" spans="1:40">
      <c r="A93">
        <v>123225</v>
      </c>
      <c r="B93" t="s">
        <v>226</v>
      </c>
      <c r="C93" s="4">
        <v>45209</v>
      </c>
      <c r="D93">
        <v>370890</v>
      </c>
      <c r="E93">
        <v>300890</v>
      </c>
      <c r="F93" t="s">
        <v>227</v>
      </c>
      <c r="G93">
        <v>0.0035777723</v>
      </c>
      <c r="H93" s="4">
        <v>45225</v>
      </c>
      <c r="I93" t="s">
        <v>55</v>
      </c>
      <c r="J93" s="4">
        <v>45135</v>
      </c>
      <c r="K93" s="4">
        <v>45175</v>
      </c>
      <c r="L93">
        <v>74</v>
      </c>
      <c r="M93">
        <v>34</v>
      </c>
      <c r="N93">
        <v>39.02</v>
      </c>
      <c r="O93">
        <v>39.46</v>
      </c>
      <c r="P93">
        <v>33.56</v>
      </c>
      <c r="Q93">
        <v>34.26</v>
      </c>
      <c r="R93">
        <v>34.34</v>
      </c>
      <c r="S93">
        <v>34.17</v>
      </c>
      <c r="T93" s="2">
        <f t="shared" si="9"/>
        <v>-0.0899999999999963</v>
      </c>
      <c r="U93" s="3">
        <f t="shared" si="10"/>
        <v>-0.00262697022767065</v>
      </c>
      <c r="V93">
        <v>32.56</v>
      </c>
      <c r="W93">
        <v>32.78</v>
      </c>
      <c r="X93" s="2">
        <f t="shared" si="11"/>
        <v>-1.48</v>
      </c>
      <c r="Y93" s="3">
        <f t="shared" si="12"/>
        <v>-0.0431990659661412</v>
      </c>
      <c r="Z93" s="2">
        <f t="shared" si="13"/>
        <v>-1.39</v>
      </c>
      <c r="AA93" s="3">
        <f t="shared" si="14"/>
        <v>-0.0406789581504244</v>
      </c>
      <c r="AB93">
        <v>34.24</v>
      </c>
      <c r="AC93">
        <v>35.76</v>
      </c>
      <c r="AD93">
        <v>11.69</v>
      </c>
      <c r="AE93">
        <v>12.26</v>
      </c>
      <c r="AF93">
        <v>11.33</v>
      </c>
      <c r="AG93">
        <v>11.43</v>
      </c>
      <c r="AH93">
        <v>11.19</v>
      </c>
      <c r="AI93">
        <v>11.02</v>
      </c>
      <c r="AJ93" s="2">
        <f t="shared" si="15"/>
        <v>-0.41</v>
      </c>
      <c r="AK93" s="3">
        <f t="shared" si="16"/>
        <v>-0.0358705161854768</v>
      </c>
      <c r="AL93">
        <v>10.31</v>
      </c>
      <c r="AM93">
        <v>10.41</v>
      </c>
      <c r="AN93" s="3">
        <f t="shared" si="17"/>
        <v>-0.00732854978066436</v>
      </c>
    </row>
    <row r="94" spans="1:40">
      <c r="A94">
        <v>127092</v>
      </c>
      <c r="B94" t="s">
        <v>228</v>
      </c>
      <c r="C94" s="4">
        <v>45190</v>
      </c>
      <c r="D94">
        <v>71288</v>
      </c>
      <c r="E94">
        <v>1288</v>
      </c>
      <c r="F94" t="s">
        <v>229</v>
      </c>
      <c r="G94">
        <v>0.0017956304</v>
      </c>
      <c r="H94" s="4">
        <v>45219</v>
      </c>
      <c r="I94" t="s">
        <v>55</v>
      </c>
      <c r="J94" s="4">
        <v>45136</v>
      </c>
      <c r="K94" s="4">
        <v>45176</v>
      </c>
      <c r="L94">
        <v>54</v>
      </c>
      <c r="M94">
        <v>14</v>
      </c>
      <c r="N94">
        <v>11.82</v>
      </c>
      <c r="O94">
        <v>12.09</v>
      </c>
      <c r="P94">
        <v>12.41</v>
      </c>
      <c r="Q94">
        <v>12.09</v>
      </c>
      <c r="R94">
        <v>12.36</v>
      </c>
      <c r="S94">
        <v>12.52</v>
      </c>
      <c r="T94" s="2">
        <f t="shared" si="9"/>
        <v>0.43</v>
      </c>
      <c r="U94" s="3">
        <f t="shared" si="10"/>
        <v>0.0355665839536807</v>
      </c>
      <c r="V94">
        <v>11.45</v>
      </c>
      <c r="W94">
        <v>11.61</v>
      </c>
      <c r="X94" s="2">
        <f t="shared" si="11"/>
        <v>-0.48</v>
      </c>
      <c r="Y94" s="3">
        <f t="shared" si="12"/>
        <v>-0.0397022332506204</v>
      </c>
      <c r="Z94" s="2">
        <f t="shared" si="13"/>
        <v>-0.91</v>
      </c>
      <c r="AA94" s="3">
        <f t="shared" si="14"/>
        <v>-0.0726837060702876</v>
      </c>
      <c r="AB94">
        <v>11.11</v>
      </c>
      <c r="AC94">
        <v>11.31</v>
      </c>
      <c r="AD94">
        <v>12.3</v>
      </c>
      <c r="AE94">
        <v>12.32</v>
      </c>
      <c r="AF94">
        <v>11.4</v>
      </c>
      <c r="AG94">
        <v>11.33</v>
      </c>
      <c r="AH94">
        <v>11.14</v>
      </c>
      <c r="AI94">
        <v>11.05</v>
      </c>
      <c r="AJ94" s="2">
        <f t="shared" si="15"/>
        <v>-0.279999999999999</v>
      </c>
      <c r="AK94" s="3">
        <f t="shared" si="16"/>
        <v>-0.0247131509267431</v>
      </c>
      <c r="AL94">
        <v>10.55</v>
      </c>
      <c r="AM94">
        <v>10.6</v>
      </c>
      <c r="AN94" s="3">
        <f t="shared" si="17"/>
        <v>-0.0149890823238773</v>
      </c>
    </row>
    <row r="95" spans="1:40">
      <c r="A95">
        <v>123224</v>
      </c>
      <c r="B95" t="s">
        <v>230</v>
      </c>
      <c r="C95" s="4">
        <v>45188</v>
      </c>
      <c r="D95">
        <v>371266</v>
      </c>
      <c r="E95">
        <v>301266</v>
      </c>
      <c r="F95" t="s">
        <v>231</v>
      </c>
      <c r="G95">
        <v>0.0009705603</v>
      </c>
      <c r="H95" s="4">
        <v>45217</v>
      </c>
      <c r="I95" t="s">
        <v>50</v>
      </c>
      <c r="J95" s="4">
        <v>45120</v>
      </c>
      <c r="K95" s="4">
        <v>45168</v>
      </c>
      <c r="L95">
        <v>68</v>
      </c>
      <c r="M95">
        <v>20</v>
      </c>
      <c r="N95">
        <v>66.77</v>
      </c>
      <c r="O95">
        <v>64.63</v>
      </c>
      <c r="P95">
        <v>50.51</v>
      </c>
      <c r="Q95">
        <v>50.91</v>
      </c>
      <c r="R95">
        <v>51.8</v>
      </c>
      <c r="S95">
        <v>52.41</v>
      </c>
      <c r="T95" s="2">
        <f t="shared" si="9"/>
        <v>1.5</v>
      </c>
      <c r="U95" s="3">
        <f t="shared" si="10"/>
        <v>0.0294637595757219</v>
      </c>
      <c r="V95">
        <v>50.13</v>
      </c>
      <c r="W95">
        <v>49.24</v>
      </c>
      <c r="X95" s="2">
        <f t="shared" si="11"/>
        <v>-1.66999999999999</v>
      </c>
      <c r="Y95" s="3">
        <f t="shared" si="12"/>
        <v>-0.0328029856609702</v>
      </c>
      <c r="Z95" s="2">
        <f t="shared" si="13"/>
        <v>-3.16999999999999</v>
      </c>
      <c r="AA95" s="3">
        <f t="shared" si="14"/>
        <v>-0.0604846403358137</v>
      </c>
      <c r="AB95">
        <v>47.06</v>
      </c>
      <c r="AC95">
        <v>46.56</v>
      </c>
      <c r="AD95">
        <v>11.32</v>
      </c>
      <c r="AE95">
        <v>11.43</v>
      </c>
      <c r="AF95">
        <v>11.27</v>
      </c>
      <c r="AG95">
        <v>11.13</v>
      </c>
      <c r="AH95">
        <v>11.22</v>
      </c>
      <c r="AI95">
        <v>11.21</v>
      </c>
      <c r="AJ95" s="2">
        <f t="shared" si="15"/>
        <v>0.0800000000000001</v>
      </c>
      <c r="AK95" s="3">
        <f t="shared" si="16"/>
        <v>0.00718778077268644</v>
      </c>
      <c r="AL95">
        <v>10.99</v>
      </c>
      <c r="AM95">
        <v>10.95</v>
      </c>
      <c r="AN95" s="3">
        <f t="shared" si="17"/>
        <v>-0.0399907664336567</v>
      </c>
    </row>
    <row r="96" spans="1:40">
      <c r="A96">
        <v>123223</v>
      </c>
      <c r="B96" t="s">
        <v>232</v>
      </c>
      <c r="C96" s="4">
        <v>45184</v>
      </c>
      <c r="D96">
        <v>370705</v>
      </c>
      <c r="E96">
        <v>300705</v>
      </c>
      <c r="F96" t="s">
        <v>233</v>
      </c>
      <c r="G96">
        <v>0.0006352217</v>
      </c>
      <c r="H96" s="4">
        <v>45212</v>
      </c>
      <c r="I96" t="s">
        <v>50</v>
      </c>
      <c r="J96" s="4">
        <v>44918</v>
      </c>
      <c r="K96" s="4">
        <v>45002</v>
      </c>
      <c r="L96">
        <v>266</v>
      </c>
      <c r="M96">
        <v>182</v>
      </c>
      <c r="N96">
        <v>14.84</v>
      </c>
      <c r="O96">
        <v>14.8</v>
      </c>
      <c r="P96">
        <v>19.27</v>
      </c>
      <c r="Q96">
        <v>18.93</v>
      </c>
      <c r="R96">
        <v>15.12</v>
      </c>
      <c r="S96">
        <v>15.21</v>
      </c>
      <c r="T96" s="2">
        <f t="shared" si="9"/>
        <v>-3.72</v>
      </c>
      <c r="U96" s="3">
        <f t="shared" si="10"/>
        <v>-0.196513470681458</v>
      </c>
      <c r="V96">
        <v>14.46</v>
      </c>
      <c r="W96">
        <v>15.5</v>
      </c>
      <c r="X96" s="2">
        <f t="shared" si="11"/>
        <v>-3.43</v>
      </c>
      <c r="Y96" s="3">
        <f t="shared" si="12"/>
        <v>-0.181193872160592</v>
      </c>
      <c r="Z96" s="2">
        <f t="shared" si="13"/>
        <v>0.289999999999999</v>
      </c>
      <c r="AA96" s="3">
        <f t="shared" si="14"/>
        <v>0.0190664036817882</v>
      </c>
      <c r="AB96">
        <v>17.33</v>
      </c>
      <c r="AC96">
        <v>17.45</v>
      </c>
      <c r="AD96">
        <v>12.85</v>
      </c>
      <c r="AE96">
        <v>12.98</v>
      </c>
      <c r="AF96">
        <v>12.99</v>
      </c>
      <c r="AG96">
        <v>12.75</v>
      </c>
      <c r="AH96">
        <v>11.35</v>
      </c>
      <c r="AI96">
        <v>11.22</v>
      </c>
      <c r="AJ96" s="2">
        <f t="shared" si="15"/>
        <v>-1.53</v>
      </c>
      <c r="AK96" s="3">
        <f t="shared" si="16"/>
        <v>-0.12</v>
      </c>
      <c r="AL96">
        <v>11.03</v>
      </c>
      <c r="AM96">
        <v>11</v>
      </c>
      <c r="AN96" s="3">
        <f t="shared" si="17"/>
        <v>-0.0611938721605917</v>
      </c>
    </row>
    <row r="97" spans="1:40">
      <c r="A97">
        <v>113677</v>
      </c>
      <c r="B97" t="s">
        <v>234</v>
      </c>
      <c r="C97" s="4">
        <v>45183</v>
      </c>
      <c r="D97">
        <v>754306</v>
      </c>
      <c r="E97">
        <v>603306</v>
      </c>
      <c r="F97" t="s">
        <v>235</v>
      </c>
      <c r="G97">
        <v>0.00326065</v>
      </c>
      <c r="H97" s="4">
        <v>45211</v>
      </c>
      <c r="I97" t="s">
        <v>55</v>
      </c>
      <c r="J97" s="4">
        <v>45094</v>
      </c>
      <c r="K97" s="4">
        <v>45147</v>
      </c>
      <c r="L97">
        <v>89</v>
      </c>
      <c r="M97">
        <v>36</v>
      </c>
      <c r="N97">
        <v>28.97</v>
      </c>
      <c r="O97">
        <v>28.52</v>
      </c>
      <c r="P97">
        <v>26.95</v>
      </c>
      <c r="Q97">
        <v>27.32</v>
      </c>
      <c r="R97">
        <v>34.9</v>
      </c>
      <c r="S97">
        <v>35.67</v>
      </c>
      <c r="T97" s="2">
        <f t="shared" si="9"/>
        <v>8.35</v>
      </c>
      <c r="U97" s="3">
        <f t="shared" si="10"/>
        <v>0.305636896046852</v>
      </c>
      <c r="V97">
        <v>34.42</v>
      </c>
      <c r="W97">
        <v>34.9</v>
      </c>
      <c r="X97" s="2">
        <f t="shared" si="11"/>
        <v>7.58</v>
      </c>
      <c r="Y97" s="3">
        <f t="shared" si="12"/>
        <v>0.277452415812591</v>
      </c>
      <c r="Z97" s="2">
        <f t="shared" si="13"/>
        <v>-0.770000000000003</v>
      </c>
      <c r="AA97" s="3">
        <f t="shared" si="14"/>
        <v>-0.0215867675918139</v>
      </c>
      <c r="AB97">
        <v>32.65</v>
      </c>
      <c r="AC97">
        <v>31.26</v>
      </c>
      <c r="AD97">
        <v>11.63</v>
      </c>
      <c r="AE97">
        <v>11.45</v>
      </c>
      <c r="AF97">
        <v>12.06</v>
      </c>
      <c r="AG97">
        <v>12.17</v>
      </c>
      <c r="AH97">
        <v>11.28</v>
      </c>
      <c r="AI97">
        <v>11.29</v>
      </c>
      <c r="AJ97" s="2">
        <f t="shared" si="15"/>
        <v>-0.880000000000001</v>
      </c>
      <c r="AK97" s="3">
        <f t="shared" si="16"/>
        <v>-0.0723089564502877</v>
      </c>
      <c r="AL97">
        <v>11.11</v>
      </c>
      <c r="AM97">
        <v>11.11</v>
      </c>
      <c r="AN97" s="3">
        <f t="shared" si="17"/>
        <v>0.349761372262879</v>
      </c>
    </row>
    <row r="98" spans="1:40">
      <c r="A98">
        <v>118045</v>
      </c>
      <c r="B98" t="s">
        <v>236</v>
      </c>
      <c r="C98" s="4">
        <v>45181</v>
      </c>
      <c r="D98">
        <v>718311</v>
      </c>
      <c r="E98">
        <v>688311</v>
      </c>
      <c r="F98" t="s">
        <v>237</v>
      </c>
      <c r="G98">
        <v>0.00089357</v>
      </c>
      <c r="H98" s="4">
        <v>45216</v>
      </c>
      <c r="I98" t="s">
        <v>121</v>
      </c>
      <c r="J98" s="4">
        <v>45052</v>
      </c>
      <c r="K98" s="4">
        <v>45106</v>
      </c>
      <c r="L98">
        <v>129</v>
      </c>
      <c r="M98">
        <v>75</v>
      </c>
      <c r="N98">
        <v>46.9</v>
      </c>
      <c r="O98">
        <v>48.21</v>
      </c>
      <c r="P98">
        <v>45.71</v>
      </c>
      <c r="Q98">
        <v>46.92</v>
      </c>
      <c r="R98">
        <v>46.02</v>
      </c>
      <c r="S98">
        <v>44.19</v>
      </c>
      <c r="T98" s="2">
        <f t="shared" si="9"/>
        <v>-2.73</v>
      </c>
      <c r="U98" s="3">
        <f t="shared" si="10"/>
        <v>-0.0581841432225065</v>
      </c>
      <c r="V98">
        <v>42.55</v>
      </c>
      <c r="W98">
        <v>42.69</v>
      </c>
      <c r="X98" s="2">
        <f t="shared" si="11"/>
        <v>-4.23</v>
      </c>
      <c r="Y98" s="3">
        <f t="shared" si="12"/>
        <v>-0.0901534526854221</v>
      </c>
      <c r="Z98" s="2">
        <f t="shared" si="13"/>
        <v>-1.5</v>
      </c>
      <c r="AA98" s="3">
        <f t="shared" si="14"/>
        <v>-0.0339443312966735</v>
      </c>
      <c r="AB98">
        <v>42.1</v>
      </c>
      <c r="AC98">
        <v>44.24</v>
      </c>
      <c r="AD98">
        <v>12.94</v>
      </c>
      <c r="AE98">
        <v>13.32</v>
      </c>
      <c r="AF98">
        <v>11.29</v>
      </c>
      <c r="AG98">
        <v>11.18</v>
      </c>
      <c r="AH98">
        <v>11.35</v>
      </c>
      <c r="AI98">
        <v>11.28</v>
      </c>
      <c r="AJ98" s="2">
        <f t="shared" si="15"/>
        <v>0.0999999999999996</v>
      </c>
      <c r="AK98" s="3">
        <f t="shared" si="16"/>
        <v>0.00894454382826473</v>
      </c>
      <c r="AL98">
        <v>11.01</v>
      </c>
      <c r="AM98">
        <v>11.02</v>
      </c>
      <c r="AN98" s="3">
        <f t="shared" si="17"/>
        <v>-0.0990979965136868</v>
      </c>
    </row>
    <row r="99" spans="1:40">
      <c r="A99">
        <v>118044</v>
      </c>
      <c r="B99" t="s">
        <v>238</v>
      </c>
      <c r="C99" s="4">
        <v>45180</v>
      </c>
      <c r="D99">
        <v>718398</v>
      </c>
      <c r="E99">
        <v>688398</v>
      </c>
      <c r="F99" t="s">
        <v>239</v>
      </c>
      <c r="G99">
        <v>0.00056949</v>
      </c>
      <c r="H99" s="4">
        <v>45211</v>
      </c>
      <c r="I99" t="s">
        <v>50</v>
      </c>
      <c r="J99" s="4">
        <v>44827</v>
      </c>
      <c r="K99" s="4">
        <v>44877</v>
      </c>
      <c r="L99">
        <v>353</v>
      </c>
      <c r="M99">
        <v>303</v>
      </c>
      <c r="N99">
        <v>13.52</v>
      </c>
      <c r="O99">
        <v>12.95</v>
      </c>
      <c r="P99">
        <v>14.67</v>
      </c>
      <c r="Q99">
        <v>15.04</v>
      </c>
      <c r="R99">
        <v>23.64</v>
      </c>
      <c r="S99">
        <v>23.34</v>
      </c>
      <c r="T99" s="2">
        <f t="shared" si="9"/>
        <v>8.3</v>
      </c>
      <c r="U99" s="3">
        <f t="shared" si="10"/>
        <v>0.55186170212766</v>
      </c>
      <c r="V99">
        <v>21.7</v>
      </c>
      <c r="W99">
        <v>22.5</v>
      </c>
      <c r="X99" s="2">
        <f t="shared" si="11"/>
        <v>7.46</v>
      </c>
      <c r="Y99" s="3">
        <f t="shared" si="12"/>
        <v>0.496010638297872</v>
      </c>
      <c r="Z99" s="2">
        <f t="shared" si="13"/>
        <v>-0.84</v>
      </c>
      <c r="AA99" s="3">
        <f t="shared" si="14"/>
        <v>-0.0359897172236504</v>
      </c>
      <c r="AB99">
        <v>21.19</v>
      </c>
      <c r="AC99">
        <v>21.4</v>
      </c>
      <c r="AD99">
        <v>12.24</v>
      </c>
      <c r="AE99">
        <v>12.29</v>
      </c>
      <c r="AF99">
        <v>11.7</v>
      </c>
      <c r="AG99">
        <v>11.95</v>
      </c>
      <c r="AH99">
        <v>11.3</v>
      </c>
      <c r="AI99">
        <v>11.34</v>
      </c>
      <c r="AJ99" s="2">
        <f t="shared" si="15"/>
        <v>-0.609999999999999</v>
      </c>
      <c r="AK99" s="3">
        <f t="shared" si="16"/>
        <v>-0.0510460251046025</v>
      </c>
      <c r="AL99">
        <v>11.11</v>
      </c>
      <c r="AM99">
        <v>11.11</v>
      </c>
      <c r="AN99" s="3">
        <f t="shared" si="17"/>
        <v>0.547056663402475</v>
      </c>
    </row>
    <row r="100" spans="1:40">
      <c r="A100">
        <v>123222</v>
      </c>
      <c r="B100" t="s">
        <v>240</v>
      </c>
      <c r="C100" s="4">
        <v>45177</v>
      </c>
      <c r="D100">
        <v>370926</v>
      </c>
      <c r="E100">
        <v>300926</v>
      </c>
      <c r="F100" t="s">
        <v>241</v>
      </c>
      <c r="G100">
        <v>0.0010404561</v>
      </c>
      <c r="H100" s="4">
        <v>45197</v>
      </c>
      <c r="I100" t="s">
        <v>50</v>
      </c>
      <c r="J100" s="4">
        <v>45023</v>
      </c>
      <c r="K100" s="4">
        <v>45063</v>
      </c>
      <c r="L100">
        <v>154</v>
      </c>
      <c r="M100">
        <v>114</v>
      </c>
      <c r="N100">
        <v>12.28</v>
      </c>
      <c r="O100">
        <v>12.05</v>
      </c>
      <c r="P100">
        <v>11.93</v>
      </c>
      <c r="Q100">
        <v>12.11</v>
      </c>
      <c r="R100">
        <v>17.17</v>
      </c>
      <c r="S100">
        <v>16.68</v>
      </c>
      <c r="T100" s="2">
        <f t="shared" si="9"/>
        <v>4.57</v>
      </c>
      <c r="U100" s="3">
        <f t="shared" si="10"/>
        <v>0.37737407101569</v>
      </c>
      <c r="V100">
        <v>15.66</v>
      </c>
      <c r="W100">
        <v>15.58</v>
      </c>
      <c r="X100" s="2">
        <f t="shared" si="11"/>
        <v>3.47</v>
      </c>
      <c r="Y100" s="3">
        <f t="shared" si="12"/>
        <v>0.28654004954583</v>
      </c>
      <c r="Z100" s="2">
        <f t="shared" si="13"/>
        <v>-1.1</v>
      </c>
      <c r="AA100" s="3">
        <f t="shared" si="14"/>
        <v>-0.065947242206235</v>
      </c>
      <c r="AB100">
        <v>18.52</v>
      </c>
      <c r="AC100">
        <v>21.09</v>
      </c>
      <c r="AD100">
        <v>12.57</v>
      </c>
      <c r="AE100">
        <v>12.62</v>
      </c>
      <c r="AF100">
        <v>12.58</v>
      </c>
      <c r="AG100">
        <v>12.49</v>
      </c>
      <c r="AH100">
        <v>11.28</v>
      </c>
      <c r="AI100">
        <v>11.27</v>
      </c>
      <c r="AJ100" s="2">
        <f t="shared" si="15"/>
        <v>-1.22</v>
      </c>
      <c r="AK100" s="3">
        <f t="shared" si="16"/>
        <v>-0.0976781425140113</v>
      </c>
      <c r="AL100">
        <v>11.19</v>
      </c>
      <c r="AM100">
        <v>11.2</v>
      </c>
      <c r="AN100" s="3">
        <f t="shared" si="17"/>
        <v>0.384218192059841</v>
      </c>
    </row>
    <row r="101" spans="1:40">
      <c r="A101">
        <v>123221</v>
      </c>
      <c r="B101" t="s">
        <v>242</v>
      </c>
      <c r="C101" s="4">
        <v>45161</v>
      </c>
      <c r="D101">
        <v>371188</v>
      </c>
      <c r="E101">
        <v>301188</v>
      </c>
      <c r="F101" t="s">
        <v>243</v>
      </c>
      <c r="G101">
        <v>0.0018983056</v>
      </c>
      <c r="H101" s="4">
        <v>45183</v>
      </c>
      <c r="I101" t="s">
        <v>50</v>
      </c>
      <c r="J101" s="4">
        <v>45096</v>
      </c>
      <c r="K101" s="5">
        <v>45140</v>
      </c>
      <c r="L101">
        <v>65</v>
      </c>
      <c r="M101">
        <v>21</v>
      </c>
      <c r="N101">
        <v>16.95</v>
      </c>
      <c r="O101">
        <v>17.42</v>
      </c>
      <c r="P101">
        <v>13.91</v>
      </c>
      <c r="Q101">
        <v>13.86</v>
      </c>
      <c r="R101">
        <v>14.38</v>
      </c>
      <c r="S101">
        <v>14.17</v>
      </c>
      <c r="T101" s="2">
        <f t="shared" si="9"/>
        <v>0.31</v>
      </c>
      <c r="U101" s="3">
        <f t="shared" si="10"/>
        <v>0.0223665223665224</v>
      </c>
      <c r="V101">
        <v>13.03</v>
      </c>
      <c r="W101">
        <v>12.61</v>
      </c>
      <c r="X101" s="2">
        <f t="shared" si="11"/>
        <v>-1.25</v>
      </c>
      <c r="Y101" s="3">
        <f t="shared" si="12"/>
        <v>-0.0901875901875902</v>
      </c>
      <c r="Z101" s="2">
        <f t="shared" si="13"/>
        <v>-1.56</v>
      </c>
      <c r="AA101" s="3">
        <f t="shared" si="14"/>
        <v>-0.110091743119266</v>
      </c>
      <c r="AB101">
        <v>12.46</v>
      </c>
      <c r="AC101">
        <v>12.21</v>
      </c>
      <c r="AD101">
        <v>11.63</v>
      </c>
      <c r="AE101">
        <v>11.45</v>
      </c>
      <c r="AF101">
        <v>12.06</v>
      </c>
      <c r="AG101">
        <v>12.03</v>
      </c>
      <c r="AH101">
        <v>11.35</v>
      </c>
      <c r="AI101">
        <v>11.25</v>
      </c>
      <c r="AJ101" s="2">
        <f t="shared" si="15"/>
        <v>-0.779999999999999</v>
      </c>
      <c r="AK101" s="3">
        <f t="shared" si="16"/>
        <v>-0.0648379052369077</v>
      </c>
      <c r="AL101">
        <v>11.28</v>
      </c>
      <c r="AM101">
        <v>11.29</v>
      </c>
      <c r="AN101" s="3">
        <f t="shared" si="17"/>
        <v>-0.0253496849506825</v>
      </c>
    </row>
    <row r="102" spans="1:40">
      <c r="A102">
        <v>127091</v>
      </c>
      <c r="B102" t="s">
        <v>244</v>
      </c>
      <c r="C102" s="4">
        <v>45161</v>
      </c>
      <c r="D102">
        <v>72335</v>
      </c>
      <c r="E102">
        <v>2335</v>
      </c>
      <c r="F102" t="s">
        <v>245</v>
      </c>
      <c r="G102">
        <v>0.0052497071</v>
      </c>
      <c r="H102" s="4">
        <v>45181</v>
      </c>
      <c r="I102" t="s">
        <v>40</v>
      </c>
      <c r="J102" s="4">
        <v>45108</v>
      </c>
      <c r="K102" s="4">
        <v>45149</v>
      </c>
      <c r="L102">
        <v>53</v>
      </c>
      <c r="M102">
        <v>12</v>
      </c>
      <c r="N102">
        <v>37.98</v>
      </c>
      <c r="O102">
        <v>39.33</v>
      </c>
      <c r="P102">
        <v>34.55</v>
      </c>
      <c r="Q102">
        <v>33.54</v>
      </c>
      <c r="R102">
        <v>31.72</v>
      </c>
      <c r="S102">
        <v>31.58</v>
      </c>
      <c r="T102" s="2">
        <f t="shared" si="9"/>
        <v>-1.96</v>
      </c>
      <c r="U102" s="3">
        <f t="shared" si="10"/>
        <v>-0.0584376863446631</v>
      </c>
      <c r="V102">
        <v>30.76</v>
      </c>
      <c r="W102">
        <v>30.3</v>
      </c>
      <c r="X102" s="2">
        <f t="shared" si="11"/>
        <v>-3.24</v>
      </c>
      <c r="Y102" s="3">
        <f t="shared" si="12"/>
        <v>-0.0966010733452593</v>
      </c>
      <c r="Z102" s="2">
        <f t="shared" si="13"/>
        <v>-1.28</v>
      </c>
      <c r="AA102" s="3">
        <f t="shared" si="14"/>
        <v>-0.0405319822672577</v>
      </c>
      <c r="AB102">
        <v>31.27</v>
      </c>
      <c r="AC102">
        <v>31.75</v>
      </c>
      <c r="AD102">
        <v>11.24</v>
      </c>
      <c r="AE102">
        <v>11.49</v>
      </c>
      <c r="AF102">
        <v>12.17</v>
      </c>
      <c r="AG102">
        <v>11.89</v>
      </c>
      <c r="AH102">
        <v>11.35</v>
      </c>
      <c r="AI102">
        <v>11.25</v>
      </c>
      <c r="AJ102" s="2">
        <f t="shared" si="15"/>
        <v>-0.640000000000001</v>
      </c>
      <c r="AK102" s="3">
        <f t="shared" si="16"/>
        <v>-0.0538267451640034</v>
      </c>
      <c r="AL102">
        <v>11.35</v>
      </c>
      <c r="AM102">
        <v>11.28</v>
      </c>
      <c r="AN102" s="3">
        <f t="shared" si="17"/>
        <v>-0.0427743281812559</v>
      </c>
    </row>
    <row r="103" spans="1:40">
      <c r="A103">
        <v>113676</v>
      </c>
      <c r="B103" t="s">
        <v>246</v>
      </c>
      <c r="C103" s="4">
        <v>45156</v>
      </c>
      <c r="D103">
        <v>754165</v>
      </c>
      <c r="E103">
        <v>603165</v>
      </c>
      <c r="F103" t="s">
        <v>247</v>
      </c>
      <c r="G103">
        <v>0.00080245</v>
      </c>
      <c r="H103" s="4">
        <v>45182</v>
      </c>
      <c r="I103" t="s">
        <v>55</v>
      </c>
      <c r="J103" s="4">
        <v>45069</v>
      </c>
      <c r="K103" s="4">
        <v>45107</v>
      </c>
      <c r="L103">
        <v>87</v>
      </c>
      <c r="M103">
        <v>49</v>
      </c>
      <c r="N103">
        <v>13.2</v>
      </c>
      <c r="O103">
        <v>13.22</v>
      </c>
      <c r="P103">
        <v>15.48</v>
      </c>
      <c r="Q103">
        <v>15.07</v>
      </c>
      <c r="R103">
        <v>14.91</v>
      </c>
      <c r="S103">
        <v>15.48</v>
      </c>
      <c r="T103" s="2">
        <f t="shared" si="9"/>
        <v>0.41</v>
      </c>
      <c r="U103" s="3">
        <f t="shared" si="10"/>
        <v>0.0272063702720637</v>
      </c>
      <c r="V103">
        <v>14.68</v>
      </c>
      <c r="W103">
        <v>14.17</v>
      </c>
      <c r="X103" s="2">
        <f t="shared" si="11"/>
        <v>-0.9</v>
      </c>
      <c r="Y103" s="3">
        <f t="shared" si="12"/>
        <v>-0.059721300597213</v>
      </c>
      <c r="Z103" s="2">
        <f t="shared" si="13"/>
        <v>-1.31</v>
      </c>
      <c r="AA103" s="3">
        <f t="shared" si="14"/>
        <v>-0.0846253229974161</v>
      </c>
      <c r="AB103">
        <v>14.65</v>
      </c>
      <c r="AC103">
        <v>14.22</v>
      </c>
      <c r="AD103">
        <v>12.38</v>
      </c>
      <c r="AE103">
        <v>12.21</v>
      </c>
      <c r="AF103">
        <v>11.18</v>
      </c>
      <c r="AG103">
        <v>11.23</v>
      </c>
      <c r="AH103">
        <v>11.58</v>
      </c>
      <c r="AI103">
        <v>11.56</v>
      </c>
      <c r="AJ103" s="2">
        <f t="shared" si="15"/>
        <v>0.33</v>
      </c>
      <c r="AK103" s="3">
        <f t="shared" si="16"/>
        <v>0.0293855743544078</v>
      </c>
      <c r="AL103">
        <v>11.29</v>
      </c>
      <c r="AM103">
        <v>11.25</v>
      </c>
      <c r="AN103" s="3">
        <f t="shared" si="17"/>
        <v>-0.0891068749516209</v>
      </c>
    </row>
    <row r="104" spans="1:40">
      <c r="A104">
        <v>123220</v>
      </c>
      <c r="B104" t="s">
        <v>248</v>
      </c>
      <c r="C104" s="4">
        <v>45156</v>
      </c>
      <c r="D104">
        <v>370942</v>
      </c>
      <c r="E104">
        <v>300942</v>
      </c>
      <c r="F104" t="s">
        <v>249</v>
      </c>
      <c r="G104">
        <v>0.0028761396</v>
      </c>
      <c r="H104" s="4">
        <v>45175</v>
      </c>
      <c r="I104" t="s">
        <v>50</v>
      </c>
      <c r="J104" s="4">
        <v>45072</v>
      </c>
      <c r="K104" s="4">
        <v>45112</v>
      </c>
      <c r="L104">
        <v>84</v>
      </c>
      <c r="M104">
        <v>44</v>
      </c>
      <c r="N104">
        <v>13.39</v>
      </c>
      <c r="O104">
        <v>13.6</v>
      </c>
      <c r="P104">
        <v>12.48</v>
      </c>
      <c r="Q104">
        <v>12.53</v>
      </c>
      <c r="R104">
        <v>14.85</v>
      </c>
      <c r="S104">
        <v>15.06</v>
      </c>
      <c r="T104" s="2">
        <f t="shared" si="9"/>
        <v>2.53</v>
      </c>
      <c r="U104" s="3">
        <f t="shared" si="10"/>
        <v>0.201915403032722</v>
      </c>
      <c r="V104">
        <v>14.28</v>
      </c>
      <c r="W104">
        <v>14.05</v>
      </c>
      <c r="X104" s="2">
        <f t="shared" si="11"/>
        <v>1.52</v>
      </c>
      <c r="Y104" s="3">
        <f t="shared" si="12"/>
        <v>0.121308858739026</v>
      </c>
      <c r="Z104" s="2">
        <f t="shared" si="13"/>
        <v>-1.01</v>
      </c>
      <c r="AA104" s="3">
        <f t="shared" si="14"/>
        <v>-0.0670650730411686</v>
      </c>
      <c r="AB104">
        <v>14.21</v>
      </c>
      <c r="AC104">
        <v>14.12</v>
      </c>
      <c r="AD104">
        <v>11.93</v>
      </c>
      <c r="AE104">
        <v>12.1</v>
      </c>
      <c r="AF104">
        <v>11.36</v>
      </c>
      <c r="AG104">
        <v>11.34</v>
      </c>
      <c r="AH104">
        <v>11.58</v>
      </c>
      <c r="AI104">
        <v>11.56</v>
      </c>
      <c r="AJ104" s="2">
        <f t="shared" si="15"/>
        <v>0.220000000000001</v>
      </c>
      <c r="AK104" s="3">
        <f t="shared" si="16"/>
        <v>0.0194003527336861</v>
      </c>
      <c r="AL104">
        <v>11.33</v>
      </c>
      <c r="AM104">
        <v>11.43</v>
      </c>
      <c r="AN104" s="3">
        <f t="shared" si="17"/>
        <v>0.10190850600534</v>
      </c>
    </row>
    <row r="105" spans="1:40">
      <c r="A105">
        <v>111017</v>
      </c>
      <c r="B105" t="s">
        <v>250</v>
      </c>
      <c r="C105" s="4">
        <v>45153</v>
      </c>
      <c r="D105">
        <v>713368</v>
      </c>
      <c r="E105">
        <v>605368</v>
      </c>
      <c r="F105" t="s">
        <v>251</v>
      </c>
      <c r="G105">
        <v>0.00084259</v>
      </c>
      <c r="H105" s="4">
        <v>45177</v>
      </c>
      <c r="I105" t="s">
        <v>40</v>
      </c>
      <c r="J105" s="4">
        <v>45071</v>
      </c>
      <c r="K105" s="4">
        <v>45141</v>
      </c>
      <c r="L105">
        <v>82</v>
      </c>
      <c r="M105">
        <v>12</v>
      </c>
      <c r="N105">
        <v>7.75</v>
      </c>
      <c r="O105">
        <v>7.9</v>
      </c>
      <c r="P105">
        <v>8.21</v>
      </c>
      <c r="Q105">
        <v>8.15</v>
      </c>
      <c r="R105">
        <v>7.9</v>
      </c>
      <c r="S105">
        <v>8.04</v>
      </c>
      <c r="T105" s="2">
        <f t="shared" si="9"/>
        <v>-0.110000000000001</v>
      </c>
      <c r="U105" s="3">
        <f t="shared" si="10"/>
        <v>-0.0134969325153376</v>
      </c>
      <c r="V105">
        <v>7.6</v>
      </c>
      <c r="W105">
        <v>7.81</v>
      </c>
      <c r="X105" s="2">
        <f t="shared" si="11"/>
        <v>-0.340000000000001</v>
      </c>
      <c r="Y105" s="3">
        <f t="shared" si="12"/>
        <v>-0.041717791411043</v>
      </c>
      <c r="Z105" s="2">
        <f t="shared" si="13"/>
        <v>-0.23</v>
      </c>
      <c r="AA105" s="3">
        <f t="shared" si="14"/>
        <v>-0.0286069651741293</v>
      </c>
      <c r="AB105">
        <v>8.03</v>
      </c>
      <c r="AC105">
        <v>8.41</v>
      </c>
      <c r="AD105">
        <v>11.99</v>
      </c>
      <c r="AE105">
        <v>11.93</v>
      </c>
      <c r="AF105">
        <v>11.99</v>
      </c>
      <c r="AG105">
        <v>12.33</v>
      </c>
      <c r="AH105">
        <v>11.69</v>
      </c>
      <c r="AI105">
        <v>11.73</v>
      </c>
      <c r="AJ105" s="2">
        <f t="shared" si="15"/>
        <v>-0.6</v>
      </c>
      <c r="AK105" s="3">
        <f t="shared" si="16"/>
        <v>-0.048661800486618</v>
      </c>
      <c r="AL105">
        <v>11.28</v>
      </c>
      <c r="AM105">
        <v>11.27</v>
      </c>
      <c r="AN105" s="3">
        <f t="shared" si="17"/>
        <v>0.00694400907557494</v>
      </c>
    </row>
    <row r="106" spans="1:40">
      <c r="A106">
        <v>118043</v>
      </c>
      <c r="B106" t="s">
        <v>252</v>
      </c>
      <c r="C106" s="4">
        <v>45152</v>
      </c>
      <c r="D106">
        <v>718678</v>
      </c>
      <c r="E106">
        <v>688678</v>
      </c>
      <c r="F106" t="s">
        <v>253</v>
      </c>
      <c r="G106">
        <v>0.00147242</v>
      </c>
      <c r="H106" s="4">
        <v>45181</v>
      </c>
      <c r="I106" t="s">
        <v>55</v>
      </c>
      <c r="J106" s="4">
        <v>45055</v>
      </c>
      <c r="K106" s="4">
        <v>45104</v>
      </c>
      <c r="L106">
        <v>97</v>
      </c>
      <c r="M106">
        <v>48</v>
      </c>
      <c r="N106">
        <v>11.15</v>
      </c>
      <c r="O106">
        <v>10.84</v>
      </c>
      <c r="P106">
        <v>14.79</v>
      </c>
      <c r="Q106">
        <v>14.36</v>
      </c>
      <c r="R106">
        <v>15.12</v>
      </c>
      <c r="S106">
        <v>14.81</v>
      </c>
      <c r="T106" s="2">
        <f t="shared" si="9"/>
        <v>0.450000000000001</v>
      </c>
      <c r="U106" s="3">
        <f t="shared" si="10"/>
        <v>0.0313370473537605</v>
      </c>
      <c r="V106">
        <v>13.87</v>
      </c>
      <c r="W106">
        <v>13.38</v>
      </c>
      <c r="X106" s="2">
        <f t="shared" si="11"/>
        <v>-0.979999999999999</v>
      </c>
      <c r="Y106" s="3">
        <f t="shared" si="12"/>
        <v>-0.0682451253481893</v>
      </c>
      <c r="Z106" s="2">
        <f t="shared" si="13"/>
        <v>-1.43</v>
      </c>
      <c r="AA106" s="3">
        <f t="shared" si="14"/>
        <v>-0.0965563808237677</v>
      </c>
      <c r="AB106">
        <v>13.96</v>
      </c>
      <c r="AC106">
        <v>13.62</v>
      </c>
      <c r="AD106">
        <v>13.4</v>
      </c>
      <c r="AE106">
        <v>13.16</v>
      </c>
      <c r="AF106">
        <v>11.2</v>
      </c>
      <c r="AG106">
        <v>11.28</v>
      </c>
      <c r="AH106">
        <v>11.76</v>
      </c>
      <c r="AI106">
        <v>11.67</v>
      </c>
      <c r="AJ106" s="2">
        <f t="shared" si="15"/>
        <v>0.390000000000001</v>
      </c>
      <c r="AK106" s="3">
        <f t="shared" si="16"/>
        <v>0.0345744680851064</v>
      </c>
      <c r="AL106">
        <v>11.35</v>
      </c>
      <c r="AM106">
        <v>11.28</v>
      </c>
      <c r="AN106" s="3">
        <f t="shared" si="17"/>
        <v>-0.102819593433296</v>
      </c>
    </row>
    <row r="107" spans="1:40">
      <c r="A107">
        <v>123219</v>
      </c>
      <c r="B107" t="s">
        <v>254</v>
      </c>
      <c r="C107" s="4">
        <v>45149</v>
      </c>
      <c r="D107">
        <v>370790</v>
      </c>
      <c r="E107">
        <v>300790</v>
      </c>
      <c r="F107" t="s">
        <v>255</v>
      </c>
      <c r="G107">
        <v>0.0011856348</v>
      </c>
      <c r="H107" s="4">
        <v>45167</v>
      </c>
      <c r="I107" t="s">
        <v>50</v>
      </c>
      <c r="J107" s="4">
        <v>45065</v>
      </c>
      <c r="K107" s="4">
        <v>45106</v>
      </c>
      <c r="L107">
        <v>84</v>
      </c>
      <c r="M107">
        <v>43</v>
      </c>
      <c r="N107">
        <v>14.65</v>
      </c>
      <c r="O107">
        <v>15.03</v>
      </c>
      <c r="P107">
        <v>13.89</v>
      </c>
      <c r="Q107">
        <v>14.78</v>
      </c>
      <c r="R107">
        <v>15.05</v>
      </c>
      <c r="S107">
        <v>15.03</v>
      </c>
      <c r="T107" s="2">
        <f t="shared" si="9"/>
        <v>0.25</v>
      </c>
      <c r="U107" s="3">
        <f t="shared" si="10"/>
        <v>0.016914749661705</v>
      </c>
      <c r="V107">
        <v>14.26</v>
      </c>
      <c r="W107">
        <v>13.64</v>
      </c>
      <c r="X107" s="2">
        <f t="shared" si="11"/>
        <v>-1.14</v>
      </c>
      <c r="Y107" s="3">
        <f t="shared" si="12"/>
        <v>-0.0771312584573748</v>
      </c>
      <c r="Z107" s="2">
        <f t="shared" si="13"/>
        <v>-1.39</v>
      </c>
      <c r="AA107" s="3">
        <f t="shared" si="14"/>
        <v>-0.0924817032601463</v>
      </c>
      <c r="AB107">
        <v>12.69</v>
      </c>
      <c r="AC107">
        <v>13.27</v>
      </c>
      <c r="AD107">
        <v>12.43</v>
      </c>
      <c r="AE107">
        <v>12.34</v>
      </c>
      <c r="AF107">
        <v>11.29</v>
      </c>
      <c r="AG107">
        <v>11.18</v>
      </c>
      <c r="AH107">
        <v>12.17</v>
      </c>
      <c r="AI107">
        <v>11.89</v>
      </c>
      <c r="AJ107" s="2">
        <f t="shared" si="15"/>
        <v>0.710000000000001</v>
      </c>
      <c r="AK107" s="3">
        <f t="shared" si="16"/>
        <v>0.0635062611806799</v>
      </c>
      <c r="AL107">
        <v>11.47</v>
      </c>
      <c r="AM107">
        <v>11.31</v>
      </c>
      <c r="AN107" s="3">
        <f t="shared" si="17"/>
        <v>-0.140637519638055</v>
      </c>
    </row>
    <row r="108" spans="1:40">
      <c r="A108">
        <v>113675</v>
      </c>
      <c r="B108" t="s">
        <v>256</v>
      </c>
      <c r="C108" s="4">
        <v>45149</v>
      </c>
      <c r="D108">
        <v>754179</v>
      </c>
      <c r="E108">
        <v>603179</v>
      </c>
      <c r="F108" t="s">
        <v>257</v>
      </c>
      <c r="G108">
        <v>0.0028089</v>
      </c>
      <c r="H108" s="4">
        <v>45174</v>
      </c>
      <c r="I108" t="s">
        <v>55</v>
      </c>
      <c r="J108" s="4">
        <v>45091</v>
      </c>
      <c r="K108" s="4">
        <v>45134</v>
      </c>
      <c r="L108">
        <v>58</v>
      </c>
      <c r="M108">
        <v>15</v>
      </c>
      <c r="N108">
        <v>42.88</v>
      </c>
      <c r="O108">
        <v>41.86</v>
      </c>
      <c r="P108">
        <v>46.18</v>
      </c>
      <c r="Q108">
        <v>48.19</v>
      </c>
      <c r="R108">
        <v>54</v>
      </c>
      <c r="S108">
        <v>52.1</v>
      </c>
      <c r="T108" s="2">
        <f t="shared" si="9"/>
        <v>3.91</v>
      </c>
      <c r="U108" s="3">
        <f t="shared" si="10"/>
        <v>0.0811371653870098</v>
      </c>
      <c r="V108">
        <v>51.17</v>
      </c>
      <c r="W108">
        <v>52.48</v>
      </c>
      <c r="X108" s="2">
        <f t="shared" si="11"/>
        <v>4.29</v>
      </c>
      <c r="Y108" s="3">
        <f t="shared" si="12"/>
        <v>0.089022618800581</v>
      </c>
      <c r="Z108" s="2">
        <f t="shared" si="13"/>
        <v>0.379999999999995</v>
      </c>
      <c r="AA108" s="3">
        <f t="shared" si="14"/>
        <v>0.00729366602687131</v>
      </c>
      <c r="AB108">
        <v>52.38</v>
      </c>
      <c r="AC108">
        <v>51.17</v>
      </c>
      <c r="AD108">
        <v>11.55</v>
      </c>
      <c r="AE108">
        <v>11.47</v>
      </c>
      <c r="AF108">
        <v>11.68</v>
      </c>
      <c r="AG108">
        <v>11.75</v>
      </c>
      <c r="AH108">
        <v>12.17</v>
      </c>
      <c r="AI108">
        <v>11.89</v>
      </c>
      <c r="AJ108" s="2">
        <f t="shared" si="15"/>
        <v>0.140000000000001</v>
      </c>
      <c r="AK108" s="3">
        <f t="shared" si="16"/>
        <v>0.0119148936170213</v>
      </c>
      <c r="AL108">
        <v>11.5</v>
      </c>
      <c r="AM108">
        <v>11.39</v>
      </c>
      <c r="AN108" s="3">
        <f t="shared" si="17"/>
        <v>0.0771077251835597</v>
      </c>
    </row>
    <row r="109" spans="1:40">
      <c r="A109">
        <v>123218</v>
      </c>
      <c r="B109" t="s">
        <v>258</v>
      </c>
      <c r="C109" s="4">
        <v>45148</v>
      </c>
      <c r="D109">
        <v>371008</v>
      </c>
      <c r="E109">
        <v>301008</v>
      </c>
      <c r="F109" t="s">
        <v>259</v>
      </c>
      <c r="G109">
        <v>0.000438974</v>
      </c>
      <c r="H109" s="4">
        <v>45168</v>
      </c>
      <c r="I109" t="s">
        <v>50</v>
      </c>
      <c r="J109" s="4">
        <v>45026</v>
      </c>
      <c r="K109" s="4">
        <v>45063</v>
      </c>
      <c r="L109">
        <v>122</v>
      </c>
      <c r="M109">
        <v>85</v>
      </c>
      <c r="N109">
        <v>18.64</v>
      </c>
      <c r="O109">
        <v>18.36</v>
      </c>
      <c r="P109">
        <v>17.07</v>
      </c>
      <c r="Q109">
        <v>17.44</v>
      </c>
      <c r="R109">
        <v>21.48</v>
      </c>
      <c r="S109">
        <v>23.49</v>
      </c>
      <c r="T109" s="2">
        <f t="shared" si="9"/>
        <v>6.05</v>
      </c>
      <c r="U109" s="3">
        <f t="shared" si="10"/>
        <v>0.34690366972477</v>
      </c>
      <c r="V109">
        <v>21.19</v>
      </c>
      <c r="W109">
        <v>21.84</v>
      </c>
      <c r="X109" s="2">
        <f t="shared" si="11"/>
        <v>4.4</v>
      </c>
      <c r="Y109" s="3">
        <f t="shared" si="12"/>
        <v>0.252293577981651</v>
      </c>
      <c r="Z109" s="2">
        <f t="shared" si="13"/>
        <v>-1.65</v>
      </c>
      <c r="AA109" s="3">
        <f t="shared" si="14"/>
        <v>-0.070242656449553</v>
      </c>
      <c r="AB109">
        <v>21.05</v>
      </c>
      <c r="AC109">
        <v>21.16</v>
      </c>
      <c r="AD109">
        <v>12.64</v>
      </c>
      <c r="AE109">
        <v>12.68</v>
      </c>
      <c r="AF109">
        <v>12.58</v>
      </c>
      <c r="AG109">
        <v>12.49</v>
      </c>
      <c r="AH109">
        <v>12.15</v>
      </c>
      <c r="AI109">
        <v>12.16</v>
      </c>
      <c r="AJ109" s="2">
        <f t="shared" si="15"/>
        <v>-0.33</v>
      </c>
      <c r="AK109" s="3">
        <f t="shared" si="16"/>
        <v>-0.0264211369095276</v>
      </c>
      <c r="AL109">
        <v>11.27</v>
      </c>
      <c r="AM109">
        <v>11.13</v>
      </c>
      <c r="AN109" s="3">
        <f t="shared" si="17"/>
        <v>0.278714714891179</v>
      </c>
    </row>
    <row r="110" spans="1:40">
      <c r="A110">
        <v>118042</v>
      </c>
      <c r="B110" t="s">
        <v>260</v>
      </c>
      <c r="C110" s="4">
        <v>45148</v>
      </c>
      <c r="D110">
        <v>718516</v>
      </c>
      <c r="E110">
        <v>688516</v>
      </c>
      <c r="F110" t="s">
        <v>261</v>
      </c>
      <c r="G110">
        <v>0.00203912</v>
      </c>
      <c r="H110" s="4">
        <v>45170</v>
      </c>
      <c r="I110" t="s">
        <v>55</v>
      </c>
      <c r="J110" s="4">
        <v>45084</v>
      </c>
      <c r="K110" s="4">
        <v>45129</v>
      </c>
      <c r="L110">
        <v>64</v>
      </c>
      <c r="M110">
        <v>19</v>
      </c>
      <c r="N110">
        <v>76.69</v>
      </c>
      <c r="O110">
        <v>74.95</v>
      </c>
      <c r="P110">
        <v>85.56</v>
      </c>
      <c r="Q110">
        <v>83.99</v>
      </c>
      <c r="R110">
        <v>82.37</v>
      </c>
      <c r="S110">
        <v>80.01</v>
      </c>
      <c r="T110" s="2">
        <f t="shared" si="9"/>
        <v>-3.97999999999999</v>
      </c>
      <c r="U110" s="3">
        <f t="shared" si="10"/>
        <v>-0.0473865936421001</v>
      </c>
      <c r="V110">
        <v>77.89</v>
      </c>
      <c r="W110">
        <v>81.19</v>
      </c>
      <c r="X110" s="2">
        <f t="shared" si="11"/>
        <v>-2.8</v>
      </c>
      <c r="Y110" s="3">
        <f t="shared" si="12"/>
        <v>-0.033337302059769</v>
      </c>
      <c r="Z110" s="2">
        <f t="shared" si="13"/>
        <v>1.17999999999999</v>
      </c>
      <c r="AA110" s="3">
        <f t="shared" si="14"/>
        <v>0.0147481564804399</v>
      </c>
      <c r="AB110">
        <v>79.03</v>
      </c>
      <c r="AC110">
        <v>78.2</v>
      </c>
      <c r="AD110">
        <v>11.89</v>
      </c>
      <c r="AE110">
        <v>11.94</v>
      </c>
      <c r="AF110">
        <v>11.33</v>
      </c>
      <c r="AG110">
        <v>11.26</v>
      </c>
      <c r="AH110">
        <v>12.15</v>
      </c>
      <c r="AI110">
        <v>12.16</v>
      </c>
      <c r="AJ110" s="2">
        <f t="shared" si="15"/>
        <v>0.9</v>
      </c>
      <c r="AK110" s="3">
        <f t="shared" si="16"/>
        <v>0.0799289520426288</v>
      </c>
      <c r="AL110">
        <v>11.19</v>
      </c>
      <c r="AM110">
        <v>11.32</v>
      </c>
      <c r="AN110" s="3">
        <f t="shared" si="17"/>
        <v>-0.113266254102398</v>
      </c>
    </row>
    <row r="111" spans="1:40">
      <c r="A111">
        <v>110095</v>
      </c>
      <c r="B111" t="s">
        <v>262</v>
      </c>
      <c r="C111" s="4">
        <v>45146</v>
      </c>
      <c r="D111">
        <v>733481</v>
      </c>
      <c r="E111">
        <v>600481</v>
      </c>
      <c r="F111" t="s">
        <v>263</v>
      </c>
      <c r="G111">
        <v>0.00551815</v>
      </c>
      <c r="H111" s="4">
        <v>45177</v>
      </c>
      <c r="I111" t="s">
        <v>55</v>
      </c>
      <c r="J111" s="4">
        <v>45069</v>
      </c>
      <c r="K111" s="4">
        <v>45106</v>
      </c>
      <c r="L111">
        <v>77</v>
      </c>
      <c r="M111">
        <v>40</v>
      </c>
      <c r="N111">
        <v>12.57</v>
      </c>
      <c r="O111">
        <v>12.5</v>
      </c>
      <c r="P111">
        <v>13.59</v>
      </c>
      <c r="Q111">
        <v>13.39</v>
      </c>
      <c r="R111">
        <v>11.22</v>
      </c>
      <c r="S111">
        <v>11.42</v>
      </c>
      <c r="T111" s="2">
        <f t="shared" si="9"/>
        <v>-1.97</v>
      </c>
      <c r="U111" s="3">
        <f t="shared" si="10"/>
        <v>-0.147124719940254</v>
      </c>
      <c r="V111">
        <v>11.08</v>
      </c>
      <c r="W111">
        <v>11.12</v>
      </c>
      <c r="X111" s="2">
        <f t="shared" si="11"/>
        <v>-2.27</v>
      </c>
      <c r="Y111" s="3">
        <f t="shared" si="12"/>
        <v>-0.169529499626587</v>
      </c>
      <c r="Z111" s="2">
        <f t="shared" si="13"/>
        <v>-0.300000000000001</v>
      </c>
      <c r="AA111" s="3">
        <f t="shared" si="14"/>
        <v>-0.0262697022767076</v>
      </c>
      <c r="AB111">
        <v>10.19</v>
      </c>
      <c r="AC111">
        <v>10.25</v>
      </c>
      <c r="AD111">
        <v>12.38</v>
      </c>
      <c r="AE111">
        <v>12.21</v>
      </c>
      <c r="AF111">
        <v>11.29</v>
      </c>
      <c r="AG111">
        <v>11.18</v>
      </c>
      <c r="AH111">
        <v>12.12</v>
      </c>
      <c r="AI111">
        <v>12.1</v>
      </c>
      <c r="AJ111" s="2">
        <f t="shared" si="15"/>
        <v>0.92</v>
      </c>
      <c r="AK111" s="3">
        <f t="shared" si="16"/>
        <v>0.0822898032200358</v>
      </c>
      <c r="AL111">
        <v>11.28</v>
      </c>
      <c r="AM111">
        <v>11.27</v>
      </c>
      <c r="AN111" s="3">
        <f t="shared" si="17"/>
        <v>-0.251819302846623</v>
      </c>
    </row>
    <row r="112" spans="1:40">
      <c r="A112">
        <v>123217</v>
      </c>
      <c r="B112" t="s">
        <v>264</v>
      </c>
      <c r="C112" s="4">
        <v>45146</v>
      </c>
      <c r="D112">
        <v>370852</v>
      </c>
      <c r="E112">
        <v>300852</v>
      </c>
      <c r="F112" t="s">
        <v>265</v>
      </c>
      <c r="G112">
        <v>0.0007508153</v>
      </c>
      <c r="H112" s="4">
        <v>45162</v>
      </c>
      <c r="I112" t="s">
        <v>55</v>
      </c>
      <c r="J112" s="4">
        <v>45086</v>
      </c>
      <c r="K112" s="4">
        <v>45127</v>
      </c>
      <c r="L112">
        <v>60</v>
      </c>
      <c r="M112">
        <v>19</v>
      </c>
      <c r="N112">
        <v>28.86</v>
      </c>
      <c r="O112">
        <v>28.94</v>
      </c>
      <c r="P112">
        <v>30.08</v>
      </c>
      <c r="Q112">
        <v>28.43</v>
      </c>
      <c r="R112">
        <v>29.43</v>
      </c>
      <c r="S112">
        <v>29.9</v>
      </c>
      <c r="T112" s="2">
        <f t="shared" si="9"/>
        <v>1.47</v>
      </c>
      <c r="U112" s="3">
        <f t="shared" si="10"/>
        <v>0.0517059444249032</v>
      </c>
      <c r="V112">
        <v>28.63</v>
      </c>
      <c r="W112">
        <v>27.59</v>
      </c>
      <c r="X112" s="2">
        <f t="shared" si="11"/>
        <v>-0.84</v>
      </c>
      <c r="Y112" s="3">
        <f t="shared" si="12"/>
        <v>-0.0295462539570876</v>
      </c>
      <c r="Z112" s="2">
        <f t="shared" si="13"/>
        <v>-2.31</v>
      </c>
      <c r="AA112" s="3">
        <f t="shared" si="14"/>
        <v>-0.077257525083612</v>
      </c>
      <c r="AB112">
        <v>25.69</v>
      </c>
      <c r="AC112">
        <v>26.04</v>
      </c>
      <c r="AD112">
        <v>12.06</v>
      </c>
      <c r="AE112">
        <v>11.88</v>
      </c>
      <c r="AF112">
        <v>11.33</v>
      </c>
      <c r="AG112">
        <v>11.32</v>
      </c>
      <c r="AH112">
        <v>12.12</v>
      </c>
      <c r="AI112">
        <v>12.1</v>
      </c>
      <c r="AJ112" s="2">
        <f t="shared" si="15"/>
        <v>0.779999999999999</v>
      </c>
      <c r="AK112" s="3">
        <f t="shared" si="16"/>
        <v>0.0689045936395759</v>
      </c>
      <c r="AL112">
        <v>11.29</v>
      </c>
      <c r="AM112">
        <v>11.13</v>
      </c>
      <c r="AN112" s="3">
        <f t="shared" si="17"/>
        <v>-0.0984508475966635</v>
      </c>
    </row>
    <row r="113" spans="1:40">
      <c r="A113">
        <v>123216</v>
      </c>
      <c r="B113" t="s">
        <v>266</v>
      </c>
      <c r="C113" s="4">
        <v>45142</v>
      </c>
      <c r="D113">
        <v>370737</v>
      </c>
      <c r="E113">
        <v>300737</v>
      </c>
      <c r="F113" t="s">
        <v>267</v>
      </c>
      <c r="G113">
        <v>0.0045649054</v>
      </c>
      <c r="H113" s="4">
        <v>45161</v>
      </c>
      <c r="I113" t="s">
        <v>40</v>
      </c>
      <c r="J113" s="4">
        <v>45036</v>
      </c>
      <c r="K113" s="4">
        <v>45103</v>
      </c>
      <c r="L113">
        <v>106</v>
      </c>
      <c r="M113">
        <v>39</v>
      </c>
      <c r="N113">
        <v>11.04</v>
      </c>
      <c r="O113">
        <v>11.05</v>
      </c>
      <c r="P113">
        <v>8.91</v>
      </c>
      <c r="Q113">
        <v>8.66</v>
      </c>
      <c r="R113">
        <v>9.97</v>
      </c>
      <c r="S113">
        <v>9.95</v>
      </c>
      <c r="T113" s="2">
        <f t="shared" si="9"/>
        <v>1.29</v>
      </c>
      <c r="U113" s="3">
        <f t="shared" si="10"/>
        <v>0.148960739030023</v>
      </c>
      <c r="V113">
        <v>9.6</v>
      </c>
      <c r="W113">
        <v>9.58</v>
      </c>
      <c r="X113" s="2">
        <f t="shared" si="11"/>
        <v>0.92</v>
      </c>
      <c r="Y113" s="3">
        <f t="shared" si="12"/>
        <v>0.106235565819861</v>
      </c>
      <c r="Z113" s="2">
        <f t="shared" si="13"/>
        <v>-0.369999999999999</v>
      </c>
      <c r="AA113" s="3">
        <f t="shared" si="14"/>
        <v>-0.0371859296482411</v>
      </c>
      <c r="AB113">
        <v>8.35</v>
      </c>
      <c r="AC113">
        <v>8.12</v>
      </c>
      <c r="AD113">
        <v>12.9</v>
      </c>
      <c r="AE113">
        <v>12.75</v>
      </c>
      <c r="AF113">
        <v>11.3</v>
      </c>
      <c r="AG113">
        <v>11.18</v>
      </c>
      <c r="AH113">
        <v>12.42</v>
      </c>
      <c r="AI113">
        <v>12.3</v>
      </c>
      <c r="AJ113" s="2">
        <f t="shared" si="15"/>
        <v>1.12</v>
      </c>
      <c r="AK113" s="3">
        <f t="shared" si="16"/>
        <v>0.100178890876565</v>
      </c>
      <c r="AL113">
        <v>11.35</v>
      </c>
      <c r="AM113">
        <v>11.25</v>
      </c>
      <c r="AN113" s="3">
        <f t="shared" si="17"/>
        <v>0.00605667494329604</v>
      </c>
    </row>
    <row r="114" spans="1:40">
      <c r="A114">
        <v>123215</v>
      </c>
      <c r="B114" t="s">
        <v>268</v>
      </c>
      <c r="C114" s="4">
        <v>45141</v>
      </c>
      <c r="D114">
        <v>371268</v>
      </c>
      <c r="E114">
        <v>301268</v>
      </c>
      <c r="F114" t="s">
        <v>269</v>
      </c>
      <c r="G114">
        <v>0.0018818159</v>
      </c>
      <c r="H114" s="4">
        <v>45161</v>
      </c>
      <c r="I114" t="s">
        <v>55</v>
      </c>
      <c r="J114" s="4">
        <v>45086</v>
      </c>
      <c r="K114" s="4">
        <v>45118</v>
      </c>
      <c r="L114">
        <v>55</v>
      </c>
      <c r="M114">
        <v>23</v>
      </c>
      <c r="N114">
        <v>40.56</v>
      </c>
      <c r="O114">
        <v>41.94</v>
      </c>
      <c r="P114">
        <v>37.68</v>
      </c>
      <c r="Q114">
        <v>39.65</v>
      </c>
      <c r="R114">
        <v>34.48</v>
      </c>
      <c r="S114">
        <v>34.78</v>
      </c>
      <c r="T114" s="2">
        <f t="shared" si="9"/>
        <v>-4.87</v>
      </c>
      <c r="U114" s="3">
        <f t="shared" si="10"/>
        <v>-0.122824716267339</v>
      </c>
      <c r="V114">
        <v>34</v>
      </c>
      <c r="W114">
        <v>33.63</v>
      </c>
      <c r="X114" s="2">
        <f t="shared" si="11"/>
        <v>-6.02</v>
      </c>
      <c r="Y114" s="3">
        <f t="shared" si="12"/>
        <v>-0.151828499369483</v>
      </c>
      <c r="Z114" s="2">
        <f t="shared" si="13"/>
        <v>-1.15</v>
      </c>
      <c r="AA114" s="3">
        <f t="shared" si="14"/>
        <v>-0.0330649798734905</v>
      </c>
      <c r="AB114">
        <v>30.35</v>
      </c>
      <c r="AC114">
        <v>29.11</v>
      </c>
      <c r="AD114">
        <v>12.06</v>
      </c>
      <c r="AE114">
        <v>11.88</v>
      </c>
      <c r="AF114">
        <v>11.22</v>
      </c>
      <c r="AG114">
        <v>11.21</v>
      </c>
      <c r="AH114">
        <v>11.99</v>
      </c>
      <c r="AI114">
        <v>12.33</v>
      </c>
      <c r="AJ114" s="2">
        <f t="shared" si="15"/>
        <v>1.12</v>
      </c>
      <c r="AK114" s="3">
        <f t="shared" si="16"/>
        <v>0.0999107939339874</v>
      </c>
      <c r="AL114">
        <v>11.35</v>
      </c>
      <c r="AM114">
        <v>11.25</v>
      </c>
      <c r="AN114" s="3">
        <f t="shared" si="17"/>
        <v>-0.25173929330347</v>
      </c>
    </row>
    <row r="115" spans="1:40">
      <c r="A115">
        <v>123214</v>
      </c>
      <c r="B115" t="s">
        <v>270</v>
      </c>
      <c r="C115" s="4">
        <v>45138</v>
      </c>
      <c r="D115">
        <v>370239</v>
      </c>
      <c r="E115">
        <v>300239</v>
      </c>
      <c r="F115" t="s">
        <v>271</v>
      </c>
      <c r="G115">
        <v>0.0019172228</v>
      </c>
      <c r="H115" s="4">
        <v>45156</v>
      </c>
      <c r="I115" t="s">
        <v>50</v>
      </c>
      <c r="J115" s="4">
        <v>45086</v>
      </c>
      <c r="K115" s="4">
        <v>45118</v>
      </c>
      <c r="L115">
        <v>52</v>
      </c>
      <c r="M115">
        <v>20</v>
      </c>
      <c r="N115">
        <v>6.2</v>
      </c>
      <c r="O115">
        <v>6.23</v>
      </c>
      <c r="P115">
        <v>6.14</v>
      </c>
      <c r="Q115">
        <v>6.19</v>
      </c>
      <c r="R115">
        <v>6.58</v>
      </c>
      <c r="S115">
        <v>6.6</v>
      </c>
      <c r="T115" s="2">
        <f t="shared" si="9"/>
        <v>0.409999999999999</v>
      </c>
      <c r="U115" s="3">
        <f t="shared" si="10"/>
        <v>0.0662358642972535</v>
      </c>
      <c r="V115">
        <v>6.4</v>
      </c>
      <c r="W115">
        <v>6.34</v>
      </c>
      <c r="X115" s="2">
        <f t="shared" si="11"/>
        <v>0.149999999999999</v>
      </c>
      <c r="Y115" s="3">
        <f t="shared" si="12"/>
        <v>0.024232633279483</v>
      </c>
      <c r="Z115" s="2">
        <f t="shared" si="13"/>
        <v>-0.26</v>
      </c>
      <c r="AA115" s="3">
        <f t="shared" si="14"/>
        <v>-0.0393939393939394</v>
      </c>
      <c r="AB115">
        <v>6.25</v>
      </c>
      <c r="AC115">
        <v>6.13</v>
      </c>
      <c r="AD115">
        <v>12.06</v>
      </c>
      <c r="AE115">
        <v>11.88</v>
      </c>
      <c r="AF115">
        <v>11.22</v>
      </c>
      <c r="AG115">
        <v>11.21</v>
      </c>
      <c r="AH115">
        <v>12.3</v>
      </c>
      <c r="AI115">
        <v>12.32</v>
      </c>
      <c r="AJ115" s="2">
        <f t="shared" si="15"/>
        <v>1.11</v>
      </c>
      <c r="AK115" s="3">
        <f t="shared" si="16"/>
        <v>0.0990187332738626</v>
      </c>
      <c r="AL115">
        <v>11.58</v>
      </c>
      <c r="AM115">
        <v>11.56</v>
      </c>
      <c r="AN115" s="3">
        <f t="shared" si="17"/>
        <v>-0.0747860999943796</v>
      </c>
    </row>
    <row r="116" spans="1:40">
      <c r="A116">
        <v>118041</v>
      </c>
      <c r="B116" t="s">
        <v>272</v>
      </c>
      <c r="C116" s="4">
        <v>45138</v>
      </c>
      <c r="D116">
        <v>718633</v>
      </c>
      <c r="E116">
        <v>688633</v>
      </c>
      <c r="F116" t="s">
        <v>273</v>
      </c>
      <c r="G116">
        <v>0.00054951</v>
      </c>
      <c r="H116" s="4">
        <v>45160</v>
      </c>
      <c r="I116" t="s">
        <v>50</v>
      </c>
      <c r="J116" s="4">
        <v>45036</v>
      </c>
      <c r="K116" s="4">
        <v>45105</v>
      </c>
      <c r="L116">
        <v>102</v>
      </c>
      <c r="M116">
        <v>33</v>
      </c>
      <c r="N116">
        <v>22.51</v>
      </c>
      <c r="O116">
        <v>22.14</v>
      </c>
      <c r="P116">
        <v>21.46</v>
      </c>
      <c r="Q116">
        <v>21.07</v>
      </c>
      <c r="R116">
        <v>23.03</v>
      </c>
      <c r="S116">
        <v>23.19</v>
      </c>
      <c r="T116" s="2">
        <f t="shared" si="9"/>
        <v>2.12</v>
      </c>
      <c r="U116" s="3">
        <f t="shared" si="10"/>
        <v>0.10061699098244</v>
      </c>
      <c r="V116">
        <v>21.83</v>
      </c>
      <c r="W116">
        <v>21.65</v>
      </c>
      <c r="X116" s="2">
        <f t="shared" si="11"/>
        <v>0.579999999999998</v>
      </c>
      <c r="Y116" s="3">
        <f t="shared" si="12"/>
        <v>0.0275272899857617</v>
      </c>
      <c r="Z116" s="2">
        <f t="shared" si="13"/>
        <v>-1.54</v>
      </c>
      <c r="AA116" s="3">
        <f t="shared" si="14"/>
        <v>-0.0664079344545064</v>
      </c>
      <c r="AB116">
        <v>20.49</v>
      </c>
      <c r="AC116">
        <v>19.89</v>
      </c>
      <c r="AD116">
        <v>12.9</v>
      </c>
      <c r="AE116">
        <v>12.75</v>
      </c>
      <c r="AF116">
        <v>11.28</v>
      </c>
      <c r="AG116">
        <v>11.3</v>
      </c>
      <c r="AH116">
        <v>12.3</v>
      </c>
      <c r="AI116">
        <v>12.32</v>
      </c>
      <c r="AJ116" s="2">
        <f t="shared" si="15"/>
        <v>1.02</v>
      </c>
      <c r="AK116" s="3">
        <f t="shared" si="16"/>
        <v>0.0902654867256637</v>
      </c>
      <c r="AL116">
        <v>11.38</v>
      </c>
      <c r="AM116">
        <v>11.37</v>
      </c>
      <c r="AN116" s="3">
        <f t="shared" si="17"/>
        <v>-0.062738196739902</v>
      </c>
    </row>
    <row r="117" spans="1:40">
      <c r="A117">
        <v>123213</v>
      </c>
      <c r="B117" t="s">
        <v>274</v>
      </c>
      <c r="C117" s="4">
        <v>45135</v>
      </c>
      <c r="D117">
        <v>371127</v>
      </c>
      <c r="E117">
        <v>301127</v>
      </c>
      <c r="F117" t="s">
        <v>275</v>
      </c>
      <c r="G117">
        <v>0.0037859869</v>
      </c>
      <c r="H117" s="4">
        <v>45154</v>
      </c>
      <c r="I117" t="s">
        <v>55</v>
      </c>
      <c r="J117" s="4">
        <v>45058</v>
      </c>
      <c r="K117" s="5">
        <v>45105</v>
      </c>
      <c r="L117">
        <v>77</v>
      </c>
      <c r="M117">
        <v>30</v>
      </c>
      <c r="N117">
        <v>7.1</v>
      </c>
      <c r="O117">
        <v>7</v>
      </c>
      <c r="P117">
        <v>6.68</v>
      </c>
      <c r="Q117">
        <v>6.68</v>
      </c>
      <c r="R117">
        <v>7.32</v>
      </c>
      <c r="S117">
        <v>7.38</v>
      </c>
      <c r="T117" s="2">
        <f t="shared" si="9"/>
        <v>0.7</v>
      </c>
      <c r="U117" s="3">
        <f t="shared" si="10"/>
        <v>0.104790419161677</v>
      </c>
      <c r="V117">
        <v>6.98</v>
      </c>
      <c r="W117">
        <v>7.06</v>
      </c>
      <c r="X117" s="2">
        <f t="shared" si="11"/>
        <v>0.38</v>
      </c>
      <c r="Y117" s="3">
        <f t="shared" si="12"/>
        <v>0.0568862275449102</v>
      </c>
      <c r="Z117" s="2">
        <f t="shared" si="13"/>
        <v>-0.32</v>
      </c>
      <c r="AA117" s="3">
        <f t="shared" si="14"/>
        <v>-0.0433604336043361</v>
      </c>
      <c r="AB117">
        <v>7.26</v>
      </c>
      <c r="AC117">
        <v>7.09</v>
      </c>
      <c r="AD117">
        <v>12.82</v>
      </c>
      <c r="AE117">
        <v>12.62</v>
      </c>
      <c r="AF117">
        <v>11.28</v>
      </c>
      <c r="AG117">
        <v>11.3</v>
      </c>
      <c r="AH117">
        <v>11.69</v>
      </c>
      <c r="AI117">
        <v>12.26</v>
      </c>
      <c r="AJ117" s="2">
        <f t="shared" si="15"/>
        <v>0.959999999999999</v>
      </c>
      <c r="AK117" s="3">
        <f t="shared" si="16"/>
        <v>0.0849557522123893</v>
      </c>
      <c r="AL117">
        <v>11.67</v>
      </c>
      <c r="AM117">
        <v>11.73</v>
      </c>
      <c r="AN117" s="3">
        <f t="shared" si="17"/>
        <v>-0.0280695246674791</v>
      </c>
    </row>
    <row r="118" spans="1:40">
      <c r="A118">
        <v>113068</v>
      </c>
      <c r="B118" t="s">
        <v>276</v>
      </c>
      <c r="C118" s="4">
        <v>45135</v>
      </c>
      <c r="D118">
        <v>783609</v>
      </c>
      <c r="E118">
        <v>601609</v>
      </c>
      <c r="F118" t="s">
        <v>277</v>
      </c>
      <c r="G118">
        <v>0.00313136</v>
      </c>
      <c r="H118" s="4">
        <v>45166</v>
      </c>
      <c r="I118" t="s">
        <v>58</v>
      </c>
      <c r="J118" s="4">
        <v>45078</v>
      </c>
      <c r="K118" s="4">
        <v>45107</v>
      </c>
      <c r="L118">
        <v>57</v>
      </c>
      <c r="M118">
        <v>28</v>
      </c>
      <c r="N118">
        <v>6.23</v>
      </c>
      <c r="O118">
        <v>6.18</v>
      </c>
      <c r="P118">
        <v>6.15</v>
      </c>
      <c r="Q118">
        <v>6.26</v>
      </c>
      <c r="R118">
        <v>6.53</v>
      </c>
      <c r="S118">
        <v>6.54</v>
      </c>
      <c r="T118" s="2">
        <f t="shared" si="9"/>
        <v>0.28</v>
      </c>
      <c r="U118" s="3">
        <f t="shared" si="10"/>
        <v>0.0447284345047924</v>
      </c>
      <c r="V118">
        <v>6.3</v>
      </c>
      <c r="W118">
        <v>6.4</v>
      </c>
      <c r="X118" s="2">
        <f t="shared" si="11"/>
        <v>0.140000000000001</v>
      </c>
      <c r="Y118" s="3">
        <f t="shared" si="12"/>
        <v>0.0223642172523963</v>
      </c>
      <c r="Z118" s="2">
        <f t="shared" si="13"/>
        <v>-0.14</v>
      </c>
      <c r="AA118" s="3">
        <f t="shared" si="14"/>
        <v>-0.0214067278287461</v>
      </c>
      <c r="AB118">
        <v>6.43</v>
      </c>
      <c r="AC118">
        <v>6.26</v>
      </c>
      <c r="AD118">
        <v>11.6</v>
      </c>
      <c r="AE118">
        <v>11.59</v>
      </c>
      <c r="AF118">
        <v>11.18</v>
      </c>
      <c r="AG118">
        <v>11.23</v>
      </c>
      <c r="AH118">
        <v>11.69</v>
      </c>
      <c r="AI118">
        <v>12.26</v>
      </c>
      <c r="AJ118" s="2">
        <f t="shared" si="15"/>
        <v>1.03</v>
      </c>
      <c r="AK118" s="3">
        <f t="shared" si="16"/>
        <v>0.0917186108637577</v>
      </c>
      <c r="AL118">
        <v>11.84</v>
      </c>
      <c r="AM118">
        <v>11.52</v>
      </c>
      <c r="AN118" s="3">
        <f t="shared" si="17"/>
        <v>-0.0693543936113615</v>
      </c>
    </row>
    <row r="119" spans="1:40">
      <c r="A119">
        <v>123211</v>
      </c>
      <c r="B119" t="s">
        <v>278</v>
      </c>
      <c r="C119" s="4">
        <v>45134</v>
      </c>
      <c r="D119">
        <v>370121</v>
      </c>
      <c r="E119">
        <v>300121</v>
      </c>
      <c r="F119" t="s">
        <v>279</v>
      </c>
      <c r="G119">
        <v>0.0011936109</v>
      </c>
      <c r="H119" s="4">
        <v>45152</v>
      </c>
      <c r="I119" t="s">
        <v>55</v>
      </c>
      <c r="J119" s="4">
        <v>45024</v>
      </c>
      <c r="K119" s="4">
        <v>45082</v>
      </c>
      <c r="L119">
        <v>110</v>
      </c>
      <c r="M119">
        <v>52</v>
      </c>
      <c r="N119">
        <v>10.81</v>
      </c>
      <c r="O119">
        <v>10.71</v>
      </c>
      <c r="P119">
        <v>9.08</v>
      </c>
      <c r="Q119">
        <v>8.93</v>
      </c>
      <c r="R119">
        <v>9.63</v>
      </c>
      <c r="S119">
        <v>9.6</v>
      </c>
      <c r="T119" s="2">
        <f t="shared" si="9"/>
        <v>0.67</v>
      </c>
      <c r="U119" s="3">
        <f t="shared" si="10"/>
        <v>0.0750279955207167</v>
      </c>
      <c r="V119">
        <v>9.26</v>
      </c>
      <c r="W119">
        <v>9.05</v>
      </c>
      <c r="X119" s="2">
        <f t="shared" si="11"/>
        <v>0.120000000000001</v>
      </c>
      <c r="Y119" s="3">
        <f t="shared" si="12"/>
        <v>0.0134378499440091</v>
      </c>
      <c r="Z119" s="2">
        <f t="shared" si="13"/>
        <v>-0.549999999999999</v>
      </c>
      <c r="AA119" s="3">
        <f t="shared" si="14"/>
        <v>-0.0572916666666666</v>
      </c>
      <c r="AB119">
        <v>8.75</v>
      </c>
      <c r="AC119">
        <v>8.81</v>
      </c>
      <c r="AD119">
        <v>12.64</v>
      </c>
      <c r="AE119">
        <v>12.68</v>
      </c>
      <c r="AF119">
        <v>11.88</v>
      </c>
      <c r="AG119">
        <v>11.91</v>
      </c>
      <c r="AH119">
        <v>11.68</v>
      </c>
      <c r="AI119">
        <v>11.75</v>
      </c>
      <c r="AJ119" s="2">
        <f t="shared" si="15"/>
        <v>-0.16</v>
      </c>
      <c r="AK119" s="3">
        <f t="shared" si="16"/>
        <v>-0.0134340890008396</v>
      </c>
      <c r="AL119">
        <v>11.76</v>
      </c>
      <c r="AM119">
        <v>11.67</v>
      </c>
      <c r="AN119" s="3">
        <f t="shared" si="17"/>
        <v>0.0268719389448487</v>
      </c>
    </row>
    <row r="120" spans="1:40">
      <c r="A120">
        <v>123210</v>
      </c>
      <c r="B120" t="s">
        <v>280</v>
      </c>
      <c r="C120" s="4">
        <v>45134</v>
      </c>
      <c r="D120">
        <v>370454</v>
      </c>
      <c r="E120">
        <v>300454</v>
      </c>
      <c r="F120" t="s">
        <v>281</v>
      </c>
      <c r="G120">
        <v>0.0024586282</v>
      </c>
      <c r="H120" s="4">
        <v>45156</v>
      </c>
      <c r="I120" t="s">
        <v>40</v>
      </c>
      <c r="J120" s="4">
        <v>45030</v>
      </c>
      <c r="K120" s="4">
        <v>45112</v>
      </c>
      <c r="L120">
        <v>104</v>
      </c>
      <c r="M120">
        <v>22</v>
      </c>
      <c r="N120">
        <v>140.69</v>
      </c>
      <c r="O120">
        <v>137.49</v>
      </c>
      <c r="P120">
        <v>113.64</v>
      </c>
      <c r="Q120">
        <v>112</v>
      </c>
      <c r="R120">
        <v>110.77</v>
      </c>
      <c r="S120">
        <v>110.49</v>
      </c>
      <c r="T120" s="2">
        <f t="shared" si="9"/>
        <v>-1.51000000000001</v>
      </c>
      <c r="U120" s="3">
        <f t="shared" si="10"/>
        <v>-0.0134821428571429</v>
      </c>
      <c r="V120">
        <v>110.28</v>
      </c>
      <c r="W120">
        <v>107.44</v>
      </c>
      <c r="X120" s="2">
        <f t="shared" si="11"/>
        <v>-4.56</v>
      </c>
      <c r="Y120" s="3">
        <f t="shared" si="12"/>
        <v>-0.0407142857142857</v>
      </c>
      <c r="Z120" s="2">
        <f t="shared" si="13"/>
        <v>-3.05</v>
      </c>
      <c r="AA120" s="3">
        <f t="shared" si="14"/>
        <v>-0.0276043080821794</v>
      </c>
      <c r="AB120">
        <v>112.27</v>
      </c>
      <c r="AC120">
        <v>109.07</v>
      </c>
      <c r="AD120">
        <v>12.6</v>
      </c>
      <c r="AE120">
        <v>12.69</v>
      </c>
      <c r="AF120">
        <v>11.36</v>
      </c>
      <c r="AG120">
        <v>11.34</v>
      </c>
      <c r="AH120">
        <v>11.68</v>
      </c>
      <c r="AI120">
        <v>11.75</v>
      </c>
      <c r="AJ120" s="2">
        <f t="shared" si="15"/>
        <v>0.41</v>
      </c>
      <c r="AK120" s="3">
        <f t="shared" si="16"/>
        <v>0.0361552028218695</v>
      </c>
      <c r="AL120">
        <v>11.58</v>
      </c>
      <c r="AM120">
        <v>11.56</v>
      </c>
      <c r="AN120" s="3">
        <f t="shared" si="17"/>
        <v>-0.0768694885361552</v>
      </c>
    </row>
    <row r="121" spans="1:40">
      <c r="A121">
        <v>113067</v>
      </c>
      <c r="B121" t="s">
        <v>282</v>
      </c>
      <c r="C121" s="4">
        <v>45134</v>
      </c>
      <c r="D121">
        <v>783139</v>
      </c>
      <c r="E121">
        <v>601139</v>
      </c>
      <c r="F121" t="s">
        <v>283</v>
      </c>
      <c r="G121">
        <v>0.01104675</v>
      </c>
      <c r="H121" s="4">
        <v>45156</v>
      </c>
      <c r="I121" t="s">
        <v>43</v>
      </c>
      <c r="J121" s="4">
        <v>45069</v>
      </c>
      <c r="K121" s="4">
        <v>45106</v>
      </c>
      <c r="L121">
        <v>65</v>
      </c>
      <c r="M121">
        <v>28</v>
      </c>
      <c r="N121">
        <v>6.83</v>
      </c>
      <c r="O121">
        <v>6.73</v>
      </c>
      <c r="P121">
        <v>7.07</v>
      </c>
      <c r="Q121">
        <v>7.02</v>
      </c>
      <c r="R121">
        <v>7.14</v>
      </c>
      <c r="S121">
        <v>7.12</v>
      </c>
      <c r="T121" s="2">
        <f t="shared" si="9"/>
        <v>0.100000000000001</v>
      </c>
      <c r="U121" s="3">
        <f t="shared" si="10"/>
        <v>0.0142450142450143</v>
      </c>
      <c r="V121">
        <v>6.86</v>
      </c>
      <c r="W121">
        <v>7.03</v>
      </c>
      <c r="X121" s="2">
        <f t="shared" si="11"/>
        <v>0.0100000000000007</v>
      </c>
      <c r="Y121" s="3">
        <f t="shared" si="12"/>
        <v>0.00142450142450152</v>
      </c>
      <c r="Z121" s="2">
        <f t="shared" si="13"/>
        <v>-0.0899999999999999</v>
      </c>
      <c r="AA121" s="3">
        <f t="shared" si="14"/>
        <v>-0.0126404494382022</v>
      </c>
      <c r="AB121">
        <v>6.68</v>
      </c>
      <c r="AC121">
        <v>6.72</v>
      </c>
      <c r="AD121">
        <v>12.38</v>
      </c>
      <c r="AE121">
        <v>12.21</v>
      </c>
      <c r="AF121">
        <v>11.29</v>
      </c>
      <c r="AG121">
        <v>11.18</v>
      </c>
      <c r="AH121">
        <v>11.68</v>
      </c>
      <c r="AI121">
        <v>11.75</v>
      </c>
      <c r="AJ121" s="2">
        <f t="shared" si="15"/>
        <v>0.57</v>
      </c>
      <c r="AK121" s="3">
        <f t="shared" si="16"/>
        <v>0.0509838998211092</v>
      </c>
      <c r="AL121">
        <v>11.58</v>
      </c>
      <c r="AM121">
        <v>11.56</v>
      </c>
      <c r="AN121" s="3">
        <f t="shared" si="17"/>
        <v>-0.0495593983966076</v>
      </c>
    </row>
    <row r="122" spans="1:40">
      <c r="A122">
        <v>123212</v>
      </c>
      <c r="B122" t="s">
        <v>284</v>
      </c>
      <c r="C122" s="4">
        <v>45134</v>
      </c>
      <c r="D122">
        <v>370428</v>
      </c>
      <c r="E122">
        <v>300428</v>
      </c>
      <c r="F122" t="s">
        <v>285</v>
      </c>
      <c r="G122">
        <v>0.0016998032</v>
      </c>
      <c r="H122" s="4">
        <v>45154</v>
      </c>
      <c r="I122" t="s">
        <v>55</v>
      </c>
      <c r="J122" s="4">
        <v>45071</v>
      </c>
      <c r="K122" s="4">
        <v>45114</v>
      </c>
      <c r="L122">
        <v>63</v>
      </c>
      <c r="M122">
        <v>20</v>
      </c>
      <c r="N122">
        <v>20.95</v>
      </c>
      <c r="O122">
        <v>20.84</v>
      </c>
      <c r="P122">
        <v>22.86</v>
      </c>
      <c r="Q122">
        <v>22.54</v>
      </c>
      <c r="R122">
        <v>24.73</v>
      </c>
      <c r="S122">
        <v>23.95</v>
      </c>
      <c r="T122" s="2">
        <f t="shared" si="9"/>
        <v>1.41</v>
      </c>
      <c r="U122" s="3">
        <f t="shared" si="10"/>
        <v>0.0625554569653949</v>
      </c>
      <c r="V122">
        <v>24.55</v>
      </c>
      <c r="W122">
        <v>24.35</v>
      </c>
      <c r="X122" s="2">
        <f t="shared" si="11"/>
        <v>1.81</v>
      </c>
      <c r="Y122" s="3">
        <f t="shared" si="12"/>
        <v>0.0803016858917481</v>
      </c>
      <c r="Z122" s="2">
        <f t="shared" si="13"/>
        <v>0.400000000000002</v>
      </c>
      <c r="AA122" s="3">
        <f t="shared" si="14"/>
        <v>0.0167014613778707</v>
      </c>
      <c r="AB122">
        <v>23.01</v>
      </c>
      <c r="AC122">
        <v>23.02</v>
      </c>
      <c r="AD122">
        <v>11.99</v>
      </c>
      <c r="AE122">
        <v>11.93</v>
      </c>
      <c r="AF122">
        <v>11.2</v>
      </c>
      <c r="AG122">
        <v>11.2</v>
      </c>
      <c r="AH122">
        <v>11.68</v>
      </c>
      <c r="AI122">
        <v>11.75</v>
      </c>
      <c r="AJ122" s="2">
        <f t="shared" si="15"/>
        <v>0.550000000000001</v>
      </c>
      <c r="AK122" s="3">
        <f t="shared" si="16"/>
        <v>0.0491071428571429</v>
      </c>
      <c r="AL122">
        <v>11.67</v>
      </c>
      <c r="AM122">
        <v>11.73</v>
      </c>
      <c r="AN122" s="3">
        <f t="shared" si="17"/>
        <v>0.0311945430346052</v>
      </c>
    </row>
    <row r="123" spans="1:40">
      <c r="A123">
        <v>123209</v>
      </c>
      <c r="B123" t="s">
        <v>286</v>
      </c>
      <c r="C123" s="4">
        <v>45133</v>
      </c>
      <c r="D123">
        <v>370644</v>
      </c>
      <c r="E123">
        <v>300644</v>
      </c>
      <c r="F123" t="s">
        <v>287</v>
      </c>
      <c r="G123">
        <v>0.000840233</v>
      </c>
      <c r="H123" s="4">
        <v>45155</v>
      </c>
      <c r="I123" t="s">
        <v>50</v>
      </c>
      <c r="J123" s="4">
        <v>45026</v>
      </c>
      <c r="K123" s="4">
        <v>45063</v>
      </c>
      <c r="L123">
        <v>107</v>
      </c>
      <c r="M123">
        <v>70</v>
      </c>
      <c r="N123">
        <v>16.24</v>
      </c>
      <c r="O123">
        <v>15.92</v>
      </c>
      <c r="P123">
        <v>14.95</v>
      </c>
      <c r="Q123">
        <v>15.43</v>
      </c>
      <c r="R123">
        <v>18.2</v>
      </c>
      <c r="S123">
        <v>18.53</v>
      </c>
      <c r="T123" s="2">
        <f t="shared" si="9"/>
        <v>3.1</v>
      </c>
      <c r="U123" s="3">
        <f t="shared" si="10"/>
        <v>0.200907323395982</v>
      </c>
      <c r="V123">
        <v>17.1</v>
      </c>
      <c r="W123">
        <v>17.07</v>
      </c>
      <c r="X123" s="2">
        <f t="shared" si="11"/>
        <v>1.64</v>
      </c>
      <c r="Y123" s="3">
        <f t="shared" si="12"/>
        <v>0.106286454957874</v>
      </c>
      <c r="Z123" s="2">
        <f t="shared" si="13"/>
        <v>-1.46</v>
      </c>
      <c r="AA123" s="3">
        <f t="shared" si="14"/>
        <v>-0.0787911494873179</v>
      </c>
      <c r="AB123">
        <v>16.11</v>
      </c>
      <c r="AC123">
        <v>16.54</v>
      </c>
      <c r="AD123">
        <v>12.64</v>
      </c>
      <c r="AE123">
        <v>12.68</v>
      </c>
      <c r="AF123">
        <v>12.58</v>
      </c>
      <c r="AG123">
        <v>12.49</v>
      </c>
      <c r="AH123">
        <v>11.65</v>
      </c>
      <c r="AI123">
        <v>11.67</v>
      </c>
      <c r="AJ123" s="2">
        <f t="shared" si="15"/>
        <v>-0.82</v>
      </c>
      <c r="AK123" s="3">
        <f t="shared" si="16"/>
        <v>-0.0656525220176141</v>
      </c>
      <c r="AL123">
        <v>11.67</v>
      </c>
      <c r="AM123">
        <v>11.57</v>
      </c>
      <c r="AN123" s="3">
        <f t="shared" si="17"/>
        <v>0.171938976975488</v>
      </c>
    </row>
    <row r="124" spans="1:40">
      <c r="A124">
        <v>118040</v>
      </c>
      <c r="B124" t="s">
        <v>288</v>
      </c>
      <c r="C124" s="4">
        <v>45132</v>
      </c>
      <c r="D124">
        <v>718711</v>
      </c>
      <c r="E124">
        <v>688711</v>
      </c>
      <c r="F124" t="s">
        <v>289</v>
      </c>
      <c r="G124">
        <v>0.00147191</v>
      </c>
      <c r="H124" s="4">
        <v>45152</v>
      </c>
      <c r="I124" t="s">
        <v>121</v>
      </c>
      <c r="J124" s="4">
        <v>45031</v>
      </c>
      <c r="K124" s="4">
        <v>45084</v>
      </c>
      <c r="L124">
        <v>101</v>
      </c>
      <c r="M124">
        <v>48</v>
      </c>
      <c r="N124">
        <v>58.29</v>
      </c>
      <c r="O124">
        <v>57.3</v>
      </c>
      <c r="P124">
        <v>42.03</v>
      </c>
      <c r="Q124">
        <v>43.16</v>
      </c>
      <c r="R124">
        <v>43.9</v>
      </c>
      <c r="S124">
        <v>43.41</v>
      </c>
      <c r="T124" s="2">
        <f t="shared" si="9"/>
        <v>0.25</v>
      </c>
      <c r="U124" s="3">
        <f t="shared" si="10"/>
        <v>0.00579240037071362</v>
      </c>
      <c r="V124">
        <v>42.81</v>
      </c>
      <c r="W124">
        <v>42.53</v>
      </c>
      <c r="X124" s="2">
        <f t="shared" si="11"/>
        <v>-0.629999999999995</v>
      </c>
      <c r="Y124" s="3">
        <f t="shared" si="12"/>
        <v>-0.0145968489341982</v>
      </c>
      <c r="Z124" s="2">
        <f t="shared" si="13"/>
        <v>-0.879999999999995</v>
      </c>
      <c r="AA124" s="3">
        <f t="shared" si="14"/>
        <v>-0.0202718267680257</v>
      </c>
      <c r="AB124">
        <v>38.34</v>
      </c>
      <c r="AC124">
        <v>37.81</v>
      </c>
      <c r="AD124">
        <v>12.66</v>
      </c>
      <c r="AE124">
        <v>12.93</v>
      </c>
      <c r="AF124">
        <v>11.89</v>
      </c>
      <c r="AG124">
        <v>11.94</v>
      </c>
      <c r="AH124">
        <v>11.45</v>
      </c>
      <c r="AI124">
        <v>11.72</v>
      </c>
      <c r="AJ124" s="2">
        <f t="shared" si="15"/>
        <v>-0.219999999999999</v>
      </c>
      <c r="AK124" s="3">
        <f t="shared" si="16"/>
        <v>-0.0184254606365158</v>
      </c>
      <c r="AL124">
        <v>11.76</v>
      </c>
      <c r="AM124">
        <v>11.67</v>
      </c>
      <c r="AN124" s="3">
        <f t="shared" si="17"/>
        <v>0.00382861170231759</v>
      </c>
    </row>
    <row r="125" spans="1:40">
      <c r="A125">
        <v>111016</v>
      </c>
      <c r="B125" t="s">
        <v>290</v>
      </c>
      <c r="C125" s="4">
        <v>45132</v>
      </c>
      <c r="D125">
        <v>713228</v>
      </c>
      <c r="E125">
        <v>605228</v>
      </c>
      <c r="F125" t="s">
        <v>291</v>
      </c>
      <c r="G125">
        <v>0.00043413</v>
      </c>
      <c r="H125" s="4">
        <v>45153</v>
      </c>
      <c r="I125" t="s">
        <v>55</v>
      </c>
      <c r="J125" s="4">
        <v>45071</v>
      </c>
      <c r="K125" s="4">
        <v>45113</v>
      </c>
      <c r="L125">
        <v>61</v>
      </c>
      <c r="M125">
        <v>19</v>
      </c>
      <c r="N125">
        <v>8.46</v>
      </c>
      <c r="O125">
        <v>8.53</v>
      </c>
      <c r="P125">
        <v>9.89</v>
      </c>
      <c r="Q125">
        <v>9.9</v>
      </c>
      <c r="R125">
        <v>11.19</v>
      </c>
      <c r="S125">
        <v>11.39</v>
      </c>
      <c r="T125" s="2">
        <f t="shared" si="9"/>
        <v>1.49</v>
      </c>
      <c r="U125" s="3">
        <f t="shared" si="10"/>
        <v>0.150505050505051</v>
      </c>
      <c r="V125">
        <v>10.85</v>
      </c>
      <c r="W125">
        <v>11.33</v>
      </c>
      <c r="X125" s="2">
        <f t="shared" si="11"/>
        <v>1.43</v>
      </c>
      <c r="Y125" s="3">
        <f t="shared" si="12"/>
        <v>0.144444444444444</v>
      </c>
      <c r="Z125" s="2">
        <f t="shared" si="13"/>
        <v>-0.0600000000000005</v>
      </c>
      <c r="AA125" s="3">
        <f t="shared" si="14"/>
        <v>-0.0052677787532924</v>
      </c>
      <c r="AB125">
        <v>9.89</v>
      </c>
      <c r="AC125">
        <v>9.53</v>
      </c>
      <c r="AD125">
        <v>11.99</v>
      </c>
      <c r="AE125">
        <v>11.93</v>
      </c>
      <c r="AF125">
        <v>11.3</v>
      </c>
      <c r="AG125">
        <v>11.24</v>
      </c>
      <c r="AH125">
        <v>11.45</v>
      </c>
      <c r="AI125">
        <v>11.72</v>
      </c>
      <c r="AJ125" s="2">
        <f t="shared" si="15"/>
        <v>0.48</v>
      </c>
      <c r="AK125" s="3">
        <f t="shared" si="16"/>
        <v>0.0427046263345196</v>
      </c>
      <c r="AL125">
        <v>11.69</v>
      </c>
      <c r="AM125">
        <v>11.73</v>
      </c>
      <c r="AN125" s="3">
        <f t="shared" si="17"/>
        <v>0.101739818109925</v>
      </c>
    </row>
    <row r="126" spans="1:40">
      <c r="A126">
        <v>123208</v>
      </c>
      <c r="B126" t="s">
        <v>292</v>
      </c>
      <c r="C126" s="4">
        <v>45131</v>
      </c>
      <c r="D126">
        <v>371078</v>
      </c>
      <c r="E126">
        <v>301078</v>
      </c>
      <c r="F126" t="s">
        <v>293</v>
      </c>
      <c r="G126">
        <v>0.0044397098</v>
      </c>
      <c r="H126" s="4">
        <v>45148</v>
      </c>
      <c r="I126" t="s">
        <v>40</v>
      </c>
      <c r="J126" s="4">
        <v>45036</v>
      </c>
      <c r="K126" s="4">
        <v>45086</v>
      </c>
      <c r="L126">
        <v>95</v>
      </c>
      <c r="M126">
        <v>45</v>
      </c>
      <c r="N126">
        <v>10.88</v>
      </c>
      <c r="O126">
        <v>10.72</v>
      </c>
      <c r="P126">
        <v>12.17</v>
      </c>
      <c r="Q126">
        <v>13.01</v>
      </c>
      <c r="R126">
        <v>10.94</v>
      </c>
      <c r="S126">
        <v>11.13</v>
      </c>
      <c r="T126" s="2">
        <f t="shared" si="9"/>
        <v>-1.88</v>
      </c>
      <c r="U126" s="3">
        <f t="shared" si="10"/>
        <v>-0.144504227517294</v>
      </c>
      <c r="V126">
        <v>10.88</v>
      </c>
      <c r="W126">
        <v>10.77</v>
      </c>
      <c r="X126" s="2">
        <f t="shared" si="11"/>
        <v>-2.24</v>
      </c>
      <c r="Y126" s="3">
        <f t="shared" si="12"/>
        <v>-0.17217524980784</v>
      </c>
      <c r="Z126" s="2">
        <f t="shared" si="13"/>
        <v>-0.360000000000001</v>
      </c>
      <c r="AA126" s="3">
        <f t="shared" si="14"/>
        <v>-0.0323450134770891</v>
      </c>
      <c r="AB126">
        <v>10.97</v>
      </c>
      <c r="AC126">
        <v>10.75</v>
      </c>
      <c r="AD126">
        <v>12.9</v>
      </c>
      <c r="AE126">
        <v>12.75</v>
      </c>
      <c r="AF126">
        <v>12.06</v>
      </c>
      <c r="AG126">
        <v>11.88</v>
      </c>
      <c r="AH126">
        <v>11.33</v>
      </c>
      <c r="AI126">
        <v>11.26</v>
      </c>
      <c r="AJ126" s="2">
        <f t="shared" si="15"/>
        <v>-0.620000000000001</v>
      </c>
      <c r="AK126" s="3">
        <f t="shared" si="16"/>
        <v>-0.0521885521885523</v>
      </c>
      <c r="AL126">
        <v>12.15</v>
      </c>
      <c r="AM126">
        <v>12.16</v>
      </c>
      <c r="AN126" s="3">
        <f t="shared" si="17"/>
        <v>-0.119986697619288</v>
      </c>
    </row>
    <row r="127" spans="1:40">
      <c r="A127">
        <v>127090</v>
      </c>
      <c r="B127" t="s">
        <v>294</v>
      </c>
      <c r="C127" s="4">
        <v>45131</v>
      </c>
      <c r="D127">
        <v>72937</v>
      </c>
      <c r="E127">
        <v>2937</v>
      </c>
      <c r="F127" t="s">
        <v>295</v>
      </c>
      <c r="G127">
        <v>0.0010381564</v>
      </c>
      <c r="H127" s="4">
        <v>45153</v>
      </c>
      <c r="I127" t="s">
        <v>55</v>
      </c>
      <c r="J127" s="4">
        <v>45065</v>
      </c>
      <c r="K127" s="4">
        <v>45112</v>
      </c>
      <c r="L127">
        <v>66</v>
      </c>
      <c r="M127">
        <v>19</v>
      </c>
      <c r="N127">
        <v>21.7</v>
      </c>
      <c r="O127">
        <v>21.96</v>
      </c>
      <c r="P127">
        <v>25.26</v>
      </c>
      <c r="Q127">
        <v>25.72</v>
      </c>
      <c r="R127">
        <v>25.39</v>
      </c>
      <c r="S127">
        <v>25.28</v>
      </c>
      <c r="T127" s="2">
        <f t="shared" si="9"/>
        <v>-0.439999999999998</v>
      </c>
      <c r="U127" s="3">
        <f t="shared" si="10"/>
        <v>-0.0171073094867806</v>
      </c>
      <c r="V127">
        <v>24.77</v>
      </c>
      <c r="W127">
        <v>25.23</v>
      </c>
      <c r="X127" s="2">
        <f t="shared" si="11"/>
        <v>-0.489999999999998</v>
      </c>
      <c r="Y127" s="3">
        <f t="shared" si="12"/>
        <v>-0.0190513219284603</v>
      </c>
      <c r="Z127" s="2">
        <f t="shared" si="13"/>
        <v>-0.0500000000000007</v>
      </c>
      <c r="AA127" s="3">
        <f t="shared" si="14"/>
        <v>-0.00197784810126585</v>
      </c>
      <c r="AB127">
        <v>23.58</v>
      </c>
      <c r="AC127">
        <v>23.46</v>
      </c>
      <c r="AD127">
        <v>12.43</v>
      </c>
      <c r="AE127">
        <v>12.34</v>
      </c>
      <c r="AF127">
        <v>11.36</v>
      </c>
      <c r="AG127">
        <v>11.34</v>
      </c>
      <c r="AH127">
        <v>11.33</v>
      </c>
      <c r="AI127">
        <v>11.26</v>
      </c>
      <c r="AJ127" s="2">
        <f t="shared" si="15"/>
        <v>-0.0800000000000001</v>
      </c>
      <c r="AK127" s="3">
        <f t="shared" si="16"/>
        <v>-0.00705467372134039</v>
      </c>
      <c r="AL127">
        <v>11.69</v>
      </c>
      <c r="AM127">
        <v>11.73</v>
      </c>
      <c r="AN127" s="3">
        <f t="shared" si="17"/>
        <v>-0.0119966482071199</v>
      </c>
    </row>
    <row r="128" spans="1:40">
      <c r="A128">
        <v>123207</v>
      </c>
      <c r="B128" t="s">
        <v>296</v>
      </c>
      <c r="C128" s="4">
        <v>45128</v>
      </c>
      <c r="D128">
        <v>370948</v>
      </c>
      <c r="E128">
        <v>300948</v>
      </c>
      <c r="F128" t="s">
        <v>297</v>
      </c>
      <c r="G128">
        <v>0.0013600673</v>
      </c>
      <c r="H128" s="4">
        <v>45147</v>
      </c>
      <c r="I128" t="s">
        <v>298</v>
      </c>
      <c r="J128" s="4">
        <v>45068</v>
      </c>
      <c r="K128" s="4">
        <v>45106</v>
      </c>
      <c r="L128">
        <v>60</v>
      </c>
      <c r="M128">
        <v>22</v>
      </c>
      <c r="N128">
        <v>14.27</v>
      </c>
      <c r="O128">
        <v>14.54</v>
      </c>
      <c r="P128">
        <v>13.85</v>
      </c>
      <c r="Q128">
        <v>14.63</v>
      </c>
      <c r="R128">
        <v>16.23</v>
      </c>
      <c r="S128">
        <v>16.32</v>
      </c>
      <c r="T128" s="2">
        <f t="shared" si="9"/>
        <v>1.69</v>
      </c>
      <c r="U128" s="3">
        <f t="shared" si="10"/>
        <v>0.115516062884484</v>
      </c>
      <c r="V128">
        <v>15.24</v>
      </c>
      <c r="W128">
        <v>15.15</v>
      </c>
      <c r="X128" s="2">
        <f t="shared" si="11"/>
        <v>0.52</v>
      </c>
      <c r="Y128" s="3">
        <f t="shared" si="12"/>
        <v>0.0355434039644566</v>
      </c>
      <c r="Z128" s="2">
        <f t="shared" si="13"/>
        <v>-1.17</v>
      </c>
      <c r="AA128" s="3">
        <f t="shared" si="14"/>
        <v>-0.0716911764705882</v>
      </c>
      <c r="AB128">
        <v>15.16</v>
      </c>
      <c r="AC128">
        <v>14.79</v>
      </c>
      <c r="AD128">
        <v>12.31</v>
      </c>
      <c r="AE128">
        <v>12.38</v>
      </c>
      <c r="AF128">
        <v>11.29</v>
      </c>
      <c r="AG128">
        <v>11.18</v>
      </c>
      <c r="AH128">
        <v>11.31</v>
      </c>
      <c r="AI128">
        <v>11.34</v>
      </c>
      <c r="AJ128" s="2">
        <f t="shared" si="15"/>
        <v>0.16</v>
      </c>
      <c r="AK128" s="3">
        <f t="shared" si="16"/>
        <v>0.0143112701252236</v>
      </c>
      <c r="AL128">
        <v>12.06</v>
      </c>
      <c r="AM128">
        <v>12.17</v>
      </c>
      <c r="AN128" s="3">
        <f t="shared" si="17"/>
        <v>0.0212321338392329</v>
      </c>
    </row>
    <row r="129" spans="1:40">
      <c r="A129">
        <v>113674</v>
      </c>
      <c r="B129" t="s">
        <v>299</v>
      </c>
      <c r="C129" s="4">
        <v>45128</v>
      </c>
      <c r="D129">
        <v>754018</v>
      </c>
      <c r="E129">
        <v>603018</v>
      </c>
      <c r="F129" t="s">
        <v>300</v>
      </c>
      <c r="G129">
        <v>0.00097532</v>
      </c>
      <c r="H129" s="4">
        <v>45153</v>
      </c>
      <c r="I129" t="s">
        <v>40</v>
      </c>
      <c r="J129" s="4">
        <v>45036</v>
      </c>
      <c r="K129" s="4">
        <v>45106</v>
      </c>
      <c r="L129">
        <v>92</v>
      </c>
      <c r="M129">
        <v>22</v>
      </c>
      <c r="N129">
        <v>8.35</v>
      </c>
      <c r="O129">
        <v>8.49</v>
      </c>
      <c r="P129">
        <v>8.21</v>
      </c>
      <c r="Q129">
        <v>8.3</v>
      </c>
      <c r="R129">
        <v>8.56</v>
      </c>
      <c r="S129">
        <v>8.41</v>
      </c>
      <c r="T129" s="2">
        <f t="shared" si="9"/>
        <v>0.109999999999999</v>
      </c>
      <c r="U129" s="3">
        <f t="shared" si="10"/>
        <v>0.0132530120481927</v>
      </c>
      <c r="V129">
        <v>8.17</v>
      </c>
      <c r="W129">
        <v>8.3</v>
      </c>
      <c r="X129" s="2">
        <f t="shared" si="11"/>
        <v>0</v>
      </c>
      <c r="Y129" s="3">
        <f t="shared" si="12"/>
        <v>0</v>
      </c>
      <c r="Z129" s="2">
        <f t="shared" si="13"/>
        <v>-0.109999999999999</v>
      </c>
      <c r="AA129" s="3">
        <f t="shared" si="14"/>
        <v>-0.0130796670630201</v>
      </c>
      <c r="AB129">
        <v>8.24</v>
      </c>
      <c r="AC129">
        <v>8.27</v>
      </c>
      <c r="AD129">
        <v>12.9</v>
      </c>
      <c r="AE129">
        <v>12.75</v>
      </c>
      <c r="AF129">
        <v>11.29</v>
      </c>
      <c r="AG129">
        <v>11.18</v>
      </c>
      <c r="AH129">
        <v>11.31</v>
      </c>
      <c r="AI129">
        <v>11.34</v>
      </c>
      <c r="AJ129" s="2">
        <f t="shared" si="15"/>
        <v>0.16</v>
      </c>
      <c r="AK129" s="3">
        <f t="shared" si="16"/>
        <v>0.0143112701252236</v>
      </c>
      <c r="AL129">
        <v>11.69</v>
      </c>
      <c r="AM129">
        <v>11.73</v>
      </c>
      <c r="AN129" s="3">
        <f t="shared" si="17"/>
        <v>-0.0143112701252236</v>
      </c>
    </row>
    <row r="130" spans="1:40">
      <c r="A130">
        <v>118039</v>
      </c>
      <c r="B130" t="s">
        <v>301</v>
      </c>
      <c r="C130" s="4">
        <v>45127</v>
      </c>
      <c r="D130">
        <v>718597</v>
      </c>
      <c r="E130">
        <v>688597</v>
      </c>
      <c r="F130" t="s">
        <v>302</v>
      </c>
      <c r="G130">
        <v>0.00166927</v>
      </c>
      <c r="H130" s="4">
        <v>45153</v>
      </c>
      <c r="I130" t="s">
        <v>121</v>
      </c>
      <c r="J130" s="4">
        <v>45076</v>
      </c>
      <c r="K130" s="4">
        <v>45108</v>
      </c>
      <c r="L130">
        <v>51</v>
      </c>
      <c r="M130">
        <v>19</v>
      </c>
      <c r="N130">
        <v>7.54</v>
      </c>
      <c r="O130">
        <v>7.63</v>
      </c>
      <c r="P130">
        <v>7.34</v>
      </c>
      <c r="Q130">
        <v>7.26</v>
      </c>
      <c r="R130">
        <v>7.54</v>
      </c>
      <c r="S130">
        <v>7.59</v>
      </c>
      <c r="T130" s="2">
        <f t="shared" ref="T130:T193" si="18">S130-Q130</f>
        <v>0.33</v>
      </c>
      <c r="U130" s="3">
        <f t="shared" ref="U130:U193" si="19">T130/Q130</f>
        <v>0.0454545454545455</v>
      </c>
      <c r="V130">
        <v>7.2</v>
      </c>
      <c r="W130">
        <v>6.91</v>
      </c>
      <c r="X130" s="2">
        <f t="shared" ref="X130:X193" si="20">W130-Q130</f>
        <v>-0.35</v>
      </c>
      <c r="Y130" s="3">
        <f t="shared" ref="Y130:Y193" si="21">X130/Q130</f>
        <v>-0.0482093663911845</v>
      </c>
      <c r="Z130" s="2">
        <f t="shared" ref="Z130:Z193" si="22">W130-S130</f>
        <v>-0.68</v>
      </c>
      <c r="AA130" s="3">
        <f t="shared" ref="AA130:AA193" si="23">Z130/S130</f>
        <v>-0.0895915678524374</v>
      </c>
      <c r="AB130">
        <v>6.33</v>
      </c>
      <c r="AC130">
        <v>6.26</v>
      </c>
      <c r="AD130">
        <v>11.98</v>
      </c>
      <c r="AE130">
        <v>11.87</v>
      </c>
      <c r="AF130">
        <v>11.24</v>
      </c>
      <c r="AG130">
        <v>11.49</v>
      </c>
      <c r="AH130">
        <v>11.33</v>
      </c>
      <c r="AI130">
        <v>11.32</v>
      </c>
      <c r="AJ130" s="2">
        <f t="shared" si="15"/>
        <v>-0.17</v>
      </c>
      <c r="AK130" s="3">
        <f t="shared" si="16"/>
        <v>-0.0147954743255004</v>
      </c>
      <c r="AL130">
        <v>11.69</v>
      </c>
      <c r="AM130">
        <v>11.73</v>
      </c>
      <c r="AN130" s="3">
        <f t="shared" si="17"/>
        <v>-0.0334138920656841</v>
      </c>
    </row>
    <row r="131" spans="1:40">
      <c r="A131">
        <v>123206</v>
      </c>
      <c r="B131" t="s">
        <v>303</v>
      </c>
      <c r="C131" s="4">
        <v>45127</v>
      </c>
      <c r="D131">
        <v>370272</v>
      </c>
      <c r="E131">
        <v>300272</v>
      </c>
      <c r="F131" t="s">
        <v>304</v>
      </c>
      <c r="G131">
        <v>0.0005681769</v>
      </c>
      <c r="H131" s="4">
        <v>45146</v>
      </c>
      <c r="I131" t="s">
        <v>50</v>
      </c>
      <c r="J131" s="4">
        <v>45044</v>
      </c>
      <c r="K131" s="4">
        <v>45110</v>
      </c>
      <c r="L131">
        <v>83</v>
      </c>
      <c r="M131">
        <v>17</v>
      </c>
      <c r="N131">
        <v>4.87</v>
      </c>
      <c r="O131">
        <v>4.97</v>
      </c>
      <c r="P131">
        <v>5</v>
      </c>
      <c r="Q131">
        <v>5.02</v>
      </c>
      <c r="R131">
        <v>5.49</v>
      </c>
      <c r="S131">
        <v>5.61</v>
      </c>
      <c r="T131" s="2">
        <f t="shared" si="18"/>
        <v>0.590000000000001</v>
      </c>
      <c r="U131" s="3">
        <f t="shared" si="19"/>
        <v>0.117529880478088</v>
      </c>
      <c r="V131">
        <v>5.27</v>
      </c>
      <c r="W131">
        <v>5.3</v>
      </c>
      <c r="X131" s="2">
        <f t="shared" si="20"/>
        <v>0.28</v>
      </c>
      <c r="Y131" s="3">
        <f t="shared" si="21"/>
        <v>0.0557768924302789</v>
      </c>
      <c r="Z131" s="2">
        <f t="shared" si="22"/>
        <v>-0.31</v>
      </c>
      <c r="AA131" s="3">
        <f t="shared" si="23"/>
        <v>-0.055258467023173</v>
      </c>
      <c r="AB131">
        <v>5.31</v>
      </c>
      <c r="AC131">
        <v>5.38</v>
      </c>
      <c r="AD131">
        <v>12.26</v>
      </c>
      <c r="AE131">
        <v>12.55</v>
      </c>
      <c r="AF131">
        <v>11.24</v>
      </c>
      <c r="AG131">
        <v>11.49</v>
      </c>
      <c r="AH131">
        <v>11.33</v>
      </c>
      <c r="AI131">
        <v>11.32</v>
      </c>
      <c r="AJ131" s="2">
        <f t="shared" ref="AJ131:AJ194" si="24">AI131-AG131</f>
        <v>-0.17</v>
      </c>
      <c r="AK131" s="3">
        <f t="shared" ref="AK131:AK194" si="25">AJ131/AG131</f>
        <v>-0.0147954743255004</v>
      </c>
      <c r="AL131">
        <v>12.12</v>
      </c>
      <c r="AM131">
        <v>12.1</v>
      </c>
      <c r="AN131" s="3">
        <f t="shared" ref="AN131:AN194" si="26">Y131-AK131</f>
        <v>0.0705723667557794</v>
      </c>
    </row>
    <row r="132" spans="1:40">
      <c r="A132">
        <v>110094</v>
      </c>
      <c r="B132" t="s">
        <v>305</v>
      </c>
      <c r="C132" s="4">
        <v>45125</v>
      </c>
      <c r="D132">
        <v>733888</v>
      </c>
      <c r="E132">
        <v>600888</v>
      </c>
      <c r="F132" t="s">
        <v>306</v>
      </c>
      <c r="G132">
        <v>0.00389776</v>
      </c>
      <c r="H132" s="4">
        <v>45152</v>
      </c>
      <c r="I132" t="s">
        <v>40</v>
      </c>
      <c r="J132" s="4">
        <v>45064</v>
      </c>
      <c r="K132" s="4">
        <v>45113</v>
      </c>
      <c r="L132">
        <v>61</v>
      </c>
      <c r="M132">
        <v>12</v>
      </c>
      <c r="N132">
        <v>7.96</v>
      </c>
      <c r="O132">
        <v>7.83</v>
      </c>
      <c r="P132">
        <v>7.72</v>
      </c>
      <c r="Q132">
        <v>7.7</v>
      </c>
      <c r="R132">
        <v>7.82</v>
      </c>
      <c r="S132">
        <v>7.77</v>
      </c>
      <c r="T132" s="2">
        <f t="shared" si="18"/>
        <v>0.0699999999999994</v>
      </c>
      <c r="U132" s="3">
        <f t="shared" si="19"/>
        <v>0.00909090909090901</v>
      </c>
      <c r="V132">
        <v>7.61</v>
      </c>
      <c r="W132">
        <v>7.71</v>
      </c>
      <c r="X132" s="2">
        <f t="shared" si="20"/>
        <v>0.00999999999999979</v>
      </c>
      <c r="Y132" s="3">
        <f t="shared" si="21"/>
        <v>0.00129870129870127</v>
      </c>
      <c r="Z132" s="2">
        <f t="shared" si="22"/>
        <v>-0.0599999999999996</v>
      </c>
      <c r="AA132" s="3">
        <f t="shared" si="23"/>
        <v>-0.00772200772200767</v>
      </c>
      <c r="AB132">
        <v>7.67</v>
      </c>
      <c r="AC132">
        <v>7.79</v>
      </c>
      <c r="AD132">
        <v>12.57</v>
      </c>
      <c r="AE132">
        <v>12.49</v>
      </c>
      <c r="AF132">
        <v>11.3</v>
      </c>
      <c r="AG132">
        <v>11.24</v>
      </c>
      <c r="AH132">
        <v>11.29</v>
      </c>
      <c r="AI132">
        <v>11.25</v>
      </c>
      <c r="AJ132" s="2">
        <f t="shared" si="24"/>
        <v>0.00999999999999979</v>
      </c>
      <c r="AK132" s="3">
        <f t="shared" si="25"/>
        <v>0.000889679715302472</v>
      </c>
      <c r="AL132">
        <v>11.76</v>
      </c>
      <c r="AM132">
        <v>11.67</v>
      </c>
      <c r="AN132" s="3">
        <f t="shared" si="26"/>
        <v>0.000409021583398799</v>
      </c>
    </row>
    <row r="133" spans="1:40">
      <c r="A133">
        <v>127089</v>
      </c>
      <c r="B133" t="s">
        <v>307</v>
      </c>
      <c r="C133" s="4">
        <v>45125</v>
      </c>
      <c r="D133">
        <v>72459</v>
      </c>
      <c r="E133">
        <v>2459</v>
      </c>
      <c r="F133" t="s">
        <v>308</v>
      </c>
      <c r="G133">
        <v>0.0241433531</v>
      </c>
      <c r="H133" s="4">
        <v>45142</v>
      </c>
      <c r="I133" t="s">
        <v>58</v>
      </c>
      <c r="J133" s="4">
        <v>45044</v>
      </c>
      <c r="K133" s="4">
        <v>45078</v>
      </c>
      <c r="L133">
        <v>81</v>
      </c>
      <c r="M133">
        <v>47</v>
      </c>
      <c r="N133">
        <v>40.07</v>
      </c>
      <c r="O133">
        <v>39.83</v>
      </c>
      <c r="P133">
        <v>35.53</v>
      </c>
      <c r="Q133">
        <v>34.64</v>
      </c>
      <c r="R133">
        <v>33.98</v>
      </c>
      <c r="S133">
        <v>33.36</v>
      </c>
      <c r="T133" s="2">
        <f t="shared" si="18"/>
        <v>-1.28</v>
      </c>
      <c r="U133" s="3">
        <f t="shared" si="19"/>
        <v>-0.0369515011547344</v>
      </c>
      <c r="V133">
        <v>33.35</v>
      </c>
      <c r="W133">
        <v>32.65</v>
      </c>
      <c r="X133" s="2">
        <f t="shared" si="20"/>
        <v>-1.99</v>
      </c>
      <c r="Y133" s="3">
        <f t="shared" si="21"/>
        <v>-0.0574480369515012</v>
      </c>
      <c r="Z133" s="2">
        <f t="shared" si="22"/>
        <v>-0.710000000000001</v>
      </c>
      <c r="AA133" s="3">
        <f t="shared" si="23"/>
        <v>-0.0212829736211031</v>
      </c>
      <c r="AB133">
        <v>31.15</v>
      </c>
      <c r="AC133">
        <v>31.07</v>
      </c>
      <c r="AD133">
        <v>12.26</v>
      </c>
      <c r="AE133">
        <v>12.55</v>
      </c>
      <c r="AF133">
        <v>11.6</v>
      </c>
      <c r="AG133">
        <v>11.59</v>
      </c>
      <c r="AH133">
        <v>11.29</v>
      </c>
      <c r="AI133">
        <v>11.25</v>
      </c>
      <c r="AJ133" s="2">
        <f t="shared" si="24"/>
        <v>-0.34</v>
      </c>
      <c r="AK133" s="3">
        <f t="shared" si="25"/>
        <v>-0.0293356341673857</v>
      </c>
      <c r="AL133">
        <v>12.42</v>
      </c>
      <c r="AM133">
        <v>12.3</v>
      </c>
      <c r="AN133" s="3">
        <f t="shared" si="26"/>
        <v>-0.0281124027841155</v>
      </c>
    </row>
    <row r="134" spans="1:40">
      <c r="A134">
        <v>113672</v>
      </c>
      <c r="B134" t="s">
        <v>309</v>
      </c>
      <c r="C134" s="4">
        <v>45125</v>
      </c>
      <c r="D134">
        <v>754327</v>
      </c>
      <c r="E134">
        <v>603327</v>
      </c>
      <c r="F134" t="s">
        <v>310</v>
      </c>
      <c r="G134">
        <v>0.00073622</v>
      </c>
      <c r="H134" s="4">
        <v>45148</v>
      </c>
      <c r="I134" t="s">
        <v>40</v>
      </c>
      <c r="J134" s="4">
        <v>45065</v>
      </c>
      <c r="K134" s="4">
        <v>45107</v>
      </c>
      <c r="L134">
        <v>60</v>
      </c>
      <c r="M134">
        <v>18</v>
      </c>
      <c r="N134">
        <v>7.42</v>
      </c>
      <c r="O134">
        <v>7.5</v>
      </c>
      <c r="P134">
        <v>7.75</v>
      </c>
      <c r="Q134">
        <v>7.92</v>
      </c>
      <c r="R134">
        <v>8.42</v>
      </c>
      <c r="S134">
        <v>8.28</v>
      </c>
      <c r="T134" s="2">
        <f t="shared" si="18"/>
        <v>0.359999999999999</v>
      </c>
      <c r="U134" s="3">
        <f t="shared" si="19"/>
        <v>0.0454545454545454</v>
      </c>
      <c r="V134">
        <v>8.05</v>
      </c>
      <c r="W134">
        <v>8.17</v>
      </c>
      <c r="X134" s="2">
        <f t="shared" si="20"/>
        <v>0.25</v>
      </c>
      <c r="Y134" s="3">
        <f t="shared" si="21"/>
        <v>0.0315656565656566</v>
      </c>
      <c r="Z134" s="2">
        <f t="shared" si="22"/>
        <v>-0.109999999999999</v>
      </c>
      <c r="AA134" s="3">
        <f t="shared" si="23"/>
        <v>-0.0132850241545893</v>
      </c>
      <c r="AB134">
        <v>8.4</v>
      </c>
      <c r="AC134">
        <v>8.43</v>
      </c>
      <c r="AD134">
        <v>12.43</v>
      </c>
      <c r="AE134">
        <v>12.34</v>
      </c>
      <c r="AF134">
        <v>11.18</v>
      </c>
      <c r="AG134">
        <v>11.23</v>
      </c>
      <c r="AH134">
        <v>11.29</v>
      </c>
      <c r="AI134">
        <v>11.25</v>
      </c>
      <c r="AJ134" s="2">
        <f t="shared" si="24"/>
        <v>0.0199999999999996</v>
      </c>
      <c r="AK134" s="3">
        <f t="shared" si="25"/>
        <v>0.0017809439002671</v>
      </c>
      <c r="AL134">
        <v>12.15</v>
      </c>
      <c r="AM134">
        <v>12.16</v>
      </c>
      <c r="AN134" s="3">
        <f t="shared" si="26"/>
        <v>0.0297847126653895</v>
      </c>
    </row>
    <row r="135" spans="1:40">
      <c r="A135">
        <v>113673</v>
      </c>
      <c r="B135" t="s">
        <v>311</v>
      </c>
      <c r="C135" s="4">
        <v>45125</v>
      </c>
      <c r="D135">
        <v>754730</v>
      </c>
      <c r="E135">
        <v>603730</v>
      </c>
      <c r="F135" t="s">
        <v>312</v>
      </c>
      <c r="G135">
        <v>0.00061925</v>
      </c>
      <c r="H135" s="4">
        <v>45148</v>
      </c>
      <c r="I135" t="s">
        <v>40</v>
      </c>
      <c r="J135" s="4">
        <v>45044</v>
      </c>
      <c r="K135" s="4">
        <v>45099</v>
      </c>
      <c r="L135">
        <v>81</v>
      </c>
      <c r="M135">
        <v>26</v>
      </c>
      <c r="N135">
        <v>6.83</v>
      </c>
      <c r="O135">
        <v>6.68</v>
      </c>
      <c r="P135">
        <v>8.84</v>
      </c>
      <c r="Q135">
        <v>9.21</v>
      </c>
      <c r="R135">
        <v>8.91</v>
      </c>
      <c r="S135">
        <v>9.06</v>
      </c>
      <c r="T135" s="2">
        <f t="shared" si="18"/>
        <v>-0.15</v>
      </c>
      <c r="U135" s="3">
        <f t="shared" si="19"/>
        <v>-0.0162866449511401</v>
      </c>
      <c r="V135">
        <v>8.82</v>
      </c>
      <c r="W135">
        <v>9.86</v>
      </c>
      <c r="X135" s="2">
        <f t="shared" si="20"/>
        <v>0.649999999999999</v>
      </c>
      <c r="Y135" s="3">
        <f t="shared" si="21"/>
        <v>0.0705754614549401</v>
      </c>
      <c r="Z135" s="2">
        <f t="shared" si="22"/>
        <v>0.799999999999999</v>
      </c>
      <c r="AA135" s="3">
        <f t="shared" si="23"/>
        <v>0.0883002207505518</v>
      </c>
      <c r="AB135">
        <v>10.48</v>
      </c>
      <c r="AC135">
        <v>10.5</v>
      </c>
      <c r="AD135">
        <v>12.26</v>
      </c>
      <c r="AE135">
        <v>12.55</v>
      </c>
      <c r="AF135">
        <v>11.3</v>
      </c>
      <c r="AG135">
        <v>11.18</v>
      </c>
      <c r="AH135">
        <v>11.29</v>
      </c>
      <c r="AI135">
        <v>11.25</v>
      </c>
      <c r="AJ135" s="2">
        <f t="shared" si="24"/>
        <v>0.0700000000000003</v>
      </c>
      <c r="AK135" s="3">
        <f t="shared" si="25"/>
        <v>0.00626118067978536</v>
      </c>
      <c r="AL135">
        <v>12.15</v>
      </c>
      <c r="AM135">
        <v>12.16</v>
      </c>
      <c r="AN135" s="3">
        <f t="shared" si="26"/>
        <v>0.0643142807751548</v>
      </c>
    </row>
    <row r="136" spans="1:40">
      <c r="A136">
        <v>118038</v>
      </c>
      <c r="B136" t="s">
        <v>313</v>
      </c>
      <c r="C136" s="4">
        <v>45124</v>
      </c>
      <c r="D136">
        <v>718106</v>
      </c>
      <c r="E136">
        <v>688106</v>
      </c>
      <c r="F136" t="s">
        <v>314</v>
      </c>
      <c r="G136">
        <v>0.00221597</v>
      </c>
      <c r="H136" s="4">
        <v>45148</v>
      </c>
      <c r="I136" t="s">
        <v>55</v>
      </c>
      <c r="J136" s="4">
        <v>45027</v>
      </c>
      <c r="K136" s="4">
        <v>45105</v>
      </c>
      <c r="L136">
        <v>97</v>
      </c>
      <c r="M136">
        <v>19</v>
      </c>
      <c r="N136">
        <v>22.79</v>
      </c>
      <c r="O136">
        <v>22.96</v>
      </c>
      <c r="P136">
        <v>25.31</v>
      </c>
      <c r="Q136">
        <v>25.31</v>
      </c>
      <c r="R136">
        <v>25.82</v>
      </c>
      <c r="S136">
        <v>24.63</v>
      </c>
      <c r="T136" s="2">
        <f t="shared" si="18"/>
        <v>-0.68</v>
      </c>
      <c r="U136" s="3">
        <f t="shared" si="19"/>
        <v>-0.026866851047017</v>
      </c>
      <c r="V136">
        <v>24.21</v>
      </c>
      <c r="W136">
        <v>24.66</v>
      </c>
      <c r="X136" s="2">
        <f t="shared" si="20"/>
        <v>-0.649999999999999</v>
      </c>
      <c r="Y136" s="3">
        <f t="shared" si="21"/>
        <v>-0.0256815487949427</v>
      </c>
      <c r="Z136" s="2">
        <f t="shared" si="22"/>
        <v>0.0300000000000011</v>
      </c>
      <c r="AA136" s="3">
        <f t="shared" si="23"/>
        <v>0.00121802679658957</v>
      </c>
      <c r="AB136">
        <v>24.81</v>
      </c>
      <c r="AC136">
        <v>24.42</v>
      </c>
      <c r="AD136">
        <v>12.7</v>
      </c>
      <c r="AE136">
        <v>12.54</v>
      </c>
      <c r="AF136">
        <v>11.28</v>
      </c>
      <c r="AG136">
        <v>11.3</v>
      </c>
      <c r="AH136">
        <v>11.41</v>
      </c>
      <c r="AI136">
        <v>11.31</v>
      </c>
      <c r="AJ136" s="2">
        <f t="shared" si="24"/>
        <v>0.00999999999999979</v>
      </c>
      <c r="AK136" s="3">
        <f t="shared" si="25"/>
        <v>0.00088495575221237</v>
      </c>
      <c r="AL136">
        <v>12.15</v>
      </c>
      <c r="AM136">
        <v>12.16</v>
      </c>
      <c r="AN136" s="3">
        <f t="shared" si="26"/>
        <v>-0.026566504547155</v>
      </c>
    </row>
    <row r="137" spans="1:40">
      <c r="A137">
        <v>123205</v>
      </c>
      <c r="B137" t="s">
        <v>315</v>
      </c>
      <c r="C137" s="4">
        <v>45124</v>
      </c>
      <c r="D137">
        <v>370879</v>
      </c>
      <c r="E137">
        <v>300879</v>
      </c>
      <c r="F137" t="s">
        <v>316</v>
      </c>
      <c r="G137">
        <v>0.0007488107</v>
      </c>
      <c r="H137" s="4">
        <v>45146</v>
      </c>
      <c r="I137" t="s">
        <v>50</v>
      </c>
      <c r="J137" s="4">
        <v>44876</v>
      </c>
      <c r="K137" s="4">
        <v>44944</v>
      </c>
      <c r="L137">
        <v>248</v>
      </c>
      <c r="M137">
        <v>180</v>
      </c>
      <c r="N137">
        <v>18.33</v>
      </c>
      <c r="O137">
        <v>18.11</v>
      </c>
      <c r="P137">
        <v>16.42</v>
      </c>
      <c r="Q137">
        <v>16.58</v>
      </c>
      <c r="R137">
        <v>19.68</v>
      </c>
      <c r="S137">
        <v>19.36</v>
      </c>
      <c r="T137" s="2">
        <f t="shared" si="18"/>
        <v>2.78</v>
      </c>
      <c r="U137" s="3">
        <f t="shared" si="19"/>
        <v>0.16767189384801</v>
      </c>
      <c r="V137">
        <v>18.55</v>
      </c>
      <c r="W137">
        <v>18.01</v>
      </c>
      <c r="X137" s="2">
        <f t="shared" si="20"/>
        <v>1.43</v>
      </c>
      <c r="Y137" s="3">
        <f t="shared" si="21"/>
        <v>0.0862484921592282</v>
      </c>
      <c r="Z137" s="2">
        <f t="shared" si="22"/>
        <v>-1.35</v>
      </c>
      <c r="AA137" s="3">
        <f t="shared" si="23"/>
        <v>-0.0697314049586776</v>
      </c>
      <c r="AB137">
        <v>17.45</v>
      </c>
      <c r="AC137">
        <v>17.34</v>
      </c>
      <c r="AD137">
        <v>11.13</v>
      </c>
      <c r="AE137">
        <v>11.43</v>
      </c>
      <c r="AF137">
        <v>14.95</v>
      </c>
      <c r="AG137">
        <v>15.11</v>
      </c>
      <c r="AH137">
        <v>11.41</v>
      </c>
      <c r="AI137">
        <v>11.31</v>
      </c>
      <c r="AJ137" s="2">
        <f t="shared" si="24"/>
        <v>-3.8</v>
      </c>
      <c r="AK137" s="3">
        <f t="shared" si="25"/>
        <v>-0.251489080079418</v>
      </c>
      <c r="AL137">
        <v>12.12</v>
      </c>
      <c r="AM137">
        <v>12.1</v>
      </c>
      <c r="AN137" s="3">
        <f t="shared" si="26"/>
        <v>0.337737572238646</v>
      </c>
    </row>
    <row r="138" spans="1:40">
      <c r="A138">
        <v>123204</v>
      </c>
      <c r="B138" t="s">
        <v>317</v>
      </c>
      <c r="C138" s="4">
        <v>45120</v>
      </c>
      <c r="D138">
        <v>370829</v>
      </c>
      <c r="E138">
        <v>300829</v>
      </c>
      <c r="F138" t="s">
        <v>318</v>
      </c>
      <c r="G138">
        <v>0.0015047031</v>
      </c>
      <c r="H138" s="4">
        <v>45140</v>
      </c>
      <c r="I138" t="s">
        <v>55</v>
      </c>
      <c r="J138" s="4">
        <v>45009</v>
      </c>
      <c r="K138" s="4">
        <v>45044</v>
      </c>
      <c r="L138">
        <v>111</v>
      </c>
      <c r="M138">
        <v>76</v>
      </c>
      <c r="N138">
        <v>22.66</v>
      </c>
      <c r="O138">
        <v>23.34</v>
      </c>
      <c r="P138">
        <v>21.32</v>
      </c>
      <c r="Q138">
        <v>21.4</v>
      </c>
      <c r="R138">
        <v>21.5</v>
      </c>
      <c r="S138">
        <v>21.95</v>
      </c>
      <c r="T138" s="2">
        <f t="shared" si="18"/>
        <v>0.550000000000001</v>
      </c>
      <c r="U138" s="3">
        <f t="shared" si="19"/>
        <v>0.0257009345794393</v>
      </c>
      <c r="V138">
        <v>20.97</v>
      </c>
      <c r="W138">
        <v>21.34</v>
      </c>
      <c r="X138" s="2">
        <f t="shared" si="20"/>
        <v>-0.0599999999999987</v>
      </c>
      <c r="Y138" s="3">
        <f t="shared" si="21"/>
        <v>-0.00280373831775695</v>
      </c>
      <c r="Z138" s="2">
        <f t="shared" si="22"/>
        <v>-0.609999999999999</v>
      </c>
      <c r="AA138" s="3">
        <f t="shared" si="23"/>
        <v>-0.0277904328018223</v>
      </c>
      <c r="AB138">
        <v>20.87</v>
      </c>
      <c r="AC138">
        <v>20.93</v>
      </c>
      <c r="AD138">
        <v>12.85</v>
      </c>
      <c r="AE138">
        <v>12.82</v>
      </c>
      <c r="AF138">
        <v>12.26</v>
      </c>
      <c r="AG138">
        <v>12.55</v>
      </c>
      <c r="AH138">
        <v>11.32</v>
      </c>
      <c r="AI138">
        <v>11.43</v>
      </c>
      <c r="AJ138" s="2">
        <f t="shared" si="24"/>
        <v>-1.12</v>
      </c>
      <c r="AK138" s="3">
        <f t="shared" si="25"/>
        <v>-0.0892430278884463</v>
      </c>
      <c r="AL138">
        <v>12.06</v>
      </c>
      <c r="AM138">
        <v>12.03</v>
      </c>
      <c r="AN138" s="3">
        <f t="shared" si="26"/>
        <v>0.0864392895706893</v>
      </c>
    </row>
    <row r="139" spans="1:40">
      <c r="A139">
        <v>113671</v>
      </c>
      <c r="B139" t="s">
        <v>319</v>
      </c>
      <c r="C139" s="4">
        <v>45117</v>
      </c>
      <c r="D139">
        <v>754878</v>
      </c>
      <c r="E139">
        <v>603878</v>
      </c>
      <c r="F139" t="s">
        <v>320</v>
      </c>
      <c r="G139">
        <v>0.00072475</v>
      </c>
      <c r="H139" s="4">
        <v>45141</v>
      </c>
      <c r="I139" t="s">
        <v>40</v>
      </c>
      <c r="J139" s="4">
        <v>45070</v>
      </c>
      <c r="K139" s="4">
        <v>45106</v>
      </c>
      <c r="L139">
        <v>47</v>
      </c>
      <c r="M139">
        <v>11</v>
      </c>
      <c r="N139">
        <v>7.75</v>
      </c>
      <c r="O139">
        <v>7.74</v>
      </c>
      <c r="P139">
        <v>7.54</v>
      </c>
      <c r="Q139">
        <v>7.68</v>
      </c>
      <c r="R139">
        <v>7.93</v>
      </c>
      <c r="S139">
        <v>7.93</v>
      </c>
      <c r="T139" s="2">
        <f t="shared" si="18"/>
        <v>0.25</v>
      </c>
      <c r="U139" s="3">
        <f t="shared" si="19"/>
        <v>0.0325520833333333</v>
      </c>
      <c r="V139">
        <v>7.63</v>
      </c>
      <c r="W139">
        <v>7.66</v>
      </c>
      <c r="X139" s="2">
        <f t="shared" si="20"/>
        <v>-0.0199999999999996</v>
      </c>
      <c r="Y139" s="3">
        <f t="shared" si="21"/>
        <v>-0.00260416666666661</v>
      </c>
      <c r="Z139" s="2">
        <f t="shared" si="22"/>
        <v>-0.27</v>
      </c>
      <c r="AA139" s="3">
        <f t="shared" si="23"/>
        <v>-0.0340479192938209</v>
      </c>
      <c r="AB139">
        <v>7.89</v>
      </c>
      <c r="AC139">
        <v>7.81</v>
      </c>
      <c r="AD139">
        <v>12.2</v>
      </c>
      <c r="AE139">
        <v>12.01</v>
      </c>
      <c r="AF139">
        <v>11.29</v>
      </c>
      <c r="AG139">
        <v>11.18</v>
      </c>
      <c r="AH139">
        <v>11.25</v>
      </c>
      <c r="AI139">
        <v>11.2</v>
      </c>
      <c r="AJ139" s="2">
        <f t="shared" si="24"/>
        <v>0.0199999999999996</v>
      </c>
      <c r="AK139" s="3">
        <f t="shared" si="25"/>
        <v>0.00178890876565291</v>
      </c>
      <c r="AL139">
        <v>11.99</v>
      </c>
      <c r="AM139">
        <v>12.33</v>
      </c>
      <c r="AN139" s="3">
        <f t="shared" si="26"/>
        <v>-0.00439307543231953</v>
      </c>
    </row>
    <row r="140" spans="1:40">
      <c r="A140">
        <v>111015</v>
      </c>
      <c r="B140" t="s">
        <v>321</v>
      </c>
      <c r="C140" s="4">
        <v>45113</v>
      </c>
      <c r="D140">
        <v>713177</v>
      </c>
      <c r="E140">
        <v>605177</v>
      </c>
      <c r="F140" t="s">
        <v>322</v>
      </c>
      <c r="G140">
        <v>0.00141941</v>
      </c>
      <c r="H140" s="4">
        <v>45140</v>
      </c>
      <c r="I140" t="s">
        <v>50</v>
      </c>
      <c r="J140" s="4">
        <v>45044</v>
      </c>
      <c r="K140" s="4">
        <v>45080</v>
      </c>
      <c r="L140">
        <v>69</v>
      </c>
      <c r="M140">
        <v>33</v>
      </c>
      <c r="N140">
        <v>23.74</v>
      </c>
      <c r="O140">
        <v>24.26</v>
      </c>
      <c r="P140">
        <v>24.18</v>
      </c>
      <c r="Q140">
        <v>23.95</v>
      </c>
      <c r="R140">
        <v>25.93</v>
      </c>
      <c r="S140">
        <v>26.09</v>
      </c>
      <c r="T140" s="2">
        <f t="shared" si="18"/>
        <v>2.14</v>
      </c>
      <c r="U140" s="3">
        <f t="shared" si="19"/>
        <v>0.0893528183716075</v>
      </c>
      <c r="V140">
        <v>24.55</v>
      </c>
      <c r="W140">
        <v>25.2</v>
      </c>
      <c r="X140" s="2">
        <f t="shared" si="20"/>
        <v>1.25</v>
      </c>
      <c r="Y140" s="3">
        <f t="shared" si="21"/>
        <v>0.0521920668058455</v>
      </c>
      <c r="Z140" s="2">
        <f t="shared" si="22"/>
        <v>-0.890000000000001</v>
      </c>
      <c r="AA140" s="3">
        <f t="shared" si="23"/>
        <v>-0.0341126868532005</v>
      </c>
      <c r="AB140">
        <v>29.16</v>
      </c>
      <c r="AC140">
        <v>28.32</v>
      </c>
      <c r="AD140">
        <v>12.26</v>
      </c>
      <c r="AE140">
        <v>12.55</v>
      </c>
      <c r="AF140">
        <v>11.88</v>
      </c>
      <c r="AG140">
        <v>11.91</v>
      </c>
      <c r="AH140">
        <v>11.3</v>
      </c>
      <c r="AI140">
        <v>11.24</v>
      </c>
      <c r="AJ140" s="2">
        <f t="shared" si="24"/>
        <v>-0.67</v>
      </c>
      <c r="AK140" s="3">
        <f t="shared" si="25"/>
        <v>-0.0562552476910159</v>
      </c>
      <c r="AL140">
        <v>12.06</v>
      </c>
      <c r="AM140">
        <v>12.03</v>
      </c>
      <c r="AN140" s="3">
        <f t="shared" si="26"/>
        <v>0.108447314496861</v>
      </c>
    </row>
    <row r="141" spans="1:40">
      <c r="A141">
        <v>118037</v>
      </c>
      <c r="B141" t="s">
        <v>323</v>
      </c>
      <c r="C141" s="4">
        <v>45113</v>
      </c>
      <c r="D141">
        <v>718533</v>
      </c>
      <c r="E141">
        <v>688533</v>
      </c>
      <c r="F141" t="s">
        <v>324</v>
      </c>
      <c r="G141">
        <v>0.00074907</v>
      </c>
      <c r="H141" s="4">
        <v>45139</v>
      </c>
      <c r="I141" t="s">
        <v>50</v>
      </c>
      <c r="J141" s="4">
        <v>45034</v>
      </c>
      <c r="K141" s="4">
        <v>45072</v>
      </c>
      <c r="L141">
        <v>79</v>
      </c>
      <c r="M141">
        <v>41</v>
      </c>
      <c r="N141">
        <v>40.56</v>
      </c>
      <c r="O141">
        <v>40.57</v>
      </c>
      <c r="P141">
        <v>43.87</v>
      </c>
      <c r="Q141">
        <v>45.13</v>
      </c>
      <c r="R141">
        <v>50.43</v>
      </c>
      <c r="S141">
        <v>49.22</v>
      </c>
      <c r="T141" s="2">
        <f t="shared" si="18"/>
        <v>4.09</v>
      </c>
      <c r="U141" s="3">
        <f t="shared" si="19"/>
        <v>0.0906270773321515</v>
      </c>
      <c r="V141">
        <v>47.92</v>
      </c>
      <c r="W141">
        <v>48.82</v>
      </c>
      <c r="X141" s="2">
        <f t="shared" si="20"/>
        <v>3.69</v>
      </c>
      <c r="Y141" s="3">
        <f t="shared" si="21"/>
        <v>0.0817637934854863</v>
      </c>
      <c r="Z141" s="2">
        <f t="shared" si="22"/>
        <v>-0.399999999999999</v>
      </c>
      <c r="AA141" s="3">
        <f t="shared" si="23"/>
        <v>-0.00812677773262898</v>
      </c>
      <c r="AB141">
        <v>46.24</v>
      </c>
      <c r="AC141">
        <v>45.73</v>
      </c>
      <c r="AD141">
        <v>12.93</v>
      </c>
      <c r="AE141">
        <v>13</v>
      </c>
      <c r="AF141">
        <v>11.93</v>
      </c>
      <c r="AG141">
        <v>12.1</v>
      </c>
      <c r="AH141">
        <v>11.3</v>
      </c>
      <c r="AI141">
        <v>11.24</v>
      </c>
      <c r="AJ141" s="2">
        <f t="shared" si="24"/>
        <v>-0.859999999999999</v>
      </c>
      <c r="AK141" s="3">
        <f t="shared" si="25"/>
        <v>-0.0710743801652892</v>
      </c>
      <c r="AL141">
        <v>12.26</v>
      </c>
      <c r="AM141">
        <v>12.16</v>
      </c>
      <c r="AN141" s="3">
        <f t="shared" si="26"/>
        <v>0.152838173650776</v>
      </c>
    </row>
    <row r="142" spans="1:40">
      <c r="A142">
        <v>127088</v>
      </c>
      <c r="B142" t="s">
        <v>325</v>
      </c>
      <c r="C142" s="4">
        <v>45110</v>
      </c>
      <c r="D142">
        <v>72810</v>
      </c>
      <c r="E142">
        <v>2810</v>
      </c>
      <c r="F142" t="s">
        <v>326</v>
      </c>
      <c r="G142">
        <v>0.0019329397</v>
      </c>
      <c r="H142" s="4">
        <v>45126</v>
      </c>
      <c r="I142" t="s">
        <v>55</v>
      </c>
      <c r="J142" s="4">
        <v>45040</v>
      </c>
      <c r="K142" s="4">
        <v>45086</v>
      </c>
      <c r="L142">
        <v>70</v>
      </c>
      <c r="M142">
        <v>24</v>
      </c>
      <c r="N142">
        <v>19.44</v>
      </c>
      <c r="O142">
        <v>19.23</v>
      </c>
      <c r="P142">
        <v>16.67</v>
      </c>
      <c r="Q142">
        <v>16.75</v>
      </c>
      <c r="R142">
        <v>17.26</v>
      </c>
      <c r="S142">
        <v>17.65</v>
      </c>
      <c r="T142" s="2">
        <f t="shared" si="18"/>
        <v>0.899999999999999</v>
      </c>
      <c r="U142" s="3">
        <f t="shared" si="19"/>
        <v>0.053731343283582</v>
      </c>
      <c r="V142">
        <v>17.41</v>
      </c>
      <c r="W142">
        <v>17.68</v>
      </c>
      <c r="X142" s="2">
        <f t="shared" si="20"/>
        <v>0.93</v>
      </c>
      <c r="Y142" s="3">
        <f t="shared" si="21"/>
        <v>0.0555223880597015</v>
      </c>
      <c r="Z142" s="2">
        <f t="shared" si="22"/>
        <v>0.0300000000000011</v>
      </c>
      <c r="AA142" s="3">
        <f t="shared" si="23"/>
        <v>0.00169971671388108</v>
      </c>
      <c r="AB142">
        <v>18.38</v>
      </c>
      <c r="AC142">
        <v>18.32</v>
      </c>
      <c r="AD142">
        <v>12.48</v>
      </c>
      <c r="AE142">
        <v>12.1</v>
      </c>
      <c r="AF142">
        <v>12.06</v>
      </c>
      <c r="AG142">
        <v>11.88</v>
      </c>
      <c r="AH142">
        <v>11.24</v>
      </c>
      <c r="AI142">
        <v>11.49</v>
      </c>
      <c r="AJ142" s="2">
        <f t="shared" si="24"/>
        <v>-0.390000000000001</v>
      </c>
      <c r="AK142" s="3">
        <f t="shared" si="25"/>
        <v>-0.0328282828282829</v>
      </c>
      <c r="AL142">
        <v>11.23</v>
      </c>
      <c r="AM142">
        <v>11.31</v>
      </c>
      <c r="AN142" s="3">
        <f t="shared" si="26"/>
        <v>0.0883506708879843</v>
      </c>
    </row>
    <row r="143" spans="1:40">
      <c r="A143">
        <v>123203</v>
      </c>
      <c r="B143" t="s">
        <v>327</v>
      </c>
      <c r="C143" s="4">
        <v>45110</v>
      </c>
      <c r="D143">
        <v>370739</v>
      </c>
      <c r="E143">
        <v>300739</v>
      </c>
      <c r="F143" t="s">
        <v>328</v>
      </c>
      <c r="G143">
        <v>0.0010565991</v>
      </c>
      <c r="H143" s="4">
        <v>45126</v>
      </c>
      <c r="I143" t="s">
        <v>55</v>
      </c>
      <c r="J143" s="4">
        <v>45023</v>
      </c>
      <c r="K143" s="4">
        <v>45072</v>
      </c>
      <c r="L143">
        <v>87</v>
      </c>
      <c r="M143">
        <v>38</v>
      </c>
      <c r="N143">
        <v>16.32</v>
      </c>
      <c r="O143">
        <v>15.79</v>
      </c>
      <c r="P143">
        <v>13.59</v>
      </c>
      <c r="Q143">
        <v>13.86</v>
      </c>
      <c r="R143">
        <v>14.25</v>
      </c>
      <c r="S143">
        <v>14.56</v>
      </c>
      <c r="T143" s="2">
        <f t="shared" si="18"/>
        <v>0.700000000000001</v>
      </c>
      <c r="U143" s="3">
        <f t="shared" si="19"/>
        <v>0.0505050505050506</v>
      </c>
      <c r="V143">
        <v>14.26</v>
      </c>
      <c r="W143">
        <v>14.33</v>
      </c>
      <c r="X143" s="2">
        <f t="shared" si="20"/>
        <v>0.470000000000001</v>
      </c>
      <c r="Y143" s="3">
        <f t="shared" si="21"/>
        <v>0.033910533910534</v>
      </c>
      <c r="Z143" s="2">
        <f t="shared" si="22"/>
        <v>-0.23</v>
      </c>
      <c r="AA143" s="3">
        <f t="shared" si="23"/>
        <v>-0.0157967032967033</v>
      </c>
      <c r="AB143">
        <v>14.73</v>
      </c>
      <c r="AC143">
        <v>14.87</v>
      </c>
      <c r="AD143">
        <v>12.57</v>
      </c>
      <c r="AE143">
        <v>12.62</v>
      </c>
      <c r="AF143">
        <v>11.93</v>
      </c>
      <c r="AG143">
        <v>12.1</v>
      </c>
      <c r="AH143">
        <v>11.24</v>
      </c>
      <c r="AI143">
        <v>11.49</v>
      </c>
      <c r="AJ143" s="2">
        <f t="shared" si="24"/>
        <v>-0.609999999999999</v>
      </c>
      <c r="AK143" s="3">
        <f t="shared" si="25"/>
        <v>-0.0504132231404958</v>
      </c>
      <c r="AL143">
        <v>11.23</v>
      </c>
      <c r="AM143">
        <v>11.31</v>
      </c>
      <c r="AN143" s="3">
        <f t="shared" si="26"/>
        <v>0.0843237570510298</v>
      </c>
    </row>
    <row r="144" spans="1:40">
      <c r="A144">
        <v>123202</v>
      </c>
      <c r="B144" t="s">
        <v>329</v>
      </c>
      <c r="C144" s="4">
        <v>45110</v>
      </c>
      <c r="D144">
        <v>370980</v>
      </c>
      <c r="E144">
        <v>300980</v>
      </c>
      <c r="F144" t="s">
        <v>330</v>
      </c>
      <c r="G144">
        <v>0.0012570425</v>
      </c>
      <c r="H144" s="4">
        <v>45133</v>
      </c>
      <c r="I144" t="s">
        <v>50</v>
      </c>
      <c r="J144" s="4">
        <v>44987</v>
      </c>
      <c r="K144" s="4">
        <v>45028</v>
      </c>
      <c r="L144">
        <v>123</v>
      </c>
      <c r="M144">
        <v>82</v>
      </c>
      <c r="N144">
        <v>19.05</v>
      </c>
      <c r="O144">
        <v>19.07</v>
      </c>
      <c r="P144">
        <v>20.37</v>
      </c>
      <c r="Q144">
        <v>20.39</v>
      </c>
      <c r="R144">
        <v>19.67</v>
      </c>
      <c r="S144">
        <v>19.48</v>
      </c>
      <c r="T144" s="2">
        <f t="shared" si="18"/>
        <v>-0.91</v>
      </c>
      <c r="U144" s="3">
        <f t="shared" si="19"/>
        <v>-0.0446297204512016</v>
      </c>
      <c r="V144">
        <v>18.55</v>
      </c>
      <c r="W144">
        <v>18.84</v>
      </c>
      <c r="X144" s="2">
        <f t="shared" si="20"/>
        <v>-1.55</v>
      </c>
      <c r="Y144" s="3">
        <f t="shared" si="21"/>
        <v>-0.0760176557135851</v>
      </c>
      <c r="Z144" s="2">
        <f t="shared" si="22"/>
        <v>-0.640000000000001</v>
      </c>
      <c r="AA144" s="3">
        <f t="shared" si="23"/>
        <v>-0.0328542094455852</v>
      </c>
      <c r="AB144">
        <v>19.04</v>
      </c>
      <c r="AC144">
        <v>19.22</v>
      </c>
      <c r="AD144">
        <v>14.13</v>
      </c>
      <c r="AE144">
        <v>14.24</v>
      </c>
      <c r="AF144">
        <v>12.58</v>
      </c>
      <c r="AG144">
        <v>12.48</v>
      </c>
      <c r="AH144">
        <v>11.24</v>
      </c>
      <c r="AI144">
        <v>11.49</v>
      </c>
      <c r="AJ144" s="2">
        <f t="shared" si="24"/>
        <v>-0.99</v>
      </c>
      <c r="AK144" s="3">
        <f t="shared" si="25"/>
        <v>-0.0793269230769231</v>
      </c>
      <c r="AL144">
        <v>11.65</v>
      </c>
      <c r="AM144">
        <v>11.67</v>
      </c>
      <c r="AN144" s="3">
        <f t="shared" si="26"/>
        <v>0.00330926736333796</v>
      </c>
    </row>
    <row r="145" spans="1:40">
      <c r="A145">
        <v>118036</v>
      </c>
      <c r="B145" t="s">
        <v>331</v>
      </c>
      <c r="C145" s="4">
        <v>45105</v>
      </c>
      <c r="D145">
        <v>718589</v>
      </c>
      <c r="E145">
        <v>688589</v>
      </c>
      <c r="F145" t="s">
        <v>332</v>
      </c>
      <c r="G145">
        <v>0.00119992</v>
      </c>
      <c r="H145" s="4">
        <v>45127</v>
      </c>
      <c r="I145" t="s">
        <v>55</v>
      </c>
      <c r="J145" s="4">
        <v>45010</v>
      </c>
      <c r="K145" s="5">
        <v>45084</v>
      </c>
      <c r="L145">
        <v>95</v>
      </c>
      <c r="M145">
        <v>21</v>
      </c>
      <c r="N145">
        <v>29.22</v>
      </c>
      <c r="O145">
        <v>28.61</v>
      </c>
      <c r="P145">
        <v>29.56</v>
      </c>
      <c r="Q145">
        <v>29.97</v>
      </c>
      <c r="R145">
        <v>28.69</v>
      </c>
      <c r="S145">
        <v>28.8</v>
      </c>
      <c r="T145" s="2">
        <f t="shared" si="18"/>
        <v>-1.17</v>
      </c>
      <c r="U145" s="3">
        <f t="shared" si="19"/>
        <v>-0.039039039039039</v>
      </c>
      <c r="V145">
        <v>27.8</v>
      </c>
      <c r="W145">
        <v>27.2</v>
      </c>
      <c r="X145" s="2">
        <f t="shared" si="20"/>
        <v>-2.77</v>
      </c>
      <c r="Y145" s="3">
        <f t="shared" si="21"/>
        <v>-0.0924257590924257</v>
      </c>
      <c r="Z145" s="2">
        <f t="shared" si="22"/>
        <v>-1.6</v>
      </c>
      <c r="AA145" s="3">
        <f t="shared" si="23"/>
        <v>-0.0555555555555556</v>
      </c>
      <c r="AB145">
        <v>31.42</v>
      </c>
      <c r="AC145">
        <v>29.78</v>
      </c>
      <c r="AD145">
        <v>12.8</v>
      </c>
      <c r="AE145">
        <v>12.6</v>
      </c>
      <c r="AF145">
        <v>11.89</v>
      </c>
      <c r="AG145">
        <v>11.94</v>
      </c>
      <c r="AH145">
        <v>11.28</v>
      </c>
      <c r="AI145">
        <v>11.3</v>
      </c>
      <c r="AJ145" s="2">
        <f t="shared" si="24"/>
        <v>-0.639999999999999</v>
      </c>
      <c r="AK145" s="3">
        <f t="shared" si="25"/>
        <v>-0.0536013400335007</v>
      </c>
      <c r="AL145">
        <v>11.33</v>
      </c>
      <c r="AM145">
        <v>11.32</v>
      </c>
      <c r="AN145" s="3">
        <f t="shared" si="26"/>
        <v>-0.038824419058925</v>
      </c>
    </row>
    <row r="146" spans="1:40">
      <c r="A146">
        <v>123200</v>
      </c>
      <c r="B146" t="s">
        <v>333</v>
      </c>
      <c r="C146" s="4">
        <v>45104</v>
      </c>
      <c r="D146">
        <v>371022</v>
      </c>
      <c r="E146">
        <v>301022</v>
      </c>
      <c r="F146" t="s">
        <v>334</v>
      </c>
      <c r="G146">
        <v>0.0006950516</v>
      </c>
      <c r="H146" s="4">
        <v>45124</v>
      </c>
      <c r="I146" t="s">
        <v>121</v>
      </c>
      <c r="J146" s="4">
        <v>45026</v>
      </c>
      <c r="K146" s="4">
        <v>45063</v>
      </c>
      <c r="L146">
        <v>78</v>
      </c>
      <c r="M146">
        <v>41</v>
      </c>
      <c r="N146">
        <v>21.89</v>
      </c>
      <c r="O146">
        <v>23.09</v>
      </c>
      <c r="P146">
        <v>21.8</v>
      </c>
      <c r="Q146">
        <v>21.94</v>
      </c>
      <c r="R146">
        <v>26.24</v>
      </c>
      <c r="S146">
        <v>26.84</v>
      </c>
      <c r="T146" s="2">
        <f t="shared" si="18"/>
        <v>4.9</v>
      </c>
      <c r="U146" s="3">
        <f t="shared" si="19"/>
        <v>0.223336371923427</v>
      </c>
      <c r="V146">
        <v>25.13</v>
      </c>
      <c r="W146">
        <v>24.36</v>
      </c>
      <c r="X146" s="2">
        <f t="shared" si="20"/>
        <v>2.42</v>
      </c>
      <c r="Y146" s="3">
        <f t="shared" si="21"/>
        <v>0.110300820419325</v>
      </c>
      <c r="Z146" s="2">
        <f t="shared" si="22"/>
        <v>-2.48</v>
      </c>
      <c r="AA146" s="3">
        <f t="shared" si="23"/>
        <v>-0.0923994038748137</v>
      </c>
      <c r="AB146">
        <v>27.4</v>
      </c>
      <c r="AC146">
        <v>27.5</v>
      </c>
      <c r="AD146">
        <v>12.64</v>
      </c>
      <c r="AE146">
        <v>12.68</v>
      </c>
      <c r="AF146">
        <v>12.58</v>
      </c>
      <c r="AG146">
        <v>12.49</v>
      </c>
      <c r="AH146">
        <v>11.2</v>
      </c>
      <c r="AI146">
        <v>11.28</v>
      </c>
      <c r="AJ146" s="2">
        <f t="shared" si="24"/>
        <v>-1.21</v>
      </c>
      <c r="AK146" s="3">
        <f t="shared" si="25"/>
        <v>-0.0968775020016013</v>
      </c>
      <c r="AL146">
        <v>11.41</v>
      </c>
      <c r="AM146">
        <v>11.31</v>
      </c>
      <c r="AN146" s="3">
        <f t="shared" si="26"/>
        <v>0.207178322420927</v>
      </c>
    </row>
    <row r="147" spans="1:40">
      <c r="A147">
        <v>123201</v>
      </c>
      <c r="B147" t="s">
        <v>335</v>
      </c>
      <c r="C147" s="4">
        <v>45104</v>
      </c>
      <c r="D147">
        <v>371229</v>
      </c>
      <c r="E147">
        <v>301229</v>
      </c>
      <c r="F147" t="s">
        <v>336</v>
      </c>
      <c r="G147">
        <v>0.0008561319</v>
      </c>
      <c r="H147" s="4">
        <v>45125</v>
      </c>
      <c r="I147" t="s">
        <v>121</v>
      </c>
      <c r="J147" s="4">
        <v>45044</v>
      </c>
      <c r="K147" s="4">
        <v>45079</v>
      </c>
      <c r="L147">
        <v>60</v>
      </c>
      <c r="M147">
        <v>25</v>
      </c>
      <c r="N147">
        <v>13.23</v>
      </c>
      <c r="O147">
        <v>13.33</v>
      </c>
      <c r="P147">
        <v>13.96</v>
      </c>
      <c r="Q147">
        <v>14.33</v>
      </c>
      <c r="R147">
        <v>15.05</v>
      </c>
      <c r="S147">
        <v>15.05</v>
      </c>
      <c r="T147" s="2">
        <f t="shared" si="18"/>
        <v>0.720000000000001</v>
      </c>
      <c r="U147" s="3">
        <f t="shared" si="19"/>
        <v>0.0502442428471738</v>
      </c>
      <c r="V147">
        <v>14.13</v>
      </c>
      <c r="W147">
        <v>14.43</v>
      </c>
      <c r="X147" s="2">
        <f t="shared" si="20"/>
        <v>0.0999999999999996</v>
      </c>
      <c r="Y147" s="3">
        <f t="shared" si="21"/>
        <v>0.00697836706210744</v>
      </c>
      <c r="Z147" s="2">
        <f t="shared" si="22"/>
        <v>-0.620000000000001</v>
      </c>
      <c r="AA147" s="3">
        <f t="shared" si="23"/>
        <v>-0.0411960132890366</v>
      </c>
      <c r="AB147">
        <v>17.44</v>
      </c>
      <c r="AC147">
        <v>18.01</v>
      </c>
      <c r="AD147">
        <v>12.26</v>
      </c>
      <c r="AE147">
        <v>12.55</v>
      </c>
      <c r="AF147">
        <v>11.68</v>
      </c>
      <c r="AG147">
        <v>11.93</v>
      </c>
      <c r="AH147">
        <v>11.2</v>
      </c>
      <c r="AI147">
        <v>11.28</v>
      </c>
      <c r="AJ147" s="2">
        <f t="shared" si="24"/>
        <v>-0.65</v>
      </c>
      <c r="AK147" s="3">
        <f t="shared" si="25"/>
        <v>-0.0544844928751048</v>
      </c>
      <c r="AL147">
        <v>11.29</v>
      </c>
      <c r="AM147">
        <v>11.25</v>
      </c>
      <c r="AN147" s="3">
        <f t="shared" si="26"/>
        <v>0.0614628599372123</v>
      </c>
    </row>
    <row r="148" spans="1:40">
      <c r="A148">
        <v>111014</v>
      </c>
      <c r="B148" t="s">
        <v>337</v>
      </c>
      <c r="C148" s="4">
        <v>45097</v>
      </c>
      <c r="D148">
        <v>713337</v>
      </c>
      <c r="E148">
        <v>605337</v>
      </c>
      <c r="F148" t="s">
        <v>338</v>
      </c>
      <c r="G148">
        <v>0.00084926</v>
      </c>
      <c r="H148" s="4">
        <v>45120</v>
      </c>
      <c r="I148" t="s">
        <v>40</v>
      </c>
      <c r="J148" s="4">
        <v>45041</v>
      </c>
      <c r="K148" s="4">
        <v>45080</v>
      </c>
      <c r="L148">
        <v>56</v>
      </c>
      <c r="M148">
        <v>17</v>
      </c>
      <c r="N148">
        <v>16.33</v>
      </c>
      <c r="O148">
        <v>16.28</v>
      </c>
      <c r="P148">
        <v>17.27</v>
      </c>
      <c r="Q148">
        <v>17.01</v>
      </c>
      <c r="R148">
        <v>18.67</v>
      </c>
      <c r="S148">
        <v>18.19</v>
      </c>
      <c r="T148" s="2">
        <f t="shared" si="18"/>
        <v>1.18</v>
      </c>
      <c r="U148" s="3">
        <f t="shared" si="19"/>
        <v>0.0693709582598471</v>
      </c>
      <c r="V148">
        <v>17.59</v>
      </c>
      <c r="W148">
        <v>17.42</v>
      </c>
      <c r="X148" s="2">
        <f t="shared" si="20"/>
        <v>0.41</v>
      </c>
      <c r="Y148" s="3">
        <f t="shared" si="21"/>
        <v>0.024103468547913</v>
      </c>
      <c r="Z148" s="2">
        <f t="shared" si="22"/>
        <v>-0.77</v>
      </c>
      <c r="AA148" s="3">
        <f t="shared" si="23"/>
        <v>-0.0423309510720176</v>
      </c>
      <c r="AB148">
        <v>17.04</v>
      </c>
      <c r="AC148">
        <v>17.39</v>
      </c>
      <c r="AD148">
        <v>12.14</v>
      </c>
      <c r="AE148">
        <v>12.28</v>
      </c>
      <c r="AF148">
        <v>11.88</v>
      </c>
      <c r="AG148">
        <v>11.91</v>
      </c>
      <c r="AH148">
        <v>11.44</v>
      </c>
      <c r="AI148">
        <v>11.36</v>
      </c>
      <c r="AJ148" s="2">
        <f t="shared" si="24"/>
        <v>-0.550000000000001</v>
      </c>
      <c r="AK148" s="3">
        <f t="shared" si="25"/>
        <v>-0.0461796809403863</v>
      </c>
      <c r="AL148">
        <v>11.32</v>
      </c>
      <c r="AM148">
        <v>11.43</v>
      </c>
      <c r="AN148" s="3">
        <f t="shared" si="26"/>
        <v>0.0702831494882993</v>
      </c>
    </row>
    <row r="149" spans="1:40">
      <c r="A149">
        <v>123199</v>
      </c>
      <c r="B149" t="s">
        <v>339</v>
      </c>
      <c r="C149" s="4">
        <v>45089</v>
      </c>
      <c r="D149">
        <v>370452</v>
      </c>
      <c r="E149">
        <v>300452</v>
      </c>
      <c r="F149" t="s">
        <v>340</v>
      </c>
      <c r="G149">
        <v>0.0009127967</v>
      </c>
      <c r="H149" s="4">
        <v>45114</v>
      </c>
      <c r="I149" t="s">
        <v>50</v>
      </c>
      <c r="J149" s="4">
        <v>44917</v>
      </c>
      <c r="K149" s="4">
        <v>44970</v>
      </c>
      <c r="L149">
        <v>172</v>
      </c>
      <c r="M149">
        <v>119</v>
      </c>
      <c r="N149">
        <v>15.8</v>
      </c>
      <c r="O149">
        <v>14.96</v>
      </c>
      <c r="P149">
        <v>16.78</v>
      </c>
      <c r="Q149">
        <v>16.93</v>
      </c>
      <c r="R149">
        <v>17.58</v>
      </c>
      <c r="S149">
        <v>17.71</v>
      </c>
      <c r="T149" s="2">
        <f t="shared" si="18"/>
        <v>0.780000000000001</v>
      </c>
      <c r="U149" s="3">
        <f t="shared" si="19"/>
        <v>0.0460720614294153</v>
      </c>
      <c r="V149">
        <v>17.32</v>
      </c>
      <c r="W149">
        <v>17.36</v>
      </c>
      <c r="X149" s="2">
        <f t="shared" si="20"/>
        <v>0.43</v>
      </c>
      <c r="Y149" s="3">
        <f t="shared" si="21"/>
        <v>0.0253987005316007</v>
      </c>
      <c r="Z149" s="2">
        <f t="shared" si="22"/>
        <v>-0.350000000000001</v>
      </c>
      <c r="AA149" s="3">
        <f t="shared" si="23"/>
        <v>-0.0197628458498025</v>
      </c>
      <c r="AB149">
        <v>15.41</v>
      </c>
      <c r="AC149">
        <v>15.3</v>
      </c>
      <c r="AD149">
        <v>13</v>
      </c>
      <c r="AE149">
        <v>12.95</v>
      </c>
      <c r="AF149">
        <v>13.94</v>
      </c>
      <c r="AG149">
        <v>13.82</v>
      </c>
      <c r="AH149">
        <v>11.82</v>
      </c>
      <c r="AI149">
        <v>11.79</v>
      </c>
      <c r="AJ149" s="2">
        <f t="shared" si="24"/>
        <v>-2.03</v>
      </c>
      <c r="AK149" s="3">
        <f t="shared" si="25"/>
        <v>-0.146888567293777</v>
      </c>
      <c r="AL149">
        <v>11.2</v>
      </c>
      <c r="AM149">
        <v>11.2</v>
      </c>
      <c r="AN149" s="3">
        <f t="shared" si="26"/>
        <v>0.172287267825378</v>
      </c>
    </row>
    <row r="150" spans="1:40">
      <c r="A150">
        <v>118035</v>
      </c>
      <c r="B150" t="s">
        <v>341</v>
      </c>
      <c r="C150" s="4">
        <v>45089</v>
      </c>
      <c r="D150">
        <v>718103</v>
      </c>
      <c r="E150">
        <v>688103</v>
      </c>
      <c r="F150" t="s">
        <v>342</v>
      </c>
      <c r="G150">
        <v>0.00113483</v>
      </c>
      <c r="H150" s="4">
        <v>45113</v>
      </c>
      <c r="I150" t="s">
        <v>50</v>
      </c>
      <c r="J150" s="4">
        <v>45007</v>
      </c>
      <c r="K150" s="4">
        <v>45065</v>
      </c>
      <c r="L150">
        <v>82</v>
      </c>
      <c r="M150">
        <v>24</v>
      </c>
      <c r="N150">
        <v>60.69</v>
      </c>
      <c r="O150">
        <v>61.51</v>
      </c>
      <c r="P150">
        <v>58.87</v>
      </c>
      <c r="Q150">
        <v>59.13</v>
      </c>
      <c r="R150">
        <v>66.37</v>
      </c>
      <c r="S150">
        <v>63.83</v>
      </c>
      <c r="T150" s="2">
        <f t="shared" si="18"/>
        <v>4.7</v>
      </c>
      <c r="U150" s="3">
        <f t="shared" si="19"/>
        <v>0.0794858785726365</v>
      </c>
      <c r="V150">
        <v>62.87</v>
      </c>
      <c r="W150">
        <v>62.79</v>
      </c>
      <c r="X150" s="2">
        <f t="shared" si="20"/>
        <v>3.66</v>
      </c>
      <c r="Y150" s="3">
        <f t="shared" si="21"/>
        <v>0.0618975139523084</v>
      </c>
      <c r="Z150" s="2">
        <f t="shared" si="22"/>
        <v>-1.04</v>
      </c>
      <c r="AA150" s="3">
        <f t="shared" si="23"/>
        <v>-0.0162932790224032</v>
      </c>
      <c r="AB150">
        <v>56.73</v>
      </c>
      <c r="AC150">
        <v>56.66</v>
      </c>
      <c r="AD150">
        <v>12.75</v>
      </c>
      <c r="AE150">
        <v>12.79</v>
      </c>
      <c r="AF150">
        <v>12.43</v>
      </c>
      <c r="AG150">
        <v>12.34</v>
      </c>
      <c r="AH150">
        <v>11.82</v>
      </c>
      <c r="AI150">
        <v>11.79</v>
      </c>
      <c r="AJ150" s="2">
        <f t="shared" si="24"/>
        <v>-0.550000000000001</v>
      </c>
      <c r="AK150" s="3">
        <f t="shared" si="25"/>
        <v>-0.0445705024311184</v>
      </c>
      <c r="AL150">
        <v>11.3</v>
      </c>
      <c r="AM150">
        <v>11.24</v>
      </c>
      <c r="AN150" s="3">
        <f t="shared" si="26"/>
        <v>0.106468016383427</v>
      </c>
    </row>
    <row r="151" spans="1:40">
      <c r="A151">
        <v>127086</v>
      </c>
      <c r="B151" t="s">
        <v>343</v>
      </c>
      <c r="C151" s="4">
        <v>45089</v>
      </c>
      <c r="D151">
        <v>72237</v>
      </c>
      <c r="E151">
        <v>2237</v>
      </c>
      <c r="F151" t="s">
        <v>344</v>
      </c>
      <c r="G151">
        <v>0.0115630125</v>
      </c>
      <c r="H151" s="4">
        <v>45114</v>
      </c>
      <c r="I151" t="s">
        <v>58</v>
      </c>
      <c r="J151" s="4">
        <v>45031</v>
      </c>
      <c r="K151" s="4">
        <v>45072</v>
      </c>
      <c r="L151">
        <v>58</v>
      </c>
      <c r="M151">
        <v>17</v>
      </c>
      <c r="N151">
        <v>12.53</v>
      </c>
      <c r="O151">
        <v>12.79</v>
      </c>
      <c r="P151">
        <v>10.79</v>
      </c>
      <c r="Q151">
        <v>10.92</v>
      </c>
      <c r="R151">
        <v>11.21</v>
      </c>
      <c r="S151">
        <v>11.23</v>
      </c>
      <c r="T151" s="2">
        <f t="shared" si="18"/>
        <v>0.31</v>
      </c>
      <c r="U151" s="3">
        <f t="shared" si="19"/>
        <v>0.0283882783882784</v>
      </c>
      <c r="V151">
        <v>10.81</v>
      </c>
      <c r="W151">
        <v>10.64</v>
      </c>
      <c r="X151" s="2">
        <f t="shared" si="20"/>
        <v>-0.279999999999999</v>
      </c>
      <c r="Y151" s="3">
        <f t="shared" si="21"/>
        <v>-0.0256410256410256</v>
      </c>
      <c r="Z151" s="2">
        <f t="shared" si="22"/>
        <v>-0.59</v>
      </c>
      <c r="AA151" s="3">
        <f t="shared" si="23"/>
        <v>-0.0525378450578807</v>
      </c>
      <c r="AB151">
        <v>10.55</v>
      </c>
      <c r="AC151">
        <v>10.74</v>
      </c>
      <c r="AD151">
        <v>12.66</v>
      </c>
      <c r="AE151">
        <v>12.93</v>
      </c>
      <c r="AF151">
        <v>11.93</v>
      </c>
      <c r="AG151">
        <v>12.1</v>
      </c>
      <c r="AH151">
        <v>11.82</v>
      </c>
      <c r="AI151">
        <v>11.79</v>
      </c>
      <c r="AJ151" s="2">
        <f t="shared" si="24"/>
        <v>-0.31</v>
      </c>
      <c r="AK151" s="3">
        <f t="shared" si="25"/>
        <v>-0.0256198347107438</v>
      </c>
      <c r="AL151">
        <v>11.2</v>
      </c>
      <c r="AM151">
        <v>11.2</v>
      </c>
      <c r="AN151" s="3">
        <f t="shared" si="26"/>
        <v>-2.11909302817379e-5</v>
      </c>
    </row>
    <row r="152" spans="1:40">
      <c r="A152">
        <v>123198</v>
      </c>
      <c r="B152" t="s">
        <v>345</v>
      </c>
      <c r="C152" s="4">
        <v>45085</v>
      </c>
      <c r="D152">
        <v>371098</v>
      </c>
      <c r="E152">
        <v>301098</v>
      </c>
      <c r="F152" t="s">
        <v>346</v>
      </c>
      <c r="G152">
        <v>0.0020882571</v>
      </c>
      <c r="H152" s="4">
        <v>45114</v>
      </c>
      <c r="I152" t="s">
        <v>121</v>
      </c>
      <c r="J152" s="4">
        <v>44987</v>
      </c>
      <c r="K152" s="4">
        <v>45027</v>
      </c>
      <c r="L152">
        <v>98</v>
      </c>
      <c r="M152">
        <v>58</v>
      </c>
      <c r="N152">
        <v>11.56</v>
      </c>
      <c r="O152">
        <v>11.57</v>
      </c>
      <c r="P152">
        <v>10.97</v>
      </c>
      <c r="Q152">
        <v>11.04</v>
      </c>
      <c r="R152">
        <v>12.37</v>
      </c>
      <c r="S152">
        <v>12.3</v>
      </c>
      <c r="T152" s="2">
        <f t="shared" si="18"/>
        <v>1.26</v>
      </c>
      <c r="U152" s="3">
        <f t="shared" si="19"/>
        <v>0.114130434782609</v>
      </c>
      <c r="V152">
        <v>11.51</v>
      </c>
      <c r="W152">
        <v>11.93</v>
      </c>
      <c r="X152" s="2">
        <f t="shared" si="20"/>
        <v>0.890000000000001</v>
      </c>
      <c r="Y152" s="3">
        <f t="shared" si="21"/>
        <v>0.0806159420289856</v>
      </c>
      <c r="Z152" s="2">
        <f t="shared" si="22"/>
        <v>-0.370000000000001</v>
      </c>
      <c r="AA152" s="3">
        <f t="shared" si="23"/>
        <v>-0.0300813008130082</v>
      </c>
      <c r="AB152">
        <v>11.96</v>
      </c>
      <c r="AC152">
        <v>11.9</v>
      </c>
      <c r="AD152">
        <v>14.13</v>
      </c>
      <c r="AE152">
        <v>14.24</v>
      </c>
      <c r="AF152">
        <v>12.7</v>
      </c>
      <c r="AG152">
        <v>12.54</v>
      </c>
      <c r="AH152">
        <v>11.96</v>
      </c>
      <c r="AI152">
        <v>12.12</v>
      </c>
      <c r="AJ152" s="2">
        <f t="shared" si="24"/>
        <v>-0.42</v>
      </c>
      <c r="AK152" s="3">
        <f t="shared" si="25"/>
        <v>-0.0334928229665072</v>
      </c>
      <c r="AL152">
        <v>11.2</v>
      </c>
      <c r="AM152">
        <v>11.2</v>
      </c>
      <c r="AN152" s="3">
        <f t="shared" si="26"/>
        <v>0.114108764995493</v>
      </c>
    </row>
    <row r="153" spans="1:40">
      <c r="A153">
        <v>123197</v>
      </c>
      <c r="B153" t="s">
        <v>347</v>
      </c>
      <c r="C153" s="4">
        <v>45054</v>
      </c>
      <c r="D153">
        <v>370480</v>
      </c>
      <c r="E153">
        <v>300480</v>
      </c>
      <c r="F153" t="s">
        <v>348</v>
      </c>
      <c r="G153">
        <v>0.0005682849</v>
      </c>
      <c r="H153" s="4">
        <v>45075</v>
      </c>
      <c r="I153" t="s">
        <v>50</v>
      </c>
      <c r="J153" s="4">
        <v>44807</v>
      </c>
      <c r="K153" s="4">
        <v>44880</v>
      </c>
      <c r="L153">
        <v>247</v>
      </c>
      <c r="M153">
        <v>174</v>
      </c>
      <c r="N153">
        <v>16.64</v>
      </c>
      <c r="O153">
        <v>16.3</v>
      </c>
      <c r="P153">
        <v>15.37</v>
      </c>
      <c r="Q153">
        <v>16.39</v>
      </c>
      <c r="R153">
        <v>21.76</v>
      </c>
      <c r="S153">
        <v>20.92</v>
      </c>
      <c r="T153" s="2">
        <f t="shared" si="18"/>
        <v>4.53</v>
      </c>
      <c r="U153" s="3">
        <f t="shared" si="19"/>
        <v>0.276388041488713</v>
      </c>
      <c r="V153">
        <v>20.36</v>
      </c>
      <c r="W153">
        <v>20.91</v>
      </c>
      <c r="X153" s="2">
        <f t="shared" si="20"/>
        <v>4.52</v>
      </c>
      <c r="Y153" s="3">
        <f t="shared" si="21"/>
        <v>0.275777913361806</v>
      </c>
      <c r="Z153" s="2">
        <f t="shared" si="22"/>
        <v>-0.0100000000000016</v>
      </c>
      <c r="AA153" s="3">
        <f t="shared" si="23"/>
        <v>-0.000478011472275409</v>
      </c>
      <c r="AB153">
        <v>22.15</v>
      </c>
      <c r="AC153">
        <v>22.29</v>
      </c>
      <c r="AD153">
        <v>12.46</v>
      </c>
      <c r="AE153">
        <v>12.57</v>
      </c>
      <c r="AF153">
        <v>11.86</v>
      </c>
      <c r="AG153">
        <v>12.01</v>
      </c>
      <c r="AH153">
        <v>12.94</v>
      </c>
      <c r="AI153">
        <v>13.32</v>
      </c>
      <c r="AJ153" s="2">
        <f t="shared" si="24"/>
        <v>1.31</v>
      </c>
      <c r="AK153" s="3">
        <f t="shared" si="25"/>
        <v>0.109075770191507</v>
      </c>
      <c r="AL153">
        <v>12.11</v>
      </c>
      <c r="AM153">
        <v>11.98</v>
      </c>
      <c r="AN153" s="3">
        <f t="shared" si="26"/>
        <v>0.166702143170299</v>
      </c>
    </row>
    <row r="154" spans="1:40">
      <c r="A154">
        <v>118034</v>
      </c>
      <c r="B154" t="s">
        <v>349</v>
      </c>
      <c r="C154" s="4">
        <v>45036</v>
      </c>
      <c r="D154">
        <v>718223</v>
      </c>
      <c r="E154">
        <v>688223</v>
      </c>
      <c r="F154" t="s">
        <v>350</v>
      </c>
      <c r="G154">
        <v>0.01087005</v>
      </c>
      <c r="H154" s="4">
        <v>45065</v>
      </c>
      <c r="I154" t="s">
        <v>58</v>
      </c>
      <c r="J154" s="4">
        <v>44971</v>
      </c>
      <c r="K154" s="4">
        <v>45020</v>
      </c>
      <c r="L154">
        <v>65</v>
      </c>
      <c r="M154">
        <v>16</v>
      </c>
      <c r="N154">
        <v>14.3</v>
      </c>
      <c r="O154">
        <v>14.18</v>
      </c>
      <c r="P154">
        <v>13.86</v>
      </c>
      <c r="Q154">
        <v>13.32</v>
      </c>
      <c r="R154">
        <v>13.25</v>
      </c>
      <c r="S154">
        <v>13.02</v>
      </c>
      <c r="T154" s="2">
        <f t="shared" si="18"/>
        <v>-0.300000000000001</v>
      </c>
      <c r="U154" s="3">
        <f t="shared" si="19"/>
        <v>-0.0225225225225226</v>
      </c>
      <c r="V154">
        <v>12.79</v>
      </c>
      <c r="W154">
        <v>12.32</v>
      </c>
      <c r="X154" s="2">
        <f t="shared" si="20"/>
        <v>-1</v>
      </c>
      <c r="Y154" s="3">
        <f t="shared" si="21"/>
        <v>-0.0750750750750751</v>
      </c>
      <c r="Z154" s="2">
        <f t="shared" si="22"/>
        <v>-0.699999999999999</v>
      </c>
      <c r="AA154" s="3">
        <f t="shared" si="23"/>
        <v>-0.053763440860215</v>
      </c>
      <c r="AB154">
        <v>11.89</v>
      </c>
      <c r="AC154">
        <v>12</v>
      </c>
      <c r="AD154">
        <v>13.85</v>
      </c>
      <c r="AE154">
        <v>13.96</v>
      </c>
      <c r="AF154">
        <v>12.64</v>
      </c>
      <c r="AG154">
        <v>12.65</v>
      </c>
      <c r="AH154">
        <v>12.9</v>
      </c>
      <c r="AI154">
        <v>12.75</v>
      </c>
      <c r="AJ154" s="2">
        <f t="shared" si="24"/>
        <v>0.0999999999999996</v>
      </c>
      <c r="AK154" s="3">
        <f t="shared" si="25"/>
        <v>0.00790513833992092</v>
      </c>
      <c r="AL154">
        <v>12.43</v>
      </c>
      <c r="AM154">
        <v>12.34</v>
      </c>
      <c r="AN154" s="3">
        <f t="shared" si="26"/>
        <v>-0.082980213414996</v>
      </c>
    </row>
    <row r="155" spans="1:40">
      <c r="A155">
        <v>123196</v>
      </c>
      <c r="B155" t="s">
        <v>351</v>
      </c>
      <c r="C155" s="4">
        <v>45034</v>
      </c>
      <c r="D155">
        <v>370645</v>
      </c>
      <c r="E155">
        <v>300645</v>
      </c>
      <c r="F155" t="s">
        <v>352</v>
      </c>
      <c r="G155">
        <v>0.0006970395</v>
      </c>
      <c r="H155" s="4">
        <v>45065</v>
      </c>
      <c r="I155" t="s">
        <v>50</v>
      </c>
      <c r="J155" s="4">
        <v>44881</v>
      </c>
      <c r="K155" s="4">
        <v>45005</v>
      </c>
      <c r="L155">
        <v>153</v>
      </c>
      <c r="M155">
        <v>29</v>
      </c>
      <c r="N155">
        <v>27.39</v>
      </c>
      <c r="O155">
        <v>28.04</v>
      </c>
      <c r="P155">
        <v>28.9</v>
      </c>
      <c r="Q155">
        <v>28.73</v>
      </c>
      <c r="R155">
        <v>31.5</v>
      </c>
      <c r="S155">
        <v>31.28</v>
      </c>
      <c r="T155" s="2">
        <f t="shared" si="18"/>
        <v>2.55</v>
      </c>
      <c r="U155" s="3">
        <f t="shared" si="19"/>
        <v>0.0887573964497042</v>
      </c>
      <c r="V155">
        <v>29.67</v>
      </c>
      <c r="W155">
        <v>29.77</v>
      </c>
      <c r="X155" s="2">
        <f t="shared" si="20"/>
        <v>1.04</v>
      </c>
      <c r="Y155" s="3">
        <f t="shared" si="21"/>
        <v>0.0361990950226244</v>
      </c>
      <c r="Z155" s="2">
        <f t="shared" si="22"/>
        <v>-1.51</v>
      </c>
      <c r="AA155" s="3">
        <f t="shared" si="23"/>
        <v>-0.0482736572890026</v>
      </c>
      <c r="AB155">
        <v>28.04</v>
      </c>
      <c r="AC155">
        <v>27.89</v>
      </c>
      <c r="AD155">
        <v>11.97</v>
      </c>
      <c r="AE155">
        <v>11.82</v>
      </c>
      <c r="AF155">
        <v>12.76</v>
      </c>
      <c r="AG155">
        <v>12.57</v>
      </c>
      <c r="AH155">
        <v>12.93</v>
      </c>
      <c r="AI155">
        <v>13</v>
      </c>
      <c r="AJ155" s="2">
        <f t="shared" si="24"/>
        <v>0.43</v>
      </c>
      <c r="AK155" s="3">
        <f t="shared" si="25"/>
        <v>0.0342084327764518</v>
      </c>
      <c r="AL155">
        <v>12.43</v>
      </c>
      <c r="AM155">
        <v>12.34</v>
      </c>
      <c r="AN155" s="3">
        <f t="shared" si="26"/>
        <v>0.00199066224617256</v>
      </c>
    </row>
    <row r="156" spans="1:40">
      <c r="A156">
        <v>123195</v>
      </c>
      <c r="B156" t="s">
        <v>353</v>
      </c>
      <c r="C156" s="4">
        <v>45033</v>
      </c>
      <c r="D156">
        <v>370487</v>
      </c>
      <c r="E156">
        <v>300487</v>
      </c>
      <c r="F156" t="s">
        <v>354</v>
      </c>
      <c r="G156">
        <v>0.0008360413</v>
      </c>
      <c r="H156" s="4">
        <v>45054</v>
      </c>
      <c r="I156" t="s">
        <v>50</v>
      </c>
      <c r="J156" s="4">
        <v>44988</v>
      </c>
      <c r="K156" s="4">
        <v>45013</v>
      </c>
      <c r="L156">
        <v>45</v>
      </c>
      <c r="M156">
        <v>20</v>
      </c>
      <c r="N156">
        <v>64.07</v>
      </c>
      <c r="O156">
        <v>64.12</v>
      </c>
      <c r="P156">
        <v>60.15</v>
      </c>
      <c r="Q156">
        <v>58.95</v>
      </c>
      <c r="R156">
        <v>58.29</v>
      </c>
      <c r="S156">
        <v>59.43</v>
      </c>
      <c r="T156" s="2">
        <f t="shared" si="18"/>
        <v>0.479999999999997</v>
      </c>
      <c r="U156" s="3">
        <f t="shared" si="19"/>
        <v>0.00814249363867679</v>
      </c>
      <c r="V156">
        <v>59.43</v>
      </c>
      <c r="W156">
        <v>58.71</v>
      </c>
      <c r="X156" s="2">
        <f t="shared" si="20"/>
        <v>-0.240000000000002</v>
      </c>
      <c r="Y156" s="3">
        <f t="shared" si="21"/>
        <v>-0.00407124681933846</v>
      </c>
      <c r="Z156" s="2">
        <f t="shared" si="22"/>
        <v>-0.719999999999999</v>
      </c>
      <c r="AA156" s="3">
        <f t="shared" si="23"/>
        <v>-0.0121150933871782</v>
      </c>
      <c r="AB156">
        <v>56.73</v>
      </c>
      <c r="AC156">
        <v>57.84</v>
      </c>
      <c r="AD156">
        <v>14.35</v>
      </c>
      <c r="AE156">
        <v>14.29</v>
      </c>
      <c r="AF156">
        <v>12.66</v>
      </c>
      <c r="AG156">
        <v>12.64</v>
      </c>
      <c r="AH156">
        <v>12.66</v>
      </c>
      <c r="AI156">
        <v>12.93</v>
      </c>
      <c r="AJ156" s="2">
        <f t="shared" si="24"/>
        <v>0.289999999999999</v>
      </c>
      <c r="AK156" s="3">
        <f t="shared" si="25"/>
        <v>0.0229430379746835</v>
      </c>
      <c r="AL156">
        <v>12.94</v>
      </c>
      <c r="AM156">
        <v>13.32</v>
      </c>
      <c r="AN156" s="3">
        <f t="shared" si="26"/>
        <v>-0.0270142847940219</v>
      </c>
    </row>
    <row r="157" spans="1:40">
      <c r="A157">
        <v>123194</v>
      </c>
      <c r="B157" t="s">
        <v>355</v>
      </c>
      <c r="C157" s="4">
        <v>45030</v>
      </c>
      <c r="D157">
        <v>371015</v>
      </c>
      <c r="E157">
        <v>301015</v>
      </c>
      <c r="F157" t="s">
        <v>356</v>
      </c>
      <c r="G157">
        <v>0.0010600487</v>
      </c>
      <c r="H157" s="4">
        <v>45051</v>
      </c>
      <c r="I157" t="s">
        <v>55</v>
      </c>
      <c r="J157" s="4">
        <v>44971</v>
      </c>
      <c r="K157" s="4">
        <v>45013</v>
      </c>
      <c r="L157">
        <v>59</v>
      </c>
      <c r="M157">
        <v>17</v>
      </c>
      <c r="N157">
        <v>25.44</v>
      </c>
      <c r="O157">
        <v>25.52</v>
      </c>
      <c r="P157">
        <v>23.78</v>
      </c>
      <c r="Q157">
        <v>24.27</v>
      </c>
      <c r="R157">
        <v>26.26</v>
      </c>
      <c r="S157">
        <v>26.67</v>
      </c>
      <c r="T157" s="2">
        <f t="shared" si="18"/>
        <v>2.4</v>
      </c>
      <c r="U157" s="3">
        <f t="shared" si="19"/>
        <v>0.0988875154511744</v>
      </c>
      <c r="V157">
        <v>25.81</v>
      </c>
      <c r="W157">
        <v>26.15</v>
      </c>
      <c r="X157" s="2">
        <f t="shared" si="20"/>
        <v>1.88</v>
      </c>
      <c r="Y157" s="3">
        <f t="shared" si="21"/>
        <v>0.0774618871034198</v>
      </c>
      <c r="Z157" s="2">
        <f t="shared" si="22"/>
        <v>-0.520000000000003</v>
      </c>
      <c r="AA157" s="3">
        <f t="shared" si="23"/>
        <v>-0.0194975628046495</v>
      </c>
      <c r="AB157">
        <v>26.59</v>
      </c>
      <c r="AC157">
        <v>25.62</v>
      </c>
      <c r="AD157">
        <v>13.85</v>
      </c>
      <c r="AE157">
        <v>13.96</v>
      </c>
      <c r="AF157">
        <v>12.66</v>
      </c>
      <c r="AG157">
        <v>12.64</v>
      </c>
      <c r="AH157">
        <v>12.6</v>
      </c>
      <c r="AI157">
        <v>12.69</v>
      </c>
      <c r="AJ157" s="2">
        <f t="shared" si="24"/>
        <v>0.0499999999999989</v>
      </c>
      <c r="AK157" s="3">
        <f t="shared" si="25"/>
        <v>0.00395569620253156</v>
      </c>
      <c r="AL157">
        <v>12.78</v>
      </c>
      <c r="AM157">
        <v>12.91</v>
      </c>
      <c r="AN157" s="3">
        <f t="shared" si="26"/>
        <v>0.0735061909008883</v>
      </c>
    </row>
    <row r="158" spans="1:40">
      <c r="A158">
        <v>123193</v>
      </c>
      <c r="B158" t="s">
        <v>357</v>
      </c>
      <c r="C158" s="4">
        <v>45029</v>
      </c>
      <c r="D158">
        <v>370787</v>
      </c>
      <c r="E158">
        <v>300787</v>
      </c>
      <c r="F158" t="s">
        <v>358</v>
      </c>
      <c r="G158">
        <v>0.0012747352</v>
      </c>
      <c r="H158" s="4">
        <v>45055</v>
      </c>
      <c r="I158" t="s">
        <v>55</v>
      </c>
      <c r="J158" s="4">
        <v>44890</v>
      </c>
      <c r="K158" s="4">
        <v>44970</v>
      </c>
      <c r="L158">
        <v>139</v>
      </c>
      <c r="M158">
        <v>59</v>
      </c>
      <c r="N158">
        <v>13.44</v>
      </c>
      <c r="O158">
        <v>13.01</v>
      </c>
      <c r="P158">
        <v>13.69</v>
      </c>
      <c r="Q158">
        <v>14.03</v>
      </c>
      <c r="R158">
        <v>15.04</v>
      </c>
      <c r="S158">
        <v>15.46</v>
      </c>
      <c r="T158" s="2">
        <f t="shared" si="18"/>
        <v>1.43</v>
      </c>
      <c r="U158" s="3">
        <f t="shared" si="19"/>
        <v>0.10192444761226</v>
      </c>
      <c r="V158">
        <v>14.94</v>
      </c>
      <c r="W158">
        <v>14.41</v>
      </c>
      <c r="X158" s="2">
        <f t="shared" si="20"/>
        <v>0.380000000000001</v>
      </c>
      <c r="Y158" s="3">
        <f t="shared" si="21"/>
        <v>0.0270848182466145</v>
      </c>
      <c r="Z158" s="2">
        <f t="shared" si="22"/>
        <v>-1.05</v>
      </c>
      <c r="AA158" s="3">
        <f t="shared" si="23"/>
        <v>-0.0679172056921087</v>
      </c>
      <c r="AB158">
        <v>11.49</v>
      </c>
      <c r="AC158">
        <v>11.85</v>
      </c>
      <c r="AD158">
        <v>11.79</v>
      </c>
      <c r="AE158">
        <v>12.17</v>
      </c>
      <c r="AF158">
        <v>13.94</v>
      </c>
      <c r="AG158">
        <v>13.82</v>
      </c>
      <c r="AH158">
        <v>12.41</v>
      </c>
      <c r="AI158">
        <v>12.56</v>
      </c>
      <c r="AJ158" s="2">
        <f t="shared" si="24"/>
        <v>-1.26</v>
      </c>
      <c r="AK158" s="3">
        <f t="shared" si="25"/>
        <v>-0.0911722141823444</v>
      </c>
      <c r="AL158">
        <v>13.4</v>
      </c>
      <c r="AM158">
        <v>13.16</v>
      </c>
      <c r="AN158" s="3">
        <f t="shared" si="26"/>
        <v>0.118257032428959</v>
      </c>
    </row>
    <row r="159" spans="1:40">
      <c r="A159">
        <v>123192</v>
      </c>
      <c r="B159" t="s">
        <v>359</v>
      </c>
      <c r="C159" s="4">
        <v>45029</v>
      </c>
      <c r="D159">
        <v>370856</v>
      </c>
      <c r="E159">
        <v>300856</v>
      </c>
      <c r="F159" t="s">
        <v>360</v>
      </c>
      <c r="G159">
        <v>0.0010951456</v>
      </c>
      <c r="H159" s="4">
        <v>45057</v>
      </c>
      <c r="I159" t="s">
        <v>55</v>
      </c>
      <c r="J159" s="4">
        <v>44981</v>
      </c>
      <c r="K159" s="4">
        <v>45020</v>
      </c>
      <c r="L159">
        <v>48</v>
      </c>
      <c r="M159">
        <v>9</v>
      </c>
      <c r="N159">
        <v>19.53</v>
      </c>
      <c r="O159">
        <v>19.04</v>
      </c>
      <c r="P159">
        <v>17.64</v>
      </c>
      <c r="Q159">
        <v>17.5</v>
      </c>
      <c r="R159">
        <v>18.1</v>
      </c>
      <c r="S159">
        <v>17.51</v>
      </c>
      <c r="T159" s="2">
        <f t="shared" si="18"/>
        <v>0.0100000000000016</v>
      </c>
      <c r="U159" s="3">
        <f t="shared" si="19"/>
        <v>0.000571428571428661</v>
      </c>
      <c r="V159">
        <v>17.04</v>
      </c>
      <c r="W159">
        <v>17.63</v>
      </c>
      <c r="X159" s="2">
        <f t="shared" si="20"/>
        <v>0.129999999999999</v>
      </c>
      <c r="Y159" s="3">
        <f t="shared" si="21"/>
        <v>0.00742857142857137</v>
      </c>
      <c r="Z159" s="2">
        <f t="shared" si="22"/>
        <v>0.119999999999997</v>
      </c>
      <c r="AA159" s="3">
        <f t="shared" si="23"/>
        <v>0.00685322672758409</v>
      </c>
      <c r="AB159">
        <v>22.45</v>
      </c>
      <c r="AC159">
        <v>22.35</v>
      </c>
      <c r="AD159">
        <v>14.02</v>
      </c>
      <c r="AE159">
        <v>13.86</v>
      </c>
      <c r="AF159">
        <v>12.64</v>
      </c>
      <c r="AG159">
        <v>12.65</v>
      </c>
      <c r="AH159">
        <v>12.41</v>
      </c>
      <c r="AI159">
        <v>12.56</v>
      </c>
      <c r="AJ159" s="2">
        <f t="shared" si="24"/>
        <v>-0.0899999999999999</v>
      </c>
      <c r="AK159" s="3">
        <f t="shared" si="25"/>
        <v>-0.00711462450592884</v>
      </c>
      <c r="AL159">
        <v>12.95</v>
      </c>
      <c r="AM159">
        <v>12.85</v>
      </c>
      <c r="AN159" s="3">
        <f t="shared" si="26"/>
        <v>0.0145431959345002</v>
      </c>
    </row>
    <row r="160" spans="1:40">
      <c r="A160">
        <v>123191</v>
      </c>
      <c r="B160" t="s">
        <v>361</v>
      </c>
      <c r="C160" s="4">
        <v>45026</v>
      </c>
      <c r="D160">
        <v>370918</v>
      </c>
      <c r="E160">
        <v>300918</v>
      </c>
      <c r="F160" t="s">
        <v>362</v>
      </c>
      <c r="G160">
        <v>0.0006109102</v>
      </c>
      <c r="H160" s="4">
        <v>45044</v>
      </c>
      <c r="I160" t="s">
        <v>55</v>
      </c>
      <c r="J160" s="4">
        <v>44938</v>
      </c>
      <c r="K160" s="4">
        <v>44970</v>
      </c>
      <c r="L160">
        <v>88</v>
      </c>
      <c r="M160">
        <v>56</v>
      </c>
      <c r="N160">
        <v>9.52</v>
      </c>
      <c r="O160">
        <v>9.67</v>
      </c>
      <c r="P160">
        <v>10.32</v>
      </c>
      <c r="Q160">
        <v>10.5</v>
      </c>
      <c r="R160">
        <v>12.26</v>
      </c>
      <c r="S160">
        <v>12.22</v>
      </c>
      <c r="T160" s="2">
        <f t="shared" si="18"/>
        <v>1.72</v>
      </c>
      <c r="U160" s="3">
        <f t="shared" si="19"/>
        <v>0.163809523809524</v>
      </c>
      <c r="V160">
        <v>11.53</v>
      </c>
      <c r="W160">
        <v>11</v>
      </c>
      <c r="X160" s="2">
        <f t="shared" si="20"/>
        <v>0.5</v>
      </c>
      <c r="Y160" s="3">
        <f t="shared" si="21"/>
        <v>0.0476190476190476</v>
      </c>
      <c r="Z160" s="2">
        <f t="shared" si="22"/>
        <v>-1.22</v>
      </c>
      <c r="AA160" s="3">
        <f t="shared" si="23"/>
        <v>-0.0998363338788871</v>
      </c>
      <c r="AB160">
        <v>10.9</v>
      </c>
      <c r="AC160">
        <v>11.26</v>
      </c>
      <c r="AD160">
        <v>14.77</v>
      </c>
      <c r="AE160">
        <v>14.67</v>
      </c>
      <c r="AF160">
        <v>13.94</v>
      </c>
      <c r="AG160">
        <v>13.82</v>
      </c>
      <c r="AH160">
        <v>12.64</v>
      </c>
      <c r="AI160">
        <v>12.68</v>
      </c>
      <c r="AJ160" s="2">
        <f t="shared" si="24"/>
        <v>-1.14</v>
      </c>
      <c r="AK160" s="3">
        <f t="shared" si="25"/>
        <v>-0.0824891461649783</v>
      </c>
      <c r="AL160">
        <v>12.26</v>
      </c>
      <c r="AM160">
        <v>12.55</v>
      </c>
      <c r="AN160" s="3">
        <f t="shared" si="26"/>
        <v>0.130108193784026</v>
      </c>
    </row>
    <row r="161" spans="1:40">
      <c r="A161">
        <v>123190</v>
      </c>
      <c r="B161" t="s">
        <v>363</v>
      </c>
      <c r="C161" s="4">
        <v>45023</v>
      </c>
      <c r="D161">
        <v>370409</v>
      </c>
      <c r="E161">
        <v>300409</v>
      </c>
      <c r="F161" t="s">
        <v>364</v>
      </c>
      <c r="G161">
        <v>0.0072192519</v>
      </c>
      <c r="H161" s="4">
        <v>45041</v>
      </c>
      <c r="I161" t="s">
        <v>55</v>
      </c>
      <c r="J161" s="4">
        <v>44911</v>
      </c>
      <c r="K161" s="4">
        <v>44970</v>
      </c>
      <c r="L161">
        <v>112</v>
      </c>
      <c r="M161">
        <v>53</v>
      </c>
      <c r="N161">
        <v>16.03</v>
      </c>
      <c r="O161">
        <v>15.87</v>
      </c>
      <c r="P161">
        <v>16.57</v>
      </c>
      <c r="Q161">
        <v>16.4</v>
      </c>
      <c r="R161">
        <v>15.06</v>
      </c>
      <c r="S161">
        <v>14.9</v>
      </c>
      <c r="T161" s="2">
        <f t="shared" si="18"/>
        <v>-1.5</v>
      </c>
      <c r="U161" s="3">
        <f t="shared" si="19"/>
        <v>-0.0914634146341462</v>
      </c>
      <c r="V161">
        <v>13.98</v>
      </c>
      <c r="W161">
        <v>14.24</v>
      </c>
      <c r="X161" s="2">
        <f t="shared" si="20"/>
        <v>-2.16</v>
      </c>
      <c r="Y161" s="3">
        <f t="shared" si="21"/>
        <v>-0.131707317073171</v>
      </c>
      <c r="Z161" s="2">
        <f t="shared" si="22"/>
        <v>-0.66</v>
      </c>
      <c r="AA161" s="3">
        <f t="shared" si="23"/>
        <v>-0.0442953020134228</v>
      </c>
      <c r="AB161">
        <v>12.81</v>
      </c>
      <c r="AC161">
        <v>12.3</v>
      </c>
      <c r="AD161">
        <v>13.02</v>
      </c>
      <c r="AE161">
        <v>13.34</v>
      </c>
      <c r="AF161">
        <v>13.94</v>
      </c>
      <c r="AG161">
        <v>13.82</v>
      </c>
      <c r="AH161">
        <v>12.57</v>
      </c>
      <c r="AI161">
        <v>12.62</v>
      </c>
      <c r="AJ161" s="2">
        <f t="shared" si="24"/>
        <v>-1.2</v>
      </c>
      <c r="AK161" s="3">
        <f t="shared" si="25"/>
        <v>-0.0868306801736614</v>
      </c>
      <c r="AL161">
        <v>12.14</v>
      </c>
      <c r="AM161">
        <v>12.28</v>
      </c>
      <c r="AN161" s="3">
        <f t="shared" si="26"/>
        <v>-0.0448766368995092</v>
      </c>
    </row>
    <row r="162" spans="1:40">
      <c r="A162">
        <v>123189</v>
      </c>
      <c r="B162" t="s">
        <v>365</v>
      </c>
      <c r="C162" s="4">
        <v>45022</v>
      </c>
      <c r="D162">
        <v>370967</v>
      </c>
      <c r="E162">
        <v>300967</v>
      </c>
      <c r="F162" t="s">
        <v>366</v>
      </c>
      <c r="G162">
        <v>0.0007801534</v>
      </c>
      <c r="H162" s="4">
        <v>45041</v>
      </c>
      <c r="I162" t="s">
        <v>121</v>
      </c>
      <c r="J162" s="4">
        <v>44812</v>
      </c>
      <c r="K162" s="4">
        <v>44973</v>
      </c>
      <c r="L162">
        <v>210</v>
      </c>
      <c r="M162">
        <v>49</v>
      </c>
      <c r="N162">
        <v>17.2</v>
      </c>
      <c r="O162">
        <v>16.96</v>
      </c>
      <c r="P162">
        <v>17.16</v>
      </c>
      <c r="Q162">
        <v>16.6</v>
      </c>
      <c r="R162">
        <v>19.08</v>
      </c>
      <c r="S162">
        <v>19.27</v>
      </c>
      <c r="T162" s="2">
        <f t="shared" si="18"/>
        <v>2.67</v>
      </c>
      <c r="U162" s="3">
        <f t="shared" si="19"/>
        <v>0.160843373493976</v>
      </c>
      <c r="V162">
        <v>18.55</v>
      </c>
      <c r="W162">
        <v>19.61</v>
      </c>
      <c r="X162" s="2">
        <f t="shared" si="20"/>
        <v>3.01</v>
      </c>
      <c r="Y162" s="3">
        <f t="shared" si="21"/>
        <v>0.181325301204819</v>
      </c>
      <c r="Z162" s="2">
        <f t="shared" si="22"/>
        <v>0.34</v>
      </c>
      <c r="AA162" s="3">
        <f t="shared" si="23"/>
        <v>0.0176440062272963</v>
      </c>
      <c r="AB162">
        <v>16.38</v>
      </c>
      <c r="AC162">
        <v>16.82</v>
      </c>
      <c r="AD162">
        <v>12.32</v>
      </c>
      <c r="AE162">
        <v>12.36</v>
      </c>
      <c r="AF162">
        <v>13.68</v>
      </c>
      <c r="AG162">
        <v>13.6</v>
      </c>
      <c r="AH162">
        <v>12.6</v>
      </c>
      <c r="AI162">
        <v>12.58</v>
      </c>
      <c r="AJ162" s="2">
        <f t="shared" si="24"/>
        <v>-1.02</v>
      </c>
      <c r="AK162" s="3">
        <f t="shared" si="25"/>
        <v>-0.075</v>
      </c>
      <c r="AL162">
        <v>12.14</v>
      </c>
      <c r="AM162">
        <v>12.28</v>
      </c>
      <c r="AN162" s="3">
        <f t="shared" si="26"/>
        <v>0.256325301204819</v>
      </c>
    </row>
    <row r="163" spans="1:40">
      <c r="A163">
        <v>123187</v>
      </c>
      <c r="B163" t="s">
        <v>367</v>
      </c>
      <c r="C163" s="4">
        <v>45020</v>
      </c>
      <c r="D163">
        <v>371186</v>
      </c>
      <c r="E163">
        <v>301186</v>
      </c>
      <c r="F163" t="s">
        <v>368</v>
      </c>
      <c r="G163">
        <v>0.0004562974</v>
      </c>
      <c r="H163" s="4">
        <v>45041</v>
      </c>
      <c r="I163" t="s">
        <v>121</v>
      </c>
      <c r="J163" s="4">
        <v>44981</v>
      </c>
      <c r="K163" s="4">
        <v>45005</v>
      </c>
      <c r="L163">
        <v>39</v>
      </c>
      <c r="M163">
        <v>15</v>
      </c>
      <c r="N163">
        <v>32.53</v>
      </c>
      <c r="O163">
        <v>32.9</v>
      </c>
      <c r="P163">
        <v>29.27</v>
      </c>
      <c r="Q163">
        <v>29.48</v>
      </c>
      <c r="R163">
        <v>33.23</v>
      </c>
      <c r="S163">
        <v>33.85</v>
      </c>
      <c r="T163" s="2">
        <f t="shared" si="18"/>
        <v>4.37</v>
      </c>
      <c r="U163" s="3">
        <f t="shared" si="19"/>
        <v>0.148236092265943</v>
      </c>
      <c r="V163">
        <v>31.69</v>
      </c>
      <c r="W163">
        <v>30.14</v>
      </c>
      <c r="X163" s="2">
        <f t="shared" si="20"/>
        <v>0.66</v>
      </c>
      <c r="Y163" s="3">
        <f t="shared" si="21"/>
        <v>0.0223880597014925</v>
      </c>
      <c r="Z163" s="2">
        <f t="shared" si="22"/>
        <v>-3.71</v>
      </c>
      <c r="AA163" s="3">
        <f t="shared" si="23"/>
        <v>-0.1096011816839</v>
      </c>
      <c r="AB163">
        <v>26.52</v>
      </c>
      <c r="AC163">
        <v>25.84</v>
      </c>
      <c r="AD163">
        <v>14.02</v>
      </c>
      <c r="AE163">
        <v>13.86</v>
      </c>
      <c r="AF163">
        <v>12.76</v>
      </c>
      <c r="AG163">
        <v>12.57</v>
      </c>
      <c r="AH163">
        <v>12.64</v>
      </c>
      <c r="AI163">
        <v>12.65</v>
      </c>
      <c r="AJ163" s="2">
        <f t="shared" si="24"/>
        <v>0.0800000000000001</v>
      </c>
      <c r="AK163" s="3">
        <f t="shared" si="25"/>
        <v>0.00636435958631663</v>
      </c>
      <c r="AL163">
        <v>12.14</v>
      </c>
      <c r="AM163">
        <v>12.28</v>
      </c>
      <c r="AN163" s="3">
        <f t="shared" si="26"/>
        <v>0.0160237001151759</v>
      </c>
    </row>
    <row r="164" spans="1:40">
      <c r="A164">
        <v>123188</v>
      </c>
      <c r="B164" t="s">
        <v>369</v>
      </c>
      <c r="C164" s="4">
        <v>45020</v>
      </c>
      <c r="D164">
        <v>370740</v>
      </c>
      <c r="E164">
        <v>300740</v>
      </c>
      <c r="F164" t="s">
        <v>370</v>
      </c>
      <c r="G164">
        <v>0.0011610488</v>
      </c>
      <c r="H164" s="4">
        <v>45041</v>
      </c>
      <c r="I164" t="s">
        <v>50</v>
      </c>
      <c r="J164" s="4">
        <v>44918</v>
      </c>
      <c r="K164" s="4">
        <v>44974</v>
      </c>
      <c r="L164">
        <v>102</v>
      </c>
      <c r="M164">
        <v>46</v>
      </c>
      <c r="N164">
        <v>14.29</v>
      </c>
      <c r="O164">
        <v>13.87</v>
      </c>
      <c r="P164">
        <v>13.76</v>
      </c>
      <c r="Q164">
        <v>14.3</v>
      </c>
      <c r="R164">
        <v>13.84</v>
      </c>
      <c r="S164">
        <v>14.05</v>
      </c>
      <c r="T164" s="2">
        <f t="shared" si="18"/>
        <v>-0.25</v>
      </c>
      <c r="U164" s="3">
        <f t="shared" si="19"/>
        <v>-0.0174825174825175</v>
      </c>
      <c r="V164">
        <v>13.59</v>
      </c>
      <c r="W164">
        <v>13.53</v>
      </c>
      <c r="X164" s="2">
        <f t="shared" si="20"/>
        <v>-0.770000000000001</v>
      </c>
      <c r="Y164" s="3">
        <f t="shared" si="21"/>
        <v>-0.0538461538461539</v>
      </c>
      <c r="Z164" s="2">
        <f t="shared" si="22"/>
        <v>-0.520000000000001</v>
      </c>
      <c r="AA164" s="3">
        <f t="shared" si="23"/>
        <v>-0.0370106761565837</v>
      </c>
      <c r="AB164">
        <v>13.81</v>
      </c>
      <c r="AC164">
        <v>13.4</v>
      </c>
      <c r="AD164">
        <v>12.85</v>
      </c>
      <c r="AE164">
        <v>12.98</v>
      </c>
      <c r="AF164">
        <v>13.63</v>
      </c>
      <c r="AG164">
        <v>13.43</v>
      </c>
      <c r="AH164">
        <v>12.64</v>
      </c>
      <c r="AI164">
        <v>12.65</v>
      </c>
      <c r="AJ164" s="2">
        <f t="shared" si="24"/>
        <v>-0.779999999999999</v>
      </c>
      <c r="AK164" s="3">
        <f t="shared" si="25"/>
        <v>-0.0580789277736411</v>
      </c>
      <c r="AL164">
        <v>12.14</v>
      </c>
      <c r="AM164">
        <v>12.28</v>
      </c>
      <c r="AN164" s="3">
        <f t="shared" si="26"/>
        <v>0.00423277392748712</v>
      </c>
    </row>
    <row r="165" spans="1:40">
      <c r="A165">
        <v>123185</v>
      </c>
      <c r="B165" t="s">
        <v>371</v>
      </c>
      <c r="C165" s="4">
        <v>45016</v>
      </c>
      <c r="D165">
        <v>371046</v>
      </c>
      <c r="E165">
        <v>301046</v>
      </c>
      <c r="F165" t="s">
        <v>372</v>
      </c>
      <c r="G165">
        <v>0.0018787062</v>
      </c>
      <c r="H165" s="4">
        <v>45036</v>
      </c>
      <c r="I165" t="s">
        <v>50</v>
      </c>
      <c r="J165" s="4">
        <v>44925</v>
      </c>
      <c r="K165" s="4">
        <v>44971</v>
      </c>
      <c r="L165">
        <v>91</v>
      </c>
      <c r="M165">
        <v>45</v>
      </c>
      <c r="N165">
        <v>33.34</v>
      </c>
      <c r="O165">
        <v>34.05</v>
      </c>
      <c r="P165">
        <v>43.3</v>
      </c>
      <c r="Q165">
        <v>44.48</v>
      </c>
      <c r="R165">
        <v>35.79</v>
      </c>
      <c r="S165">
        <v>35.65</v>
      </c>
      <c r="T165" s="2">
        <f t="shared" si="18"/>
        <v>-8.83</v>
      </c>
      <c r="U165" s="3">
        <f t="shared" si="19"/>
        <v>-0.19851618705036</v>
      </c>
      <c r="V165">
        <v>34.56</v>
      </c>
      <c r="W165">
        <v>34.31</v>
      </c>
      <c r="X165" s="2">
        <f t="shared" si="20"/>
        <v>-10.17</v>
      </c>
      <c r="Y165" s="3">
        <f t="shared" si="21"/>
        <v>-0.228642086330935</v>
      </c>
      <c r="Z165" s="2">
        <f t="shared" si="22"/>
        <v>-1.34</v>
      </c>
      <c r="AA165" s="3">
        <f t="shared" si="23"/>
        <v>-0.0375876577840111</v>
      </c>
      <c r="AB165">
        <v>31.4</v>
      </c>
      <c r="AC165">
        <v>30.97</v>
      </c>
      <c r="AD165">
        <v>13.04</v>
      </c>
      <c r="AE165">
        <v>13.16</v>
      </c>
      <c r="AF165">
        <v>13.85</v>
      </c>
      <c r="AG165">
        <v>13.96</v>
      </c>
      <c r="AH165">
        <v>12.69</v>
      </c>
      <c r="AI165">
        <v>12.53</v>
      </c>
      <c r="AJ165" s="2">
        <f t="shared" si="24"/>
        <v>-1.43</v>
      </c>
      <c r="AK165" s="3">
        <f t="shared" si="25"/>
        <v>-0.10243553008596</v>
      </c>
      <c r="AL165">
        <v>12.9</v>
      </c>
      <c r="AM165">
        <v>12.75</v>
      </c>
      <c r="AN165" s="3">
        <f t="shared" si="26"/>
        <v>-0.126206556244975</v>
      </c>
    </row>
    <row r="166" spans="1:40">
      <c r="A166">
        <v>123186</v>
      </c>
      <c r="B166" t="s">
        <v>373</v>
      </c>
      <c r="C166" s="4">
        <v>45016</v>
      </c>
      <c r="D166">
        <v>370986</v>
      </c>
      <c r="E166">
        <v>300986</v>
      </c>
      <c r="F166" t="s">
        <v>374</v>
      </c>
      <c r="G166">
        <v>0.0009688248</v>
      </c>
      <c r="H166" s="4">
        <v>45037</v>
      </c>
      <c r="I166" t="s">
        <v>50</v>
      </c>
      <c r="J166" s="4">
        <v>44974</v>
      </c>
      <c r="K166" s="4">
        <v>45005</v>
      </c>
      <c r="L166">
        <v>42</v>
      </c>
      <c r="M166">
        <v>11</v>
      </c>
      <c r="N166">
        <v>18.98</v>
      </c>
      <c r="O166">
        <v>18.6</v>
      </c>
      <c r="P166">
        <v>19.21</v>
      </c>
      <c r="Q166">
        <v>18.94</v>
      </c>
      <c r="R166">
        <v>18.61</v>
      </c>
      <c r="S166">
        <v>18.95</v>
      </c>
      <c r="T166" s="2">
        <f t="shared" si="18"/>
        <v>0.00999999999999801</v>
      </c>
      <c r="U166" s="3">
        <f t="shared" si="19"/>
        <v>0.00052798310454055</v>
      </c>
      <c r="V166">
        <v>18.39</v>
      </c>
      <c r="W166">
        <v>18.59</v>
      </c>
      <c r="X166" s="2">
        <f t="shared" si="20"/>
        <v>-0.350000000000001</v>
      </c>
      <c r="Y166" s="3">
        <f t="shared" si="21"/>
        <v>-0.018479408658923</v>
      </c>
      <c r="Z166" s="2">
        <f t="shared" si="22"/>
        <v>-0.359999999999999</v>
      </c>
      <c r="AA166" s="3">
        <f t="shared" si="23"/>
        <v>-0.0189973614775725</v>
      </c>
      <c r="AB166">
        <v>16.57</v>
      </c>
      <c r="AC166">
        <v>16.31</v>
      </c>
      <c r="AD166">
        <v>13.63</v>
      </c>
      <c r="AE166">
        <v>13.43</v>
      </c>
      <c r="AF166">
        <v>12.76</v>
      </c>
      <c r="AG166">
        <v>12.57</v>
      </c>
      <c r="AH166">
        <v>12.69</v>
      </c>
      <c r="AI166">
        <v>12.53</v>
      </c>
      <c r="AJ166" s="2">
        <f t="shared" si="24"/>
        <v>-0.0400000000000009</v>
      </c>
      <c r="AK166" s="3">
        <f t="shared" si="25"/>
        <v>-0.00318217979315839</v>
      </c>
      <c r="AL166">
        <v>12.7</v>
      </c>
      <c r="AM166">
        <v>12.5</v>
      </c>
      <c r="AN166" s="3">
        <f t="shared" si="26"/>
        <v>-0.0152972288657646</v>
      </c>
    </row>
    <row r="167" spans="1:40">
      <c r="A167">
        <v>123183</v>
      </c>
      <c r="B167" t="s">
        <v>375</v>
      </c>
      <c r="C167" s="4">
        <v>45008</v>
      </c>
      <c r="D167">
        <v>370501</v>
      </c>
      <c r="E167">
        <v>300501</v>
      </c>
      <c r="F167" t="s">
        <v>376</v>
      </c>
      <c r="G167">
        <v>0.001257266</v>
      </c>
      <c r="H167" s="4">
        <v>45036</v>
      </c>
      <c r="I167" t="s">
        <v>55</v>
      </c>
      <c r="J167" s="4">
        <v>44869</v>
      </c>
      <c r="K167" s="4">
        <v>44958</v>
      </c>
      <c r="L167">
        <v>139</v>
      </c>
      <c r="M167">
        <v>50</v>
      </c>
      <c r="N167">
        <v>13.68</v>
      </c>
      <c r="O167">
        <v>13.9</v>
      </c>
      <c r="P167">
        <v>14.88</v>
      </c>
      <c r="Q167">
        <v>15.04</v>
      </c>
      <c r="R167">
        <v>16.93</v>
      </c>
      <c r="S167">
        <v>17.03</v>
      </c>
      <c r="T167" s="2">
        <f t="shared" si="18"/>
        <v>1.99</v>
      </c>
      <c r="U167" s="3">
        <f t="shared" si="19"/>
        <v>0.132313829787234</v>
      </c>
      <c r="V167">
        <v>16.26</v>
      </c>
      <c r="W167">
        <v>16.35</v>
      </c>
      <c r="X167" s="2">
        <f t="shared" si="20"/>
        <v>1.31</v>
      </c>
      <c r="Y167" s="3">
        <f t="shared" si="21"/>
        <v>0.0871010638297874</v>
      </c>
      <c r="Z167" s="2">
        <f t="shared" si="22"/>
        <v>-0.68</v>
      </c>
      <c r="AA167" s="3">
        <f t="shared" si="23"/>
        <v>-0.0399295361127422</v>
      </c>
      <c r="AB167">
        <v>15.28</v>
      </c>
      <c r="AC167">
        <v>15.12</v>
      </c>
      <c r="AD167">
        <v>10.4</v>
      </c>
      <c r="AE167">
        <v>10.82</v>
      </c>
      <c r="AF167">
        <v>15.03</v>
      </c>
      <c r="AG167">
        <v>14.7</v>
      </c>
      <c r="AH167">
        <v>12.7</v>
      </c>
      <c r="AI167">
        <v>12.9</v>
      </c>
      <c r="AJ167" s="2">
        <f t="shared" si="24"/>
        <v>-1.8</v>
      </c>
      <c r="AK167" s="3">
        <f t="shared" si="25"/>
        <v>-0.122448979591837</v>
      </c>
      <c r="AL167">
        <v>12.9</v>
      </c>
      <c r="AM167">
        <v>12.75</v>
      </c>
      <c r="AN167" s="3">
        <f t="shared" si="26"/>
        <v>0.209550043421624</v>
      </c>
    </row>
    <row r="168" spans="1:40">
      <c r="A168">
        <v>123184</v>
      </c>
      <c r="B168" t="s">
        <v>377</v>
      </c>
      <c r="C168" s="4">
        <v>45008</v>
      </c>
      <c r="D168">
        <v>370872</v>
      </c>
      <c r="E168">
        <v>300872</v>
      </c>
      <c r="F168" t="s">
        <v>378</v>
      </c>
      <c r="G168">
        <v>0.0033529257</v>
      </c>
      <c r="H168" s="4">
        <v>45034</v>
      </c>
      <c r="I168" t="s">
        <v>55</v>
      </c>
      <c r="J168" s="4">
        <v>44881</v>
      </c>
      <c r="K168" s="4">
        <v>44945</v>
      </c>
      <c r="L168">
        <v>127</v>
      </c>
      <c r="M168">
        <v>63</v>
      </c>
      <c r="N168">
        <v>14.19</v>
      </c>
      <c r="O168">
        <v>14.25</v>
      </c>
      <c r="P168">
        <v>13.42</v>
      </c>
      <c r="Q168">
        <v>13.53</v>
      </c>
      <c r="R168">
        <v>14.69</v>
      </c>
      <c r="S168">
        <v>15.01</v>
      </c>
      <c r="T168" s="2">
        <f t="shared" si="18"/>
        <v>1.48</v>
      </c>
      <c r="U168" s="3">
        <f t="shared" si="19"/>
        <v>0.109386548410939</v>
      </c>
      <c r="V168">
        <v>14.68</v>
      </c>
      <c r="W168">
        <v>14.97</v>
      </c>
      <c r="X168" s="2">
        <f t="shared" si="20"/>
        <v>1.44</v>
      </c>
      <c r="Y168" s="3">
        <f t="shared" si="21"/>
        <v>0.106430155210643</v>
      </c>
      <c r="Z168" s="2">
        <f t="shared" si="22"/>
        <v>-0.0399999999999991</v>
      </c>
      <c r="AA168" s="3">
        <f t="shared" si="23"/>
        <v>-0.00266489007328442</v>
      </c>
      <c r="AB168">
        <v>15.66</v>
      </c>
      <c r="AC168">
        <v>15.25</v>
      </c>
      <c r="AD168">
        <v>11.97</v>
      </c>
      <c r="AE168">
        <v>11.82</v>
      </c>
      <c r="AF168">
        <v>15.13</v>
      </c>
      <c r="AG168">
        <v>15.09</v>
      </c>
      <c r="AH168">
        <v>12.7</v>
      </c>
      <c r="AI168">
        <v>12.9</v>
      </c>
      <c r="AJ168" s="2">
        <f t="shared" si="24"/>
        <v>-2.19</v>
      </c>
      <c r="AK168" s="3">
        <f t="shared" si="25"/>
        <v>-0.145129224652087</v>
      </c>
      <c r="AL168">
        <v>12.93</v>
      </c>
      <c r="AM168">
        <v>13</v>
      </c>
      <c r="AN168" s="3">
        <f t="shared" si="26"/>
        <v>0.251559379862731</v>
      </c>
    </row>
    <row r="169" spans="1:40">
      <c r="A169">
        <v>123182</v>
      </c>
      <c r="B169" t="s">
        <v>379</v>
      </c>
      <c r="C169" s="4">
        <v>45007</v>
      </c>
      <c r="D169">
        <v>370900</v>
      </c>
      <c r="E169">
        <v>300900</v>
      </c>
      <c r="F169" t="s">
        <v>380</v>
      </c>
      <c r="G169">
        <v>0.0018586896</v>
      </c>
      <c r="H169" s="4">
        <v>45033</v>
      </c>
      <c r="I169" t="s">
        <v>50</v>
      </c>
      <c r="J169" s="4">
        <v>44881</v>
      </c>
      <c r="K169" s="4">
        <v>44945</v>
      </c>
      <c r="L169">
        <v>126</v>
      </c>
      <c r="M169">
        <v>62</v>
      </c>
      <c r="N169">
        <v>20.97</v>
      </c>
      <c r="O169">
        <v>20.84</v>
      </c>
      <c r="P169">
        <v>20.2</v>
      </c>
      <c r="Q169">
        <v>20.72</v>
      </c>
      <c r="R169">
        <v>22.3</v>
      </c>
      <c r="S169">
        <v>23</v>
      </c>
      <c r="T169" s="2">
        <f t="shared" si="18"/>
        <v>2.28</v>
      </c>
      <c r="U169" s="3">
        <f t="shared" si="19"/>
        <v>0.11003861003861</v>
      </c>
      <c r="V169">
        <v>22.46</v>
      </c>
      <c r="W169">
        <v>22.82</v>
      </c>
      <c r="X169" s="2">
        <f t="shared" si="20"/>
        <v>2.1</v>
      </c>
      <c r="Y169" s="3">
        <f t="shared" si="21"/>
        <v>0.101351351351351</v>
      </c>
      <c r="Z169" s="2">
        <f t="shared" si="22"/>
        <v>-0.18</v>
      </c>
      <c r="AA169" s="3">
        <f t="shared" si="23"/>
        <v>-0.00782608695652173</v>
      </c>
      <c r="AB169">
        <v>22.01</v>
      </c>
      <c r="AC169">
        <v>22.09</v>
      </c>
      <c r="AD169">
        <v>11.97</v>
      </c>
      <c r="AE169">
        <v>11.82</v>
      </c>
      <c r="AF169">
        <v>15.13</v>
      </c>
      <c r="AG169">
        <v>15.09</v>
      </c>
      <c r="AH169">
        <v>12.75</v>
      </c>
      <c r="AI169">
        <v>12.79</v>
      </c>
      <c r="AJ169" s="2">
        <f t="shared" si="24"/>
        <v>-2.3</v>
      </c>
      <c r="AK169" s="3">
        <f t="shared" si="25"/>
        <v>-0.152418820410868</v>
      </c>
      <c r="AL169">
        <v>12.66</v>
      </c>
      <c r="AM169">
        <v>12.93</v>
      </c>
      <c r="AN169" s="3">
        <f t="shared" si="26"/>
        <v>0.25377017176222</v>
      </c>
    </row>
    <row r="170" spans="1:40">
      <c r="A170">
        <v>118033</v>
      </c>
      <c r="B170" t="s">
        <v>381</v>
      </c>
      <c r="C170" s="4">
        <v>45006</v>
      </c>
      <c r="D170">
        <v>718268</v>
      </c>
      <c r="E170">
        <v>688268</v>
      </c>
      <c r="F170" t="s">
        <v>382</v>
      </c>
      <c r="G170">
        <v>0.00520423</v>
      </c>
      <c r="H170" s="4">
        <v>45030</v>
      </c>
      <c r="I170" t="s">
        <v>55</v>
      </c>
      <c r="J170" s="4">
        <v>44890</v>
      </c>
      <c r="K170" s="4">
        <v>44961</v>
      </c>
      <c r="L170">
        <v>116</v>
      </c>
      <c r="M170">
        <v>45</v>
      </c>
      <c r="N170">
        <v>84.3</v>
      </c>
      <c r="O170">
        <v>80.91</v>
      </c>
      <c r="P170">
        <v>82.27</v>
      </c>
      <c r="Q170">
        <v>79.8</v>
      </c>
      <c r="R170">
        <v>82.41</v>
      </c>
      <c r="S170">
        <v>84.88</v>
      </c>
      <c r="T170" s="2">
        <f t="shared" si="18"/>
        <v>5.08</v>
      </c>
      <c r="U170" s="3">
        <f t="shared" si="19"/>
        <v>0.0636591478696742</v>
      </c>
      <c r="V170">
        <v>83.46</v>
      </c>
      <c r="W170">
        <v>84.5</v>
      </c>
      <c r="X170" s="2">
        <f t="shared" si="20"/>
        <v>4.7</v>
      </c>
      <c r="Y170" s="3">
        <f t="shared" si="21"/>
        <v>0.0588972431077695</v>
      </c>
      <c r="Z170" s="2">
        <f t="shared" si="22"/>
        <v>-0.379999999999995</v>
      </c>
      <c r="AA170" s="3">
        <f t="shared" si="23"/>
        <v>-0.00447690857681427</v>
      </c>
      <c r="AB170">
        <v>92.93</v>
      </c>
      <c r="AC170">
        <v>100.49</v>
      </c>
      <c r="AD170">
        <v>11.79</v>
      </c>
      <c r="AE170">
        <v>12.17</v>
      </c>
      <c r="AF170">
        <v>14.1</v>
      </c>
      <c r="AG170">
        <v>14</v>
      </c>
      <c r="AH170">
        <v>12.65</v>
      </c>
      <c r="AI170">
        <v>12.7</v>
      </c>
      <c r="AJ170" s="2">
        <f t="shared" si="24"/>
        <v>-1.3</v>
      </c>
      <c r="AK170" s="3">
        <f t="shared" si="25"/>
        <v>-0.0928571428571429</v>
      </c>
      <c r="AL170">
        <v>12.6</v>
      </c>
      <c r="AM170">
        <v>12.69</v>
      </c>
      <c r="AN170" s="3">
        <f t="shared" si="26"/>
        <v>0.151754385964912</v>
      </c>
    </row>
    <row r="171" spans="1:40">
      <c r="A171">
        <v>123180</v>
      </c>
      <c r="B171" t="s">
        <v>383</v>
      </c>
      <c r="C171" s="4">
        <v>44994</v>
      </c>
      <c r="D171">
        <v>370837</v>
      </c>
      <c r="E171">
        <v>300837</v>
      </c>
      <c r="F171" t="s">
        <v>384</v>
      </c>
      <c r="G171">
        <v>0.0012734856</v>
      </c>
      <c r="H171" s="4">
        <v>45013</v>
      </c>
      <c r="I171" t="s">
        <v>55</v>
      </c>
      <c r="J171" s="4">
        <v>44911</v>
      </c>
      <c r="K171" s="4">
        <v>44971</v>
      </c>
      <c r="L171">
        <v>83</v>
      </c>
      <c r="M171">
        <v>23</v>
      </c>
      <c r="N171">
        <v>40.99</v>
      </c>
      <c r="O171">
        <v>40.5</v>
      </c>
      <c r="P171">
        <v>45.9</v>
      </c>
      <c r="Q171">
        <v>44.89</v>
      </c>
      <c r="R171">
        <v>47.6</v>
      </c>
      <c r="S171">
        <v>48.28</v>
      </c>
      <c r="T171" s="2">
        <f t="shared" si="18"/>
        <v>3.39</v>
      </c>
      <c r="U171" s="3">
        <f t="shared" si="19"/>
        <v>0.0755179327244375</v>
      </c>
      <c r="V171">
        <v>47.15</v>
      </c>
      <c r="W171">
        <v>46.9</v>
      </c>
      <c r="X171" s="2">
        <f t="shared" si="20"/>
        <v>2.01</v>
      </c>
      <c r="Y171" s="3">
        <f t="shared" si="21"/>
        <v>0.044776119402985</v>
      </c>
      <c r="Z171" s="2">
        <f t="shared" si="22"/>
        <v>-1.38</v>
      </c>
      <c r="AA171" s="3">
        <f t="shared" si="23"/>
        <v>-0.0285832642916322</v>
      </c>
      <c r="AB171">
        <v>42.83</v>
      </c>
      <c r="AC171">
        <v>44.85</v>
      </c>
      <c r="AD171">
        <v>13.02</v>
      </c>
      <c r="AE171">
        <v>13.34</v>
      </c>
      <c r="AF171">
        <v>13.85</v>
      </c>
      <c r="AG171">
        <v>13.96</v>
      </c>
      <c r="AH171">
        <v>13.54</v>
      </c>
      <c r="AI171">
        <v>13.2</v>
      </c>
      <c r="AJ171" s="2">
        <f t="shared" si="24"/>
        <v>-0.760000000000002</v>
      </c>
      <c r="AK171" s="3">
        <f t="shared" si="25"/>
        <v>-0.0544412607449858</v>
      </c>
      <c r="AL171">
        <v>12.66</v>
      </c>
      <c r="AM171">
        <v>12.64</v>
      </c>
      <c r="AN171" s="3">
        <f t="shared" si="26"/>
        <v>0.0992173801479708</v>
      </c>
    </row>
    <row r="172" spans="1:40">
      <c r="A172">
        <v>118032</v>
      </c>
      <c r="B172" t="s">
        <v>385</v>
      </c>
      <c r="C172" s="4">
        <v>44993</v>
      </c>
      <c r="D172">
        <v>718357</v>
      </c>
      <c r="E172">
        <v>688357</v>
      </c>
      <c r="F172" t="s">
        <v>386</v>
      </c>
      <c r="G172">
        <v>0.00231615</v>
      </c>
      <c r="H172" s="4">
        <v>45023</v>
      </c>
      <c r="I172" t="s">
        <v>55</v>
      </c>
      <c r="J172" s="4">
        <v>44881</v>
      </c>
      <c r="K172" s="4">
        <v>44972</v>
      </c>
      <c r="L172">
        <v>112</v>
      </c>
      <c r="M172">
        <v>21</v>
      </c>
      <c r="N172">
        <v>72.35</v>
      </c>
      <c r="O172">
        <v>67.05</v>
      </c>
      <c r="P172">
        <v>68.43</v>
      </c>
      <c r="Q172">
        <v>67.07</v>
      </c>
      <c r="R172">
        <v>71.89</v>
      </c>
      <c r="S172">
        <v>71.8</v>
      </c>
      <c r="T172" s="2">
        <f t="shared" si="18"/>
        <v>4.73</v>
      </c>
      <c r="U172" s="3">
        <f t="shared" si="19"/>
        <v>0.0705233338303266</v>
      </c>
      <c r="V172">
        <v>69.91</v>
      </c>
      <c r="W172">
        <v>68.61</v>
      </c>
      <c r="X172" s="2">
        <f t="shared" si="20"/>
        <v>1.54000000000001</v>
      </c>
      <c r="Y172" s="3">
        <f t="shared" si="21"/>
        <v>0.0229610854331297</v>
      </c>
      <c r="Z172" s="2">
        <f t="shared" si="22"/>
        <v>-3.19</v>
      </c>
      <c r="AA172" s="3">
        <f t="shared" si="23"/>
        <v>-0.0444289693593314</v>
      </c>
      <c r="AB172">
        <v>55.74</v>
      </c>
      <c r="AC172">
        <v>56.45</v>
      </c>
      <c r="AD172">
        <v>11.97</v>
      </c>
      <c r="AE172">
        <v>11.82</v>
      </c>
      <c r="AF172">
        <v>13.95</v>
      </c>
      <c r="AG172">
        <v>13.67</v>
      </c>
      <c r="AH172">
        <v>13.63</v>
      </c>
      <c r="AI172">
        <v>13.53</v>
      </c>
      <c r="AJ172" s="2">
        <f t="shared" si="24"/>
        <v>-0.140000000000001</v>
      </c>
      <c r="AK172" s="3">
        <f t="shared" si="25"/>
        <v>-0.0102414045354792</v>
      </c>
      <c r="AL172">
        <v>12.57</v>
      </c>
      <c r="AM172">
        <v>12.62</v>
      </c>
      <c r="AN172" s="3">
        <f t="shared" si="26"/>
        <v>0.0332024899686089</v>
      </c>
    </row>
    <row r="173" spans="1:40">
      <c r="A173">
        <v>123179</v>
      </c>
      <c r="B173" t="s">
        <v>387</v>
      </c>
      <c r="C173" s="4">
        <v>44992</v>
      </c>
      <c r="D173">
        <v>370973</v>
      </c>
      <c r="E173">
        <v>300973</v>
      </c>
      <c r="F173" t="s">
        <v>388</v>
      </c>
      <c r="G173">
        <v>0.0019133484</v>
      </c>
      <c r="H173" s="4">
        <v>45012</v>
      </c>
      <c r="I173" t="s">
        <v>55</v>
      </c>
      <c r="J173" s="4">
        <v>44875</v>
      </c>
      <c r="K173" s="4">
        <v>44945</v>
      </c>
      <c r="L173">
        <v>117</v>
      </c>
      <c r="M173">
        <v>47</v>
      </c>
      <c r="N173">
        <v>85.82</v>
      </c>
      <c r="O173">
        <v>86.91</v>
      </c>
      <c r="P173">
        <v>91.63</v>
      </c>
      <c r="Q173">
        <v>90.41</v>
      </c>
      <c r="R173">
        <v>94.89</v>
      </c>
      <c r="S173">
        <v>98.82</v>
      </c>
      <c r="T173" s="2">
        <f t="shared" si="18"/>
        <v>8.41</v>
      </c>
      <c r="U173" s="3">
        <f t="shared" si="19"/>
        <v>0.0930206835527043</v>
      </c>
      <c r="V173">
        <v>98</v>
      </c>
      <c r="W173">
        <v>98.15</v>
      </c>
      <c r="X173" s="2">
        <f t="shared" si="20"/>
        <v>7.74000000000001</v>
      </c>
      <c r="Y173" s="3">
        <f t="shared" si="21"/>
        <v>0.0856099988939278</v>
      </c>
      <c r="Z173" s="2">
        <f t="shared" si="22"/>
        <v>-0.669999999999987</v>
      </c>
      <c r="AA173" s="3">
        <f t="shared" si="23"/>
        <v>-0.00678000404776348</v>
      </c>
      <c r="AB173">
        <v>99.53</v>
      </c>
      <c r="AC173">
        <v>98.19</v>
      </c>
      <c r="AD173">
        <v>10.79</v>
      </c>
      <c r="AE173">
        <v>10.87</v>
      </c>
      <c r="AF173">
        <v>15.13</v>
      </c>
      <c r="AG173">
        <v>15.09</v>
      </c>
      <c r="AH173">
        <v>13.85</v>
      </c>
      <c r="AI173">
        <v>13.69</v>
      </c>
      <c r="AJ173" s="2">
        <f t="shared" si="24"/>
        <v>-1.4</v>
      </c>
      <c r="AK173" s="3">
        <f t="shared" si="25"/>
        <v>-0.0927766732935719</v>
      </c>
      <c r="AL173">
        <v>12.8</v>
      </c>
      <c r="AM173">
        <v>12.6</v>
      </c>
      <c r="AN173" s="3">
        <f t="shared" si="26"/>
        <v>0.1783866721875</v>
      </c>
    </row>
    <row r="174" spans="1:40">
      <c r="A174">
        <v>123178</v>
      </c>
      <c r="B174" t="s">
        <v>389</v>
      </c>
      <c r="C174" s="4">
        <v>44991</v>
      </c>
      <c r="D174">
        <v>370401</v>
      </c>
      <c r="E174">
        <v>300401</v>
      </c>
      <c r="F174" t="s">
        <v>390</v>
      </c>
      <c r="G174">
        <v>0.0041808277</v>
      </c>
      <c r="H174" s="4">
        <v>45008</v>
      </c>
      <c r="I174" t="s">
        <v>55</v>
      </c>
      <c r="J174" s="4">
        <v>44881</v>
      </c>
      <c r="K174" s="4">
        <v>44971</v>
      </c>
      <c r="L174">
        <v>110</v>
      </c>
      <c r="M174">
        <v>20</v>
      </c>
      <c r="N174">
        <v>16.19</v>
      </c>
      <c r="O174">
        <v>16.19</v>
      </c>
      <c r="P174">
        <v>15.21</v>
      </c>
      <c r="Q174">
        <v>15.57</v>
      </c>
      <c r="R174">
        <v>14.88</v>
      </c>
      <c r="S174">
        <v>14.48</v>
      </c>
      <c r="T174" s="2">
        <f t="shared" si="18"/>
        <v>-1.09</v>
      </c>
      <c r="U174" s="3">
        <f t="shared" si="19"/>
        <v>-0.0700064226075787</v>
      </c>
      <c r="V174">
        <v>14.06</v>
      </c>
      <c r="W174">
        <v>14.3</v>
      </c>
      <c r="X174" s="2">
        <f t="shared" si="20"/>
        <v>-1.27</v>
      </c>
      <c r="Y174" s="3">
        <f t="shared" si="21"/>
        <v>-0.0815671162491971</v>
      </c>
      <c r="Z174" s="2">
        <f t="shared" si="22"/>
        <v>-0.18</v>
      </c>
      <c r="AA174" s="3">
        <f t="shared" si="23"/>
        <v>-0.0124309392265193</v>
      </c>
      <c r="AB174">
        <v>13.98</v>
      </c>
      <c r="AC174">
        <v>13.99</v>
      </c>
      <c r="AD174">
        <v>11.97</v>
      </c>
      <c r="AE174">
        <v>11.82</v>
      </c>
      <c r="AF174">
        <v>13.85</v>
      </c>
      <c r="AG174">
        <v>13.96</v>
      </c>
      <c r="AH174">
        <v>14.3</v>
      </c>
      <c r="AI174">
        <v>13.85</v>
      </c>
      <c r="AJ174" s="2">
        <f t="shared" si="24"/>
        <v>-0.110000000000001</v>
      </c>
      <c r="AK174" s="3">
        <f t="shared" si="25"/>
        <v>-0.00787965616045854</v>
      </c>
      <c r="AL174">
        <v>12.7</v>
      </c>
      <c r="AM174">
        <v>12.9</v>
      </c>
      <c r="AN174" s="3">
        <f t="shared" si="26"/>
        <v>-0.0736874600887386</v>
      </c>
    </row>
    <row r="175" spans="1:40">
      <c r="A175">
        <v>123177</v>
      </c>
      <c r="B175" t="s">
        <v>391</v>
      </c>
      <c r="C175" s="4">
        <v>44987</v>
      </c>
      <c r="D175">
        <v>370826</v>
      </c>
      <c r="E175">
        <v>300826</v>
      </c>
      <c r="F175" t="s">
        <v>392</v>
      </c>
      <c r="G175">
        <v>0.0007691134</v>
      </c>
      <c r="H175" s="4">
        <v>45009</v>
      </c>
      <c r="I175" t="s">
        <v>50</v>
      </c>
      <c r="J175" s="4">
        <v>44890</v>
      </c>
      <c r="K175" s="4">
        <v>44971</v>
      </c>
      <c r="L175">
        <v>97</v>
      </c>
      <c r="M175">
        <v>16</v>
      </c>
      <c r="N175">
        <v>12.15</v>
      </c>
      <c r="O175">
        <v>12.18</v>
      </c>
      <c r="P175">
        <v>12.9</v>
      </c>
      <c r="Q175">
        <v>13.22</v>
      </c>
      <c r="R175">
        <v>13.72</v>
      </c>
      <c r="S175">
        <v>14.06</v>
      </c>
      <c r="T175" s="2">
        <f t="shared" si="18"/>
        <v>0.84</v>
      </c>
      <c r="U175" s="3">
        <f t="shared" si="19"/>
        <v>0.0635400907715582</v>
      </c>
      <c r="V175">
        <v>13.52</v>
      </c>
      <c r="W175">
        <v>13.61</v>
      </c>
      <c r="X175" s="2">
        <f t="shared" si="20"/>
        <v>0.389999999999999</v>
      </c>
      <c r="Y175" s="3">
        <f t="shared" si="21"/>
        <v>0.0295007564296519</v>
      </c>
      <c r="Z175" s="2">
        <f t="shared" si="22"/>
        <v>-0.450000000000001</v>
      </c>
      <c r="AA175" s="3">
        <f t="shared" si="23"/>
        <v>-0.0320056899004268</v>
      </c>
      <c r="AB175">
        <v>14.32</v>
      </c>
      <c r="AC175">
        <v>14.38</v>
      </c>
      <c r="AD175">
        <v>11.79</v>
      </c>
      <c r="AE175">
        <v>12.17</v>
      </c>
      <c r="AF175">
        <v>13.85</v>
      </c>
      <c r="AG175">
        <v>13.96</v>
      </c>
      <c r="AH175">
        <v>14.13</v>
      </c>
      <c r="AI175">
        <v>14.24</v>
      </c>
      <c r="AJ175" s="2">
        <f t="shared" si="24"/>
        <v>0.279999999999999</v>
      </c>
      <c r="AK175" s="3">
        <f t="shared" si="25"/>
        <v>0.0200573065902578</v>
      </c>
      <c r="AL175">
        <v>12.85</v>
      </c>
      <c r="AM175">
        <v>12.82</v>
      </c>
      <c r="AN175" s="3">
        <f t="shared" si="26"/>
        <v>0.00944344983939412</v>
      </c>
    </row>
    <row r="176" spans="1:40">
      <c r="A176">
        <v>123176</v>
      </c>
      <c r="B176" t="s">
        <v>393</v>
      </c>
      <c r="C176" s="4">
        <v>44987</v>
      </c>
      <c r="D176">
        <v>370567</v>
      </c>
      <c r="E176">
        <v>300567</v>
      </c>
      <c r="F176" t="s">
        <v>394</v>
      </c>
      <c r="G176">
        <v>0.0043882511</v>
      </c>
      <c r="H176" s="4">
        <v>45007</v>
      </c>
      <c r="I176" t="s">
        <v>55</v>
      </c>
      <c r="J176" s="4">
        <v>44863</v>
      </c>
      <c r="K176" s="4">
        <v>44965</v>
      </c>
      <c r="L176">
        <v>124</v>
      </c>
      <c r="M176">
        <v>22</v>
      </c>
      <c r="N176">
        <v>51.5</v>
      </c>
      <c r="O176">
        <v>50.7</v>
      </c>
      <c r="P176">
        <v>60.8</v>
      </c>
      <c r="Q176">
        <v>60.46</v>
      </c>
      <c r="R176">
        <v>62.73</v>
      </c>
      <c r="S176">
        <v>62.73</v>
      </c>
      <c r="T176" s="2">
        <f t="shared" si="18"/>
        <v>2.27</v>
      </c>
      <c r="U176" s="3">
        <f t="shared" si="19"/>
        <v>0.0375454846179291</v>
      </c>
      <c r="V176">
        <v>61.89</v>
      </c>
      <c r="W176">
        <v>62.38</v>
      </c>
      <c r="X176" s="2">
        <f t="shared" si="20"/>
        <v>1.92</v>
      </c>
      <c r="Y176" s="3">
        <f t="shared" si="21"/>
        <v>0.0317565332451208</v>
      </c>
      <c r="Z176" s="2">
        <f t="shared" si="22"/>
        <v>-0.349999999999994</v>
      </c>
      <c r="AA176" s="3">
        <f t="shared" si="23"/>
        <v>-0.00557946755938139</v>
      </c>
      <c r="AB176">
        <v>67.26</v>
      </c>
      <c r="AC176">
        <v>64.68</v>
      </c>
      <c r="AD176">
        <v>10.33</v>
      </c>
      <c r="AE176">
        <v>10.34</v>
      </c>
      <c r="AF176">
        <v>14.24</v>
      </c>
      <c r="AG176">
        <v>14.04</v>
      </c>
      <c r="AH176">
        <v>14.13</v>
      </c>
      <c r="AI176">
        <v>14.24</v>
      </c>
      <c r="AJ176" s="2">
        <f t="shared" si="24"/>
        <v>0.200000000000001</v>
      </c>
      <c r="AK176" s="3">
        <f t="shared" si="25"/>
        <v>0.0142450142450143</v>
      </c>
      <c r="AL176">
        <v>12.75</v>
      </c>
      <c r="AM176">
        <v>12.79</v>
      </c>
      <c r="AN176" s="3">
        <f t="shared" si="26"/>
        <v>0.0175115190001064</v>
      </c>
    </row>
    <row r="177" spans="1:40">
      <c r="A177">
        <v>123175</v>
      </c>
      <c r="B177" t="s">
        <v>395</v>
      </c>
      <c r="C177" s="4">
        <v>44979</v>
      </c>
      <c r="D177">
        <v>370614</v>
      </c>
      <c r="E177">
        <v>300614</v>
      </c>
      <c r="F177" t="s">
        <v>396</v>
      </c>
      <c r="G177">
        <v>0.0014455717</v>
      </c>
      <c r="H177" s="4">
        <v>45002</v>
      </c>
      <c r="I177" t="s">
        <v>121</v>
      </c>
      <c r="J177" s="4">
        <v>44811</v>
      </c>
      <c r="K177" s="4">
        <v>44876</v>
      </c>
      <c r="L177">
        <v>168</v>
      </c>
      <c r="M177">
        <v>103</v>
      </c>
      <c r="N177">
        <v>25.88</v>
      </c>
      <c r="O177">
        <v>26.58</v>
      </c>
      <c r="P177">
        <v>26.17</v>
      </c>
      <c r="Q177">
        <v>25.68</v>
      </c>
      <c r="R177">
        <v>28.8</v>
      </c>
      <c r="S177">
        <v>29.34</v>
      </c>
      <c r="T177" s="2">
        <f t="shared" si="18"/>
        <v>3.66</v>
      </c>
      <c r="U177" s="3">
        <f t="shared" si="19"/>
        <v>0.142523364485981</v>
      </c>
      <c r="V177">
        <v>28.37</v>
      </c>
      <c r="W177">
        <v>29.46</v>
      </c>
      <c r="X177" s="2">
        <f t="shared" si="20"/>
        <v>3.78</v>
      </c>
      <c r="Y177" s="3">
        <f t="shared" si="21"/>
        <v>0.147196261682243</v>
      </c>
      <c r="Z177" s="2">
        <f t="shared" si="22"/>
        <v>0.120000000000001</v>
      </c>
      <c r="AA177" s="3">
        <f t="shared" si="23"/>
        <v>0.00408997955010228</v>
      </c>
      <c r="AB177">
        <v>26.51</v>
      </c>
      <c r="AC177">
        <v>26.64</v>
      </c>
      <c r="AD177">
        <v>12.42</v>
      </c>
      <c r="AE177">
        <v>12.33</v>
      </c>
      <c r="AF177">
        <v>11.13</v>
      </c>
      <c r="AG177">
        <v>11.43</v>
      </c>
      <c r="AH177">
        <v>14</v>
      </c>
      <c r="AI177">
        <v>14.02</v>
      </c>
      <c r="AJ177" s="2">
        <f t="shared" si="24"/>
        <v>2.59</v>
      </c>
      <c r="AK177" s="3">
        <f t="shared" si="25"/>
        <v>0.226596675415573</v>
      </c>
      <c r="AL177">
        <v>12.99</v>
      </c>
      <c r="AM177">
        <v>12.75</v>
      </c>
      <c r="AN177" s="3">
        <f t="shared" si="26"/>
        <v>-0.07940041373333</v>
      </c>
    </row>
    <row r="178" spans="1:40">
      <c r="A178">
        <v>123174</v>
      </c>
      <c r="B178" t="s">
        <v>397</v>
      </c>
      <c r="C178" s="4">
        <v>44972</v>
      </c>
      <c r="D178">
        <v>370258</v>
      </c>
      <c r="E178">
        <v>300258</v>
      </c>
      <c r="F178" t="s">
        <v>398</v>
      </c>
      <c r="G178">
        <v>0.0014511423</v>
      </c>
      <c r="H178" s="4">
        <v>44992</v>
      </c>
      <c r="I178" t="s">
        <v>55</v>
      </c>
      <c r="J178" s="4">
        <v>44882</v>
      </c>
      <c r="K178" s="4">
        <v>44944</v>
      </c>
      <c r="L178">
        <v>90</v>
      </c>
      <c r="M178">
        <v>28</v>
      </c>
      <c r="N178">
        <v>12.44</v>
      </c>
      <c r="O178">
        <v>12.47</v>
      </c>
      <c r="P178">
        <v>11.82</v>
      </c>
      <c r="Q178">
        <v>11.82</v>
      </c>
      <c r="R178">
        <v>12.92</v>
      </c>
      <c r="S178">
        <v>12.73</v>
      </c>
      <c r="T178" s="2">
        <f t="shared" si="18"/>
        <v>0.91</v>
      </c>
      <c r="U178" s="3">
        <f t="shared" si="19"/>
        <v>0.0769881556683587</v>
      </c>
      <c r="V178">
        <v>12.32</v>
      </c>
      <c r="W178">
        <v>12.32</v>
      </c>
      <c r="X178" s="2">
        <f t="shared" si="20"/>
        <v>0.5</v>
      </c>
      <c r="Y178" s="3">
        <f t="shared" si="21"/>
        <v>0.0423011844331641</v>
      </c>
      <c r="Z178" s="2">
        <f t="shared" si="22"/>
        <v>-0.41</v>
      </c>
      <c r="AA178" s="3">
        <f t="shared" si="23"/>
        <v>-0.0322073841319717</v>
      </c>
      <c r="AB178">
        <v>11.38</v>
      </c>
      <c r="AC178">
        <v>11.06</v>
      </c>
      <c r="AD178">
        <v>11.81</v>
      </c>
      <c r="AE178">
        <v>11.69</v>
      </c>
      <c r="AF178">
        <v>14.95</v>
      </c>
      <c r="AG178">
        <v>15.11</v>
      </c>
      <c r="AH178">
        <v>13.95</v>
      </c>
      <c r="AI178">
        <v>13.67</v>
      </c>
      <c r="AJ178" s="2">
        <f t="shared" si="24"/>
        <v>-1.44</v>
      </c>
      <c r="AK178" s="3">
        <f t="shared" si="25"/>
        <v>-0.0953011250827266</v>
      </c>
      <c r="AL178">
        <v>13.85</v>
      </c>
      <c r="AM178">
        <v>13.69</v>
      </c>
      <c r="AN178" s="3">
        <f t="shared" si="26"/>
        <v>0.137602309515891</v>
      </c>
    </row>
    <row r="179" spans="1:40">
      <c r="A179">
        <v>118031</v>
      </c>
      <c r="B179" t="s">
        <v>399</v>
      </c>
      <c r="C179" s="4">
        <v>44970</v>
      </c>
      <c r="D179">
        <v>718599</v>
      </c>
      <c r="E179">
        <v>688599</v>
      </c>
      <c r="F179" t="s">
        <v>400</v>
      </c>
      <c r="G179">
        <v>0.02789406</v>
      </c>
      <c r="H179" s="4">
        <v>45000</v>
      </c>
      <c r="I179" t="s">
        <v>40</v>
      </c>
      <c r="J179" s="4">
        <v>44881</v>
      </c>
      <c r="K179" s="4">
        <v>44961</v>
      </c>
      <c r="L179">
        <v>89</v>
      </c>
      <c r="M179">
        <v>9</v>
      </c>
      <c r="N179">
        <v>64.99</v>
      </c>
      <c r="O179">
        <v>65.07</v>
      </c>
      <c r="P179">
        <v>65.56</v>
      </c>
      <c r="Q179">
        <v>64.78</v>
      </c>
      <c r="R179">
        <v>65.32</v>
      </c>
      <c r="S179">
        <v>64.77</v>
      </c>
      <c r="T179" s="2">
        <f t="shared" si="18"/>
        <v>-0.0100000000000051</v>
      </c>
      <c r="U179" s="3">
        <f t="shared" si="19"/>
        <v>-0.000154368632293997</v>
      </c>
      <c r="V179">
        <v>63.88</v>
      </c>
      <c r="W179">
        <v>63.15</v>
      </c>
      <c r="X179" s="2">
        <f t="shared" si="20"/>
        <v>-1.63</v>
      </c>
      <c r="Y179" s="3">
        <f t="shared" si="21"/>
        <v>-0.0251620870639087</v>
      </c>
      <c r="Z179" s="2">
        <f t="shared" si="22"/>
        <v>-1.62</v>
      </c>
      <c r="AA179" s="3">
        <f t="shared" si="23"/>
        <v>-0.0250115794349235</v>
      </c>
      <c r="AB179">
        <v>56.04</v>
      </c>
      <c r="AC179">
        <v>55.85</v>
      </c>
      <c r="AD179">
        <v>11.97</v>
      </c>
      <c r="AE179">
        <v>11.82</v>
      </c>
      <c r="AF179">
        <v>14.1</v>
      </c>
      <c r="AG179">
        <v>14</v>
      </c>
      <c r="AH179">
        <v>13.94</v>
      </c>
      <c r="AI179">
        <v>13.82</v>
      </c>
      <c r="AJ179" s="2">
        <f t="shared" si="24"/>
        <v>-0.18</v>
      </c>
      <c r="AK179" s="3">
        <f t="shared" si="25"/>
        <v>-0.0128571428571428</v>
      </c>
      <c r="AL179">
        <v>13.05</v>
      </c>
      <c r="AM179">
        <v>13.05</v>
      </c>
      <c r="AN179" s="3">
        <f t="shared" si="26"/>
        <v>-0.0123049442067658</v>
      </c>
    </row>
    <row r="180" spans="1:40">
      <c r="A180">
        <v>118030</v>
      </c>
      <c r="B180" t="s">
        <v>401</v>
      </c>
      <c r="C180" s="4">
        <v>44925</v>
      </c>
      <c r="D180">
        <v>718002</v>
      </c>
      <c r="E180">
        <v>688002</v>
      </c>
      <c r="F180" t="s">
        <v>402</v>
      </c>
      <c r="G180">
        <v>0.00512519</v>
      </c>
      <c r="H180" s="4">
        <v>44967</v>
      </c>
      <c r="I180" t="s">
        <v>40</v>
      </c>
      <c r="J180" s="4">
        <v>44834</v>
      </c>
      <c r="K180" s="4">
        <v>44880</v>
      </c>
      <c r="L180">
        <v>91</v>
      </c>
      <c r="M180">
        <v>45</v>
      </c>
      <c r="N180">
        <v>38.07</v>
      </c>
      <c r="O180">
        <v>37.66</v>
      </c>
      <c r="P180">
        <v>43.52</v>
      </c>
      <c r="Q180">
        <v>44.18</v>
      </c>
      <c r="R180">
        <v>37.45</v>
      </c>
      <c r="S180">
        <v>38.17</v>
      </c>
      <c r="T180" s="2">
        <f t="shared" si="18"/>
        <v>-6.01</v>
      </c>
      <c r="U180" s="3">
        <f t="shared" si="19"/>
        <v>-0.136034404708013</v>
      </c>
      <c r="V180">
        <v>37.65</v>
      </c>
      <c r="W180">
        <v>36.83</v>
      </c>
      <c r="X180" s="2">
        <f t="shared" si="20"/>
        <v>-7.35</v>
      </c>
      <c r="Y180" s="3">
        <f t="shared" si="21"/>
        <v>-0.166364870982345</v>
      </c>
      <c r="Z180" s="2">
        <f t="shared" si="22"/>
        <v>-1.34</v>
      </c>
      <c r="AA180" s="3">
        <f t="shared" si="23"/>
        <v>-0.0351061042703695</v>
      </c>
      <c r="AB180">
        <v>46.99</v>
      </c>
      <c r="AC180">
        <v>47.69</v>
      </c>
      <c r="AD180">
        <v>11.87</v>
      </c>
      <c r="AE180">
        <v>11.84</v>
      </c>
      <c r="AF180">
        <v>11.86</v>
      </c>
      <c r="AG180">
        <v>12.01</v>
      </c>
      <c r="AH180">
        <v>13.04</v>
      </c>
      <c r="AI180">
        <v>13.16</v>
      </c>
      <c r="AJ180" s="2">
        <f t="shared" si="24"/>
        <v>1.15</v>
      </c>
      <c r="AK180" s="3">
        <f t="shared" si="25"/>
        <v>0.0957535387177352</v>
      </c>
      <c r="AL180">
        <v>14.1</v>
      </c>
      <c r="AM180">
        <v>13.98</v>
      </c>
      <c r="AN180" s="3">
        <f t="shared" si="26"/>
        <v>-0.26211840970008</v>
      </c>
    </row>
    <row r="181" spans="1:40">
      <c r="A181">
        <v>123173</v>
      </c>
      <c r="B181" t="s">
        <v>403</v>
      </c>
      <c r="C181" s="4">
        <v>44925</v>
      </c>
      <c r="D181">
        <v>370605</v>
      </c>
      <c r="E181">
        <v>300605</v>
      </c>
      <c r="F181" t="s">
        <v>404</v>
      </c>
      <c r="G181">
        <v>0.0007199338</v>
      </c>
      <c r="H181" s="4">
        <v>44965</v>
      </c>
      <c r="I181" t="s">
        <v>298</v>
      </c>
      <c r="J181" s="4">
        <v>44806</v>
      </c>
      <c r="K181" s="4">
        <v>44852</v>
      </c>
      <c r="L181">
        <v>119</v>
      </c>
      <c r="M181">
        <v>73</v>
      </c>
      <c r="N181">
        <v>12.14</v>
      </c>
      <c r="O181">
        <v>12.48</v>
      </c>
      <c r="P181">
        <v>12.28</v>
      </c>
      <c r="Q181">
        <v>12.34</v>
      </c>
      <c r="R181">
        <v>13.92</v>
      </c>
      <c r="S181">
        <v>13.76</v>
      </c>
      <c r="T181" s="2">
        <f t="shared" si="18"/>
        <v>1.42</v>
      </c>
      <c r="U181" s="3">
        <f t="shared" si="19"/>
        <v>0.115072933549433</v>
      </c>
      <c r="V181">
        <v>13.47</v>
      </c>
      <c r="W181">
        <v>13.67</v>
      </c>
      <c r="X181" s="2">
        <f t="shared" si="20"/>
        <v>1.33</v>
      </c>
      <c r="Y181" s="3">
        <f t="shared" si="21"/>
        <v>0.107779578606159</v>
      </c>
      <c r="Z181" s="2">
        <f t="shared" si="22"/>
        <v>-0.0899999999999999</v>
      </c>
      <c r="AA181" s="3">
        <f t="shared" si="23"/>
        <v>-0.00654069767441859</v>
      </c>
      <c r="AB181">
        <v>15.3</v>
      </c>
      <c r="AC181">
        <v>15.03</v>
      </c>
      <c r="AD181">
        <v>12.62</v>
      </c>
      <c r="AE181">
        <v>12.51</v>
      </c>
      <c r="AF181">
        <v>11.55</v>
      </c>
      <c r="AG181">
        <v>11.48</v>
      </c>
      <c r="AH181">
        <v>13.04</v>
      </c>
      <c r="AI181">
        <v>13.16</v>
      </c>
      <c r="AJ181" s="2">
        <f t="shared" si="24"/>
        <v>1.68</v>
      </c>
      <c r="AK181" s="3">
        <f t="shared" si="25"/>
        <v>0.146341463414634</v>
      </c>
      <c r="AL181">
        <v>14.24</v>
      </c>
      <c r="AM181">
        <v>14.04</v>
      </c>
      <c r="AN181" s="3">
        <f t="shared" si="26"/>
        <v>-0.0385618848084753</v>
      </c>
    </row>
    <row r="182" spans="1:40">
      <c r="A182">
        <v>118029</v>
      </c>
      <c r="B182" t="s">
        <v>405</v>
      </c>
      <c r="C182" s="4">
        <v>44910</v>
      </c>
      <c r="D182">
        <v>718350</v>
      </c>
      <c r="E182">
        <v>688350</v>
      </c>
      <c r="F182" t="s">
        <v>406</v>
      </c>
      <c r="G182">
        <v>0.00078808</v>
      </c>
      <c r="H182" s="4">
        <v>44935</v>
      </c>
      <c r="I182" t="s">
        <v>121</v>
      </c>
      <c r="J182" s="4">
        <v>44826</v>
      </c>
      <c r="K182" s="4">
        <v>44880</v>
      </c>
      <c r="L182">
        <v>84</v>
      </c>
      <c r="M182">
        <v>30</v>
      </c>
      <c r="N182">
        <v>17.81</v>
      </c>
      <c r="O182">
        <v>17.93</v>
      </c>
      <c r="P182">
        <v>18.59</v>
      </c>
      <c r="Q182">
        <v>18.69</v>
      </c>
      <c r="R182">
        <v>20.06</v>
      </c>
      <c r="S182">
        <v>20.02</v>
      </c>
      <c r="T182" s="2">
        <f t="shared" si="18"/>
        <v>1.33</v>
      </c>
      <c r="U182" s="3">
        <f t="shared" si="19"/>
        <v>0.0711610486891385</v>
      </c>
      <c r="V182">
        <v>19.78</v>
      </c>
      <c r="W182">
        <v>19.4</v>
      </c>
      <c r="X182" s="2">
        <f t="shared" si="20"/>
        <v>0.709999999999997</v>
      </c>
      <c r="Y182" s="3">
        <f t="shared" si="21"/>
        <v>0.0379882289994648</v>
      </c>
      <c r="Z182" s="2">
        <f t="shared" si="22"/>
        <v>-0.620000000000001</v>
      </c>
      <c r="AA182" s="3">
        <f t="shared" si="23"/>
        <v>-0.030969030969031</v>
      </c>
      <c r="AB182">
        <v>17.5</v>
      </c>
      <c r="AC182">
        <v>18.16</v>
      </c>
      <c r="AD182">
        <v>12.33</v>
      </c>
      <c r="AE182">
        <v>12.29</v>
      </c>
      <c r="AF182">
        <v>11.86</v>
      </c>
      <c r="AG182">
        <v>12.01</v>
      </c>
      <c r="AH182">
        <v>13.14</v>
      </c>
      <c r="AI182">
        <v>13.1</v>
      </c>
      <c r="AJ182" s="2">
        <f t="shared" si="24"/>
        <v>1.09</v>
      </c>
      <c r="AK182" s="3">
        <f t="shared" si="25"/>
        <v>0.0907577019150708</v>
      </c>
      <c r="AL182">
        <v>14.75</v>
      </c>
      <c r="AM182">
        <v>14.8</v>
      </c>
      <c r="AN182" s="3">
        <f t="shared" si="26"/>
        <v>-0.052769472915606</v>
      </c>
    </row>
    <row r="183" spans="1:40">
      <c r="A183">
        <v>123172</v>
      </c>
      <c r="B183" t="s">
        <v>407</v>
      </c>
      <c r="C183" s="4">
        <v>44910</v>
      </c>
      <c r="D183">
        <v>371017</v>
      </c>
      <c r="E183">
        <v>301017</v>
      </c>
      <c r="F183" t="s">
        <v>408</v>
      </c>
      <c r="G183">
        <v>0.001298266</v>
      </c>
      <c r="H183" s="4">
        <v>44932</v>
      </c>
      <c r="I183" t="s">
        <v>55</v>
      </c>
      <c r="J183" s="4">
        <v>44792</v>
      </c>
      <c r="K183" s="4">
        <v>44886</v>
      </c>
      <c r="L183">
        <v>118</v>
      </c>
      <c r="M183">
        <v>24</v>
      </c>
      <c r="N183">
        <v>16.98</v>
      </c>
      <c r="O183">
        <v>16.81</v>
      </c>
      <c r="P183">
        <v>18.89</v>
      </c>
      <c r="Q183">
        <v>18.65</v>
      </c>
      <c r="R183">
        <v>20.84</v>
      </c>
      <c r="S183">
        <v>20.24</v>
      </c>
      <c r="T183" s="2">
        <f t="shared" si="18"/>
        <v>1.59</v>
      </c>
      <c r="U183" s="3">
        <f t="shared" si="19"/>
        <v>0.085254691689008</v>
      </c>
      <c r="V183">
        <v>19.69</v>
      </c>
      <c r="W183">
        <v>20.04</v>
      </c>
      <c r="X183" s="2">
        <f t="shared" si="20"/>
        <v>1.39</v>
      </c>
      <c r="Y183" s="3">
        <f t="shared" si="21"/>
        <v>0.0745308310991957</v>
      </c>
      <c r="Z183" s="2">
        <f t="shared" si="22"/>
        <v>-0.199999999999999</v>
      </c>
      <c r="AA183" s="3">
        <f t="shared" si="23"/>
        <v>-0.00988142292490115</v>
      </c>
      <c r="AB183">
        <v>17.93</v>
      </c>
      <c r="AC183">
        <v>17.62</v>
      </c>
      <c r="AD183">
        <v>12.27</v>
      </c>
      <c r="AE183">
        <v>12.57</v>
      </c>
      <c r="AF183">
        <v>11.48</v>
      </c>
      <c r="AG183">
        <v>11.46</v>
      </c>
      <c r="AH183">
        <v>13.14</v>
      </c>
      <c r="AI183">
        <v>13.1</v>
      </c>
      <c r="AJ183" s="2">
        <f t="shared" si="24"/>
        <v>1.64</v>
      </c>
      <c r="AK183" s="3">
        <f t="shared" si="25"/>
        <v>0.143106457242583</v>
      </c>
      <c r="AL183">
        <v>14.5</v>
      </c>
      <c r="AM183">
        <v>14.62</v>
      </c>
      <c r="AN183" s="3">
        <f t="shared" si="26"/>
        <v>-0.068575626143387</v>
      </c>
    </row>
    <row r="184" spans="1:40">
      <c r="A184">
        <v>118028</v>
      </c>
      <c r="B184" t="s">
        <v>409</v>
      </c>
      <c r="C184" s="4">
        <v>44901</v>
      </c>
      <c r="D184">
        <v>718219</v>
      </c>
      <c r="E184">
        <v>688219</v>
      </c>
      <c r="F184" t="s">
        <v>410</v>
      </c>
      <c r="G184">
        <v>0.00102553</v>
      </c>
      <c r="H184" s="4">
        <v>44930</v>
      </c>
      <c r="I184" t="s">
        <v>55</v>
      </c>
      <c r="J184" s="4">
        <v>44533</v>
      </c>
      <c r="K184" s="5">
        <v>44637</v>
      </c>
      <c r="L184">
        <v>368</v>
      </c>
      <c r="M184">
        <v>264</v>
      </c>
      <c r="N184">
        <v>12.5</v>
      </c>
      <c r="O184">
        <v>12.22</v>
      </c>
      <c r="P184">
        <v>8.92</v>
      </c>
      <c r="Q184">
        <v>9.32</v>
      </c>
      <c r="R184">
        <v>9.21</v>
      </c>
      <c r="S184">
        <v>9.22</v>
      </c>
      <c r="T184" s="2">
        <f t="shared" si="18"/>
        <v>-0.0999999999999996</v>
      </c>
      <c r="U184" s="3">
        <f t="shared" si="19"/>
        <v>-0.0107296137339055</v>
      </c>
      <c r="V184">
        <v>8.78</v>
      </c>
      <c r="W184">
        <v>8.8</v>
      </c>
      <c r="X184" s="2">
        <f t="shared" si="20"/>
        <v>-0.52</v>
      </c>
      <c r="Y184" s="3">
        <f t="shared" si="21"/>
        <v>-0.055793991416309</v>
      </c>
      <c r="Z184" s="2">
        <f t="shared" si="22"/>
        <v>-0.42</v>
      </c>
      <c r="AA184" s="3">
        <f t="shared" si="23"/>
        <v>-0.0455531453362256</v>
      </c>
      <c r="AB184">
        <v>8.36</v>
      </c>
      <c r="AC184">
        <v>8.39</v>
      </c>
      <c r="AD184">
        <v>17.64</v>
      </c>
      <c r="AE184">
        <v>17.65</v>
      </c>
      <c r="AF184">
        <v>14.66</v>
      </c>
      <c r="AG184">
        <v>14.45</v>
      </c>
      <c r="AH184">
        <v>13.34</v>
      </c>
      <c r="AI184">
        <v>13.43</v>
      </c>
      <c r="AJ184" s="2">
        <f t="shared" si="24"/>
        <v>-1.02</v>
      </c>
      <c r="AK184" s="3">
        <f t="shared" si="25"/>
        <v>-0.0705882352941176</v>
      </c>
      <c r="AL184">
        <v>13.71</v>
      </c>
      <c r="AM184">
        <v>14.32</v>
      </c>
      <c r="AN184" s="3">
        <f t="shared" si="26"/>
        <v>0.0147942438778087</v>
      </c>
    </row>
    <row r="185" spans="1:40">
      <c r="A185">
        <v>123171</v>
      </c>
      <c r="B185" t="s">
        <v>411</v>
      </c>
      <c r="C185" s="4">
        <v>44893</v>
      </c>
      <c r="D185">
        <v>370966</v>
      </c>
      <c r="E185">
        <v>300966</v>
      </c>
      <c r="F185" t="s">
        <v>412</v>
      </c>
      <c r="G185">
        <v>0.0008545904</v>
      </c>
      <c r="H185" s="4">
        <v>44911</v>
      </c>
      <c r="I185" t="s">
        <v>121</v>
      </c>
      <c r="J185" s="4">
        <v>44820</v>
      </c>
      <c r="K185" s="5">
        <v>44876</v>
      </c>
      <c r="L185">
        <v>73</v>
      </c>
      <c r="M185">
        <v>17</v>
      </c>
      <c r="N185">
        <v>25.23</v>
      </c>
      <c r="O185">
        <v>24.49</v>
      </c>
      <c r="P185">
        <v>27.44</v>
      </c>
      <c r="Q185">
        <v>27.06</v>
      </c>
      <c r="R185">
        <v>27.21</v>
      </c>
      <c r="S185">
        <v>26.9</v>
      </c>
      <c r="T185" s="2">
        <f t="shared" si="18"/>
        <v>-0.16</v>
      </c>
      <c r="U185" s="3">
        <f t="shared" si="19"/>
        <v>-0.00591278640059128</v>
      </c>
      <c r="V185">
        <v>26.28</v>
      </c>
      <c r="W185">
        <v>27.01</v>
      </c>
      <c r="X185" s="2">
        <f t="shared" si="20"/>
        <v>-0.0499999999999972</v>
      </c>
      <c r="Y185" s="3">
        <f t="shared" si="21"/>
        <v>-0.00184774575018467</v>
      </c>
      <c r="Z185" s="2">
        <f t="shared" si="22"/>
        <v>0.110000000000003</v>
      </c>
      <c r="AA185" s="3">
        <f t="shared" si="23"/>
        <v>0.00408921933085513</v>
      </c>
      <c r="AB185">
        <v>32.98</v>
      </c>
      <c r="AC185">
        <v>36.18</v>
      </c>
      <c r="AD185">
        <v>12.92</v>
      </c>
      <c r="AE185">
        <v>12.56</v>
      </c>
      <c r="AF185">
        <v>11.13</v>
      </c>
      <c r="AG185">
        <v>11.43</v>
      </c>
      <c r="AH185">
        <v>11.9</v>
      </c>
      <c r="AI185">
        <v>11.81</v>
      </c>
      <c r="AJ185" s="2">
        <f t="shared" si="24"/>
        <v>0.380000000000001</v>
      </c>
      <c r="AK185" s="3">
        <f t="shared" si="25"/>
        <v>0.0332458442694664</v>
      </c>
      <c r="AL185">
        <v>13.02</v>
      </c>
      <c r="AM185">
        <v>13.34</v>
      </c>
      <c r="AN185" s="3">
        <f t="shared" si="26"/>
        <v>-0.0350935900196511</v>
      </c>
    </row>
    <row r="186" spans="1:40">
      <c r="A186">
        <v>118027</v>
      </c>
      <c r="B186" t="s">
        <v>413</v>
      </c>
      <c r="C186" s="4">
        <v>44893</v>
      </c>
      <c r="D186">
        <v>718066</v>
      </c>
      <c r="E186">
        <v>688066</v>
      </c>
      <c r="F186" t="s">
        <v>414</v>
      </c>
      <c r="G186">
        <v>0.0033846</v>
      </c>
      <c r="H186" s="4">
        <v>44917</v>
      </c>
      <c r="I186" t="s">
        <v>415</v>
      </c>
      <c r="J186" s="4">
        <v>44820</v>
      </c>
      <c r="K186" s="4">
        <v>44880</v>
      </c>
      <c r="L186">
        <v>73</v>
      </c>
      <c r="M186">
        <v>13</v>
      </c>
      <c r="N186">
        <v>54.19</v>
      </c>
      <c r="O186">
        <v>54.79</v>
      </c>
      <c r="P186">
        <v>61.34</v>
      </c>
      <c r="Q186">
        <v>63.13</v>
      </c>
      <c r="R186">
        <v>59.46</v>
      </c>
      <c r="S186">
        <v>57.76</v>
      </c>
      <c r="T186" s="2">
        <f t="shared" si="18"/>
        <v>-5.37</v>
      </c>
      <c r="U186" s="3">
        <f t="shared" si="19"/>
        <v>-0.0850625693014415</v>
      </c>
      <c r="V186">
        <v>56.55</v>
      </c>
      <c r="W186">
        <v>56.78</v>
      </c>
      <c r="X186" s="2">
        <f t="shared" si="20"/>
        <v>-6.35</v>
      </c>
      <c r="Y186" s="3">
        <f t="shared" si="21"/>
        <v>-0.100586092190718</v>
      </c>
      <c r="Z186" s="2">
        <f t="shared" si="22"/>
        <v>-0.979999999999997</v>
      </c>
      <c r="AA186" s="3">
        <f t="shared" si="23"/>
        <v>-0.01696675900277</v>
      </c>
      <c r="AB186">
        <v>54.91</v>
      </c>
      <c r="AC186">
        <v>54.9</v>
      </c>
      <c r="AD186">
        <v>12.92</v>
      </c>
      <c r="AE186">
        <v>12.56</v>
      </c>
      <c r="AF186">
        <v>11.86</v>
      </c>
      <c r="AG186">
        <v>12.01</v>
      </c>
      <c r="AH186">
        <v>11.9</v>
      </c>
      <c r="AI186">
        <v>11.81</v>
      </c>
      <c r="AJ186" s="2">
        <f t="shared" si="24"/>
        <v>-0.199999999999999</v>
      </c>
      <c r="AK186" s="3">
        <f t="shared" si="25"/>
        <v>-0.0166527893422148</v>
      </c>
      <c r="AL186">
        <v>13</v>
      </c>
      <c r="AM186">
        <v>12.95</v>
      </c>
      <c r="AN186" s="3">
        <f t="shared" si="26"/>
        <v>-0.0839333028485028</v>
      </c>
    </row>
    <row r="187" spans="1:40">
      <c r="A187">
        <v>123170</v>
      </c>
      <c r="B187" t="s">
        <v>416</v>
      </c>
      <c r="C187" s="4">
        <v>44889</v>
      </c>
      <c r="D187">
        <v>370346</v>
      </c>
      <c r="E187">
        <v>300346</v>
      </c>
      <c r="F187" t="s">
        <v>417</v>
      </c>
      <c r="G187">
        <v>0.0034265105</v>
      </c>
      <c r="H187" s="4">
        <v>44910</v>
      </c>
      <c r="I187" t="s">
        <v>55</v>
      </c>
      <c r="J187" s="4">
        <v>44762</v>
      </c>
      <c r="K187" s="5">
        <v>44875</v>
      </c>
      <c r="L187">
        <v>127</v>
      </c>
      <c r="M187">
        <v>14</v>
      </c>
      <c r="N187">
        <v>26.58</v>
      </c>
      <c r="O187">
        <v>26.29</v>
      </c>
      <c r="P187">
        <v>27.25</v>
      </c>
      <c r="Q187">
        <v>27.1</v>
      </c>
      <c r="R187">
        <v>28.1</v>
      </c>
      <c r="S187">
        <v>27.41</v>
      </c>
      <c r="T187" s="2">
        <f t="shared" si="18"/>
        <v>0.309999999999999</v>
      </c>
      <c r="U187" s="3">
        <f t="shared" si="19"/>
        <v>0.0114391143911439</v>
      </c>
      <c r="V187">
        <v>27.17</v>
      </c>
      <c r="W187">
        <v>26.85</v>
      </c>
      <c r="X187" s="2">
        <f t="shared" si="20"/>
        <v>-0.25</v>
      </c>
      <c r="Y187" s="3">
        <f t="shared" si="21"/>
        <v>-0.00922509225092251</v>
      </c>
      <c r="Z187" s="2">
        <f t="shared" si="22"/>
        <v>-0.559999999999999</v>
      </c>
      <c r="AA187" s="3">
        <f t="shared" si="23"/>
        <v>-0.0204304998175848</v>
      </c>
      <c r="AB187">
        <v>25.45</v>
      </c>
      <c r="AC187">
        <v>26.63</v>
      </c>
      <c r="AD187">
        <v>13.43</v>
      </c>
      <c r="AE187">
        <v>13.39</v>
      </c>
      <c r="AF187">
        <v>10.79</v>
      </c>
      <c r="AG187">
        <v>10.87</v>
      </c>
      <c r="AH187">
        <v>11.92</v>
      </c>
      <c r="AI187">
        <v>11.77</v>
      </c>
      <c r="AJ187" s="2">
        <f t="shared" si="24"/>
        <v>0.9</v>
      </c>
      <c r="AK187" s="3">
        <f t="shared" si="25"/>
        <v>0.0827966881324747</v>
      </c>
      <c r="AL187">
        <v>13.14</v>
      </c>
      <c r="AM187">
        <v>13.1</v>
      </c>
      <c r="AN187" s="3">
        <f t="shared" si="26"/>
        <v>-0.0920217803833972</v>
      </c>
    </row>
    <row r="188" spans="1:40">
      <c r="A188">
        <v>123168</v>
      </c>
      <c r="B188" t="s">
        <v>418</v>
      </c>
      <c r="C188" s="4">
        <v>44888</v>
      </c>
      <c r="D188">
        <v>370891</v>
      </c>
      <c r="E188">
        <v>300891</v>
      </c>
      <c r="F188" t="s">
        <v>419</v>
      </c>
      <c r="G188">
        <v>0.0017122918</v>
      </c>
      <c r="H188" s="4">
        <v>44909</v>
      </c>
      <c r="I188" t="s">
        <v>55</v>
      </c>
      <c r="J188" s="4">
        <v>44762</v>
      </c>
      <c r="K188" s="5">
        <v>44792</v>
      </c>
      <c r="L188">
        <v>126</v>
      </c>
      <c r="M188">
        <v>96</v>
      </c>
      <c r="N188">
        <v>12.54</v>
      </c>
      <c r="O188">
        <v>13.33</v>
      </c>
      <c r="P188">
        <v>12.84</v>
      </c>
      <c r="Q188">
        <v>12.55</v>
      </c>
      <c r="R188">
        <v>11.01</v>
      </c>
      <c r="S188">
        <v>10.94</v>
      </c>
      <c r="T188" s="2">
        <f t="shared" si="18"/>
        <v>-1.61</v>
      </c>
      <c r="U188" s="3">
        <f t="shared" si="19"/>
        <v>-0.128286852589642</v>
      </c>
      <c r="V188">
        <v>10.65</v>
      </c>
      <c r="W188">
        <v>10.33</v>
      </c>
      <c r="X188" s="2">
        <f t="shared" si="20"/>
        <v>-2.22</v>
      </c>
      <c r="Y188" s="3">
        <f t="shared" si="21"/>
        <v>-0.176892430278885</v>
      </c>
      <c r="Z188" s="2">
        <f t="shared" si="22"/>
        <v>-0.609999999999999</v>
      </c>
      <c r="AA188" s="3">
        <f t="shared" si="23"/>
        <v>-0.0557586837294332</v>
      </c>
      <c r="AB188">
        <v>10.13</v>
      </c>
      <c r="AC188">
        <v>10.07</v>
      </c>
      <c r="AD188">
        <v>13.43</v>
      </c>
      <c r="AE188">
        <v>13.39</v>
      </c>
      <c r="AF188">
        <v>12.27</v>
      </c>
      <c r="AG188">
        <v>12.57</v>
      </c>
      <c r="AH188">
        <v>11.78</v>
      </c>
      <c r="AI188">
        <v>11.82</v>
      </c>
      <c r="AJ188" s="2">
        <f t="shared" si="24"/>
        <v>-0.75</v>
      </c>
      <c r="AK188" s="3">
        <f t="shared" si="25"/>
        <v>-0.0596658711217184</v>
      </c>
      <c r="AL188">
        <v>13.23</v>
      </c>
      <c r="AM188">
        <v>13.23</v>
      </c>
      <c r="AN188" s="3">
        <f t="shared" si="26"/>
        <v>-0.117226559157166</v>
      </c>
    </row>
    <row r="189" spans="1:40">
      <c r="A189">
        <v>123169</v>
      </c>
      <c r="B189" t="s">
        <v>420</v>
      </c>
      <c r="C189" s="4">
        <v>44888</v>
      </c>
      <c r="D189">
        <v>370224</v>
      </c>
      <c r="E189">
        <v>300224</v>
      </c>
      <c r="F189" t="s">
        <v>421</v>
      </c>
      <c r="G189">
        <v>0.0034231574</v>
      </c>
      <c r="H189" s="4">
        <v>44907</v>
      </c>
      <c r="I189" t="s">
        <v>55</v>
      </c>
      <c r="J189" s="4">
        <v>44825</v>
      </c>
      <c r="K189" s="5">
        <v>44876</v>
      </c>
      <c r="L189">
        <v>63</v>
      </c>
      <c r="M189">
        <v>12</v>
      </c>
      <c r="N189">
        <v>12.19</v>
      </c>
      <c r="O189">
        <v>12.43</v>
      </c>
      <c r="P189">
        <v>13.1</v>
      </c>
      <c r="Q189">
        <v>12.8</v>
      </c>
      <c r="R189">
        <v>12.93</v>
      </c>
      <c r="S189">
        <v>12.76</v>
      </c>
      <c r="T189" s="2">
        <f t="shared" si="18"/>
        <v>-0.0400000000000009</v>
      </c>
      <c r="U189" s="3">
        <f t="shared" si="19"/>
        <v>-0.00312500000000007</v>
      </c>
      <c r="V189">
        <v>12.43</v>
      </c>
      <c r="W189">
        <v>12.26</v>
      </c>
      <c r="X189" s="2">
        <f t="shared" si="20"/>
        <v>-0.540000000000001</v>
      </c>
      <c r="Y189" s="3">
        <f t="shared" si="21"/>
        <v>-0.0421875000000001</v>
      </c>
      <c r="Z189" s="2">
        <f t="shared" si="22"/>
        <v>-0.5</v>
      </c>
      <c r="AA189" s="3">
        <f t="shared" si="23"/>
        <v>-0.0391849529780564</v>
      </c>
      <c r="AB189">
        <v>12.23</v>
      </c>
      <c r="AC189">
        <v>12.14</v>
      </c>
      <c r="AD189">
        <v>12.31</v>
      </c>
      <c r="AE189">
        <v>12.43</v>
      </c>
      <c r="AF189">
        <v>11.13</v>
      </c>
      <c r="AG189">
        <v>11.43</v>
      </c>
      <c r="AH189">
        <v>11.78</v>
      </c>
      <c r="AI189">
        <v>11.82</v>
      </c>
      <c r="AJ189" s="2">
        <f t="shared" si="24"/>
        <v>0.390000000000001</v>
      </c>
      <c r="AK189" s="3">
        <f t="shared" si="25"/>
        <v>0.0341207349081365</v>
      </c>
      <c r="AL189">
        <v>13.58</v>
      </c>
      <c r="AM189">
        <v>13.11</v>
      </c>
      <c r="AN189" s="3">
        <f t="shared" si="26"/>
        <v>-0.0763082349081366</v>
      </c>
    </row>
    <row r="190" spans="1:40">
      <c r="A190">
        <v>123167</v>
      </c>
      <c r="B190" t="s">
        <v>422</v>
      </c>
      <c r="C190" s="4">
        <v>44882</v>
      </c>
      <c r="D190">
        <v>370975</v>
      </c>
      <c r="E190">
        <v>300975</v>
      </c>
      <c r="F190" t="s">
        <v>423</v>
      </c>
      <c r="G190">
        <v>0.0006649965</v>
      </c>
      <c r="H190" s="4">
        <v>44904</v>
      </c>
      <c r="I190" t="s">
        <v>50</v>
      </c>
      <c r="J190" s="4">
        <v>44776</v>
      </c>
      <c r="K190" s="5">
        <v>44799</v>
      </c>
      <c r="L190">
        <v>106</v>
      </c>
      <c r="M190">
        <v>83</v>
      </c>
      <c r="N190">
        <v>8.05</v>
      </c>
      <c r="O190">
        <v>8.1</v>
      </c>
      <c r="P190">
        <v>8.11</v>
      </c>
      <c r="Q190">
        <v>8.1</v>
      </c>
      <c r="R190">
        <v>7.42</v>
      </c>
      <c r="S190">
        <v>7.39</v>
      </c>
      <c r="T190" s="2">
        <f t="shared" si="18"/>
        <v>-0.71</v>
      </c>
      <c r="U190" s="3">
        <f t="shared" si="19"/>
        <v>-0.0876543209876543</v>
      </c>
      <c r="V190">
        <v>7.17</v>
      </c>
      <c r="W190">
        <v>7.18</v>
      </c>
      <c r="X190" s="2">
        <f t="shared" si="20"/>
        <v>-0.92</v>
      </c>
      <c r="Y190" s="3">
        <f t="shared" si="21"/>
        <v>-0.11358024691358</v>
      </c>
      <c r="Z190" s="2">
        <f t="shared" si="22"/>
        <v>-0.21</v>
      </c>
      <c r="AA190" s="3">
        <f t="shared" si="23"/>
        <v>-0.0284167794316644</v>
      </c>
      <c r="AB190">
        <v>7</v>
      </c>
      <c r="AC190">
        <v>6.78</v>
      </c>
      <c r="AD190">
        <v>12.19</v>
      </c>
      <c r="AE190">
        <v>12.03</v>
      </c>
      <c r="AF190">
        <v>12.68</v>
      </c>
      <c r="AG190">
        <v>12.61</v>
      </c>
      <c r="AH190">
        <v>11.81</v>
      </c>
      <c r="AI190">
        <v>11.69</v>
      </c>
      <c r="AJ190" s="2">
        <f t="shared" si="24"/>
        <v>-0.92</v>
      </c>
      <c r="AK190" s="3">
        <f t="shared" si="25"/>
        <v>-0.0729579698651864</v>
      </c>
      <c r="AL190">
        <v>13.4</v>
      </c>
      <c r="AM190">
        <v>13.7</v>
      </c>
      <c r="AN190" s="3">
        <f t="shared" si="26"/>
        <v>-0.0406222770483939</v>
      </c>
    </row>
    <row r="191" spans="1:40">
      <c r="A191">
        <v>123166</v>
      </c>
      <c r="B191" t="s">
        <v>424</v>
      </c>
      <c r="C191" s="4">
        <v>44867</v>
      </c>
      <c r="D191">
        <v>370876</v>
      </c>
      <c r="E191">
        <v>300876</v>
      </c>
      <c r="F191" t="s">
        <v>425</v>
      </c>
      <c r="G191">
        <v>0.0003409429</v>
      </c>
      <c r="H191" s="4">
        <v>44890</v>
      </c>
      <c r="I191" t="s">
        <v>121</v>
      </c>
      <c r="J191" s="4">
        <v>44755</v>
      </c>
      <c r="K191" s="5">
        <v>44799</v>
      </c>
      <c r="L191">
        <v>112</v>
      </c>
      <c r="M191">
        <v>68</v>
      </c>
      <c r="N191">
        <v>23</v>
      </c>
      <c r="O191">
        <v>22.74</v>
      </c>
      <c r="P191">
        <v>25.73</v>
      </c>
      <c r="Q191">
        <v>25.79</v>
      </c>
      <c r="R191">
        <v>26.48</v>
      </c>
      <c r="S191">
        <v>26.46</v>
      </c>
      <c r="T191" s="2">
        <f t="shared" si="18"/>
        <v>0.670000000000002</v>
      </c>
      <c r="U191" s="3">
        <f t="shared" si="19"/>
        <v>0.0259790616518031</v>
      </c>
      <c r="V191">
        <v>25.13</v>
      </c>
      <c r="W191">
        <v>25.4</v>
      </c>
      <c r="X191" s="2">
        <f t="shared" si="20"/>
        <v>-0.390000000000001</v>
      </c>
      <c r="Y191" s="3">
        <f t="shared" si="21"/>
        <v>-0.0151221403644824</v>
      </c>
      <c r="Z191" s="2">
        <f t="shared" si="22"/>
        <v>-1.06</v>
      </c>
      <c r="AA191" s="3">
        <f t="shared" si="23"/>
        <v>-0.0400604686318973</v>
      </c>
      <c r="AB191">
        <v>30.74</v>
      </c>
      <c r="AC191">
        <v>30.15</v>
      </c>
      <c r="AD191">
        <v>14.42</v>
      </c>
      <c r="AE191">
        <v>13.97</v>
      </c>
      <c r="AF191">
        <v>12.68</v>
      </c>
      <c r="AG191">
        <v>12.61</v>
      </c>
      <c r="AH191">
        <v>10.61</v>
      </c>
      <c r="AI191">
        <v>10.63</v>
      </c>
      <c r="AJ191" s="2">
        <f t="shared" si="24"/>
        <v>-1.98</v>
      </c>
      <c r="AK191" s="3">
        <f t="shared" si="25"/>
        <v>-0.157018239492466</v>
      </c>
      <c r="AL191">
        <v>11.79</v>
      </c>
      <c r="AM191">
        <v>12.17</v>
      </c>
      <c r="AN191" s="3">
        <f t="shared" si="26"/>
        <v>0.141896099127984</v>
      </c>
    </row>
    <row r="192" spans="1:40">
      <c r="A192">
        <v>123165</v>
      </c>
      <c r="B192" t="s">
        <v>426</v>
      </c>
      <c r="C192" s="4">
        <v>44861</v>
      </c>
      <c r="D192">
        <v>370041</v>
      </c>
      <c r="E192">
        <v>300041</v>
      </c>
      <c r="F192" t="s">
        <v>427</v>
      </c>
      <c r="G192">
        <v>0.0026221841</v>
      </c>
      <c r="H192" s="4">
        <v>44880</v>
      </c>
      <c r="I192" t="s">
        <v>55</v>
      </c>
      <c r="J192" s="4">
        <v>44784</v>
      </c>
      <c r="K192" s="5">
        <v>44811</v>
      </c>
      <c r="L192">
        <v>77</v>
      </c>
      <c r="M192">
        <v>50</v>
      </c>
      <c r="N192">
        <v>16.53</v>
      </c>
      <c r="O192">
        <v>18.12</v>
      </c>
      <c r="P192">
        <v>15.3</v>
      </c>
      <c r="Q192">
        <v>15.88</v>
      </c>
      <c r="R192">
        <v>11.95</v>
      </c>
      <c r="S192">
        <v>11.78</v>
      </c>
      <c r="T192" s="2">
        <f t="shared" si="18"/>
        <v>-4.1</v>
      </c>
      <c r="U192" s="3">
        <f t="shared" si="19"/>
        <v>-0.258186397984887</v>
      </c>
      <c r="V192">
        <v>11.62</v>
      </c>
      <c r="W192">
        <v>11.57</v>
      </c>
      <c r="X192" s="2">
        <f t="shared" si="20"/>
        <v>-4.31</v>
      </c>
      <c r="Y192" s="3">
        <f t="shared" si="21"/>
        <v>-0.271410579345088</v>
      </c>
      <c r="Z192" s="2">
        <f t="shared" si="22"/>
        <v>-0.209999999999999</v>
      </c>
      <c r="AA192" s="3">
        <f t="shared" si="23"/>
        <v>-0.0178268251273344</v>
      </c>
      <c r="AB192">
        <v>12.77</v>
      </c>
      <c r="AC192">
        <v>13.38</v>
      </c>
      <c r="AD192">
        <v>12.08</v>
      </c>
      <c r="AE192">
        <v>12.35</v>
      </c>
      <c r="AF192">
        <v>12.42</v>
      </c>
      <c r="AG192">
        <v>12.33</v>
      </c>
      <c r="AH192">
        <v>10.7</v>
      </c>
      <c r="AI192">
        <v>10.68</v>
      </c>
      <c r="AJ192" s="2">
        <f t="shared" si="24"/>
        <v>-1.65</v>
      </c>
      <c r="AK192" s="3">
        <f t="shared" si="25"/>
        <v>-0.1338199513382</v>
      </c>
      <c r="AL192">
        <v>11.86</v>
      </c>
      <c r="AM192">
        <v>12.01</v>
      </c>
      <c r="AN192" s="3">
        <f t="shared" si="26"/>
        <v>-0.137590628006889</v>
      </c>
    </row>
    <row r="193" spans="1:40">
      <c r="A193">
        <v>123164</v>
      </c>
      <c r="B193" t="s">
        <v>428</v>
      </c>
      <c r="C193" s="4">
        <v>44855</v>
      </c>
      <c r="D193">
        <v>370925</v>
      </c>
      <c r="E193">
        <v>300925</v>
      </c>
      <c r="F193" t="s">
        <v>429</v>
      </c>
      <c r="G193">
        <v>0.0014980607</v>
      </c>
      <c r="H193" s="4">
        <v>44879</v>
      </c>
      <c r="I193" t="s">
        <v>50</v>
      </c>
      <c r="J193" s="4">
        <v>44776</v>
      </c>
      <c r="K193" s="5">
        <v>44799</v>
      </c>
      <c r="L193">
        <v>79</v>
      </c>
      <c r="M193">
        <v>56</v>
      </c>
      <c r="N193">
        <v>11.12</v>
      </c>
      <c r="O193">
        <v>11.12</v>
      </c>
      <c r="P193">
        <v>11.28</v>
      </c>
      <c r="Q193">
        <v>11.11</v>
      </c>
      <c r="R193">
        <v>11.07</v>
      </c>
      <c r="S193">
        <v>11.05</v>
      </c>
      <c r="T193" s="2">
        <f t="shared" si="18"/>
        <v>-0.0599999999999987</v>
      </c>
      <c r="U193" s="3">
        <f t="shared" si="19"/>
        <v>-0.00540054005400529</v>
      </c>
      <c r="V193">
        <v>10.8</v>
      </c>
      <c r="W193">
        <v>11.12</v>
      </c>
      <c r="X193" s="2">
        <f t="shared" si="20"/>
        <v>0.00999999999999979</v>
      </c>
      <c r="Y193" s="3">
        <f t="shared" si="21"/>
        <v>0.000900090009000881</v>
      </c>
      <c r="Z193" s="2">
        <f t="shared" si="22"/>
        <v>0.0699999999999985</v>
      </c>
      <c r="AA193" s="3">
        <f t="shared" si="23"/>
        <v>0.00633484162895914</v>
      </c>
      <c r="AB193">
        <v>12.12</v>
      </c>
      <c r="AC193">
        <v>11.97</v>
      </c>
      <c r="AD193">
        <v>12.19</v>
      </c>
      <c r="AE193">
        <v>12.03</v>
      </c>
      <c r="AF193">
        <v>12.68</v>
      </c>
      <c r="AG193">
        <v>12.61</v>
      </c>
      <c r="AH193">
        <v>11.21</v>
      </c>
      <c r="AI193">
        <v>11.09</v>
      </c>
      <c r="AJ193" s="2">
        <f t="shared" si="24"/>
        <v>-1.52</v>
      </c>
      <c r="AK193" s="3">
        <f t="shared" si="25"/>
        <v>-0.120539254559873</v>
      </c>
      <c r="AL193">
        <v>11.7</v>
      </c>
      <c r="AM193">
        <v>11.95</v>
      </c>
      <c r="AN193" s="3">
        <f t="shared" si="26"/>
        <v>0.121439344568874</v>
      </c>
    </row>
    <row r="194" spans="1:40">
      <c r="A194">
        <v>123163</v>
      </c>
      <c r="B194" t="s">
        <v>430</v>
      </c>
      <c r="C194" s="4">
        <v>44848</v>
      </c>
      <c r="D194">
        <v>370984</v>
      </c>
      <c r="E194">
        <v>300984</v>
      </c>
      <c r="F194" t="s">
        <v>431</v>
      </c>
      <c r="G194">
        <v>0.0006837546</v>
      </c>
      <c r="H194" s="4">
        <v>44872</v>
      </c>
      <c r="I194" t="s">
        <v>121</v>
      </c>
      <c r="J194" s="4">
        <v>44777</v>
      </c>
      <c r="K194" s="5">
        <v>44799</v>
      </c>
      <c r="L194">
        <v>71</v>
      </c>
      <c r="M194">
        <v>49</v>
      </c>
      <c r="N194">
        <v>19.48</v>
      </c>
      <c r="O194">
        <v>19.62</v>
      </c>
      <c r="P194">
        <v>20.25</v>
      </c>
      <c r="Q194">
        <v>20.05</v>
      </c>
      <c r="R194">
        <v>16.9</v>
      </c>
      <c r="S194">
        <v>17.76</v>
      </c>
      <c r="T194" s="2">
        <f t="shared" ref="T194:T257" si="27">S194-Q194</f>
        <v>-2.29</v>
      </c>
      <c r="U194" s="3">
        <f t="shared" ref="U194:U257" si="28">T194/Q194</f>
        <v>-0.114214463840399</v>
      </c>
      <c r="V194">
        <v>17.44</v>
      </c>
      <c r="W194">
        <v>17.48</v>
      </c>
      <c r="X194" s="2">
        <f t="shared" ref="X194:X257" si="29">W194-Q194</f>
        <v>-2.57</v>
      </c>
      <c r="Y194" s="3">
        <f t="shared" ref="Y194:Y257" si="30">X194/Q194</f>
        <v>-0.128179551122195</v>
      </c>
      <c r="Z194" s="2">
        <f t="shared" ref="Z194:Z257" si="31">W194-S194</f>
        <v>-0.280000000000001</v>
      </c>
      <c r="AA194" s="3">
        <f t="shared" ref="AA194:AA257" si="32">Z194/S194</f>
        <v>-0.0157657657657658</v>
      </c>
      <c r="AB194">
        <v>16.67</v>
      </c>
      <c r="AC194">
        <v>16.45</v>
      </c>
      <c r="AD194">
        <v>12.1</v>
      </c>
      <c r="AE194">
        <v>12.16</v>
      </c>
      <c r="AF194">
        <v>12.68</v>
      </c>
      <c r="AG194">
        <v>12.61</v>
      </c>
      <c r="AH194">
        <v>11.45</v>
      </c>
      <c r="AI194">
        <v>11.53</v>
      </c>
      <c r="AJ194" s="2">
        <f t="shared" si="24"/>
        <v>-1.08</v>
      </c>
      <c r="AK194" s="3">
        <f t="shared" si="25"/>
        <v>-0.0856463124504362</v>
      </c>
      <c r="AL194">
        <v>10.81</v>
      </c>
      <c r="AM194">
        <v>10.88</v>
      </c>
      <c r="AN194" s="3">
        <f t="shared" si="26"/>
        <v>-0.0425332386717584</v>
      </c>
    </row>
    <row r="195" spans="1:40">
      <c r="A195">
        <v>123162</v>
      </c>
      <c r="B195" t="s">
        <v>432</v>
      </c>
      <c r="C195" s="4">
        <v>44848</v>
      </c>
      <c r="D195">
        <v>370486</v>
      </c>
      <c r="E195">
        <v>300486</v>
      </c>
      <c r="F195" t="s">
        <v>433</v>
      </c>
      <c r="G195">
        <v>0.0022080868</v>
      </c>
      <c r="H195" s="4">
        <v>44869</v>
      </c>
      <c r="I195" t="s">
        <v>415</v>
      </c>
      <c r="J195" s="4">
        <v>44749</v>
      </c>
      <c r="K195" s="5">
        <v>44792</v>
      </c>
      <c r="L195">
        <v>99</v>
      </c>
      <c r="M195">
        <v>56</v>
      </c>
      <c r="N195">
        <v>9.47</v>
      </c>
      <c r="O195">
        <v>9.59</v>
      </c>
      <c r="P195">
        <v>10.11</v>
      </c>
      <c r="Q195">
        <v>9.73</v>
      </c>
      <c r="R195">
        <v>7.59</v>
      </c>
      <c r="S195">
        <v>7.83</v>
      </c>
      <c r="T195" s="2">
        <f t="shared" si="27"/>
        <v>-1.9</v>
      </c>
      <c r="U195" s="3">
        <f t="shared" si="28"/>
        <v>-0.195272353545735</v>
      </c>
      <c r="V195">
        <v>7.6</v>
      </c>
      <c r="W195">
        <v>7.78</v>
      </c>
      <c r="X195" s="2">
        <f t="shared" si="29"/>
        <v>-1.95</v>
      </c>
      <c r="Y195" s="3">
        <f t="shared" si="30"/>
        <v>-0.200411099691675</v>
      </c>
      <c r="Z195" s="2">
        <f t="shared" si="31"/>
        <v>-0.0499999999999998</v>
      </c>
      <c r="AA195" s="3">
        <f t="shared" si="32"/>
        <v>-0.00638569604086843</v>
      </c>
      <c r="AB195">
        <v>9.16</v>
      </c>
      <c r="AC195">
        <v>8.91</v>
      </c>
      <c r="AD195">
        <v>14.54</v>
      </c>
      <c r="AE195">
        <v>14.42</v>
      </c>
      <c r="AF195">
        <v>12.27</v>
      </c>
      <c r="AG195">
        <v>12.57</v>
      </c>
      <c r="AH195">
        <v>11.45</v>
      </c>
      <c r="AI195">
        <v>11.53</v>
      </c>
      <c r="AJ195" s="2">
        <f t="shared" ref="AJ195:AJ258" si="33">AI195-AG195</f>
        <v>-1.04</v>
      </c>
      <c r="AK195" s="3">
        <f t="shared" ref="AK195:AK258" si="34">AJ195/AG195</f>
        <v>-0.0827366746221162</v>
      </c>
      <c r="AL195">
        <v>10.4</v>
      </c>
      <c r="AM195">
        <v>10.82</v>
      </c>
      <c r="AN195" s="3">
        <f t="shared" ref="AN195:AN258" si="35">Y195-AK195</f>
        <v>-0.117674425069559</v>
      </c>
    </row>
    <row r="196" spans="1:40">
      <c r="A196">
        <v>123161</v>
      </c>
      <c r="B196" t="s">
        <v>434</v>
      </c>
      <c r="C196" s="4">
        <v>44845</v>
      </c>
      <c r="D196">
        <v>370850</v>
      </c>
      <c r="E196">
        <v>300850</v>
      </c>
      <c r="F196" t="s">
        <v>435</v>
      </c>
      <c r="G196">
        <v>0.0041980672</v>
      </c>
      <c r="H196" s="4">
        <v>44861</v>
      </c>
      <c r="I196" t="s">
        <v>40</v>
      </c>
      <c r="J196" s="4">
        <v>44784</v>
      </c>
      <c r="K196" s="5">
        <v>44823</v>
      </c>
      <c r="L196">
        <v>61</v>
      </c>
      <c r="M196">
        <v>22</v>
      </c>
      <c r="N196">
        <v>90.22</v>
      </c>
      <c r="O196">
        <v>88.65</v>
      </c>
      <c r="P196">
        <v>78.85</v>
      </c>
      <c r="Q196">
        <v>81.71</v>
      </c>
      <c r="R196">
        <v>87.81</v>
      </c>
      <c r="S196">
        <v>81.91</v>
      </c>
      <c r="T196" s="2">
        <f t="shared" si="27"/>
        <v>0.200000000000003</v>
      </c>
      <c r="U196" s="3">
        <f t="shared" si="28"/>
        <v>0.00244768082242079</v>
      </c>
      <c r="V196">
        <v>80.8</v>
      </c>
      <c r="W196">
        <v>82.57</v>
      </c>
      <c r="X196" s="2">
        <f t="shared" si="29"/>
        <v>0.859999999999999</v>
      </c>
      <c r="Y196" s="3">
        <f t="shared" si="30"/>
        <v>0.0105250275364092</v>
      </c>
      <c r="Z196" s="2">
        <f t="shared" si="31"/>
        <v>0.659999999999997</v>
      </c>
      <c r="AA196" s="3">
        <f t="shared" si="32"/>
        <v>0.00805762422170671</v>
      </c>
      <c r="AB196">
        <v>79.71</v>
      </c>
      <c r="AC196">
        <v>76.26</v>
      </c>
      <c r="AD196">
        <v>12.08</v>
      </c>
      <c r="AE196">
        <v>12.35</v>
      </c>
      <c r="AF196">
        <v>12.54</v>
      </c>
      <c r="AG196">
        <v>12.57</v>
      </c>
      <c r="AH196">
        <v>11.54</v>
      </c>
      <c r="AI196">
        <v>11.48</v>
      </c>
      <c r="AJ196" s="2">
        <f t="shared" si="33"/>
        <v>-1.09</v>
      </c>
      <c r="AK196" s="3">
        <f t="shared" si="34"/>
        <v>-0.086714399363564</v>
      </c>
      <c r="AL196">
        <v>10.7</v>
      </c>
      <c r="AM196">
        <v>10.68</v>
      </c>
      <c r="AN196" s="3">
        <f t="shared" si="35"/>
        <v>0.0972394268999733</v>
      </c>
    </row>
    <row r="197" spans="1:40">
      <c r="A197">
        <v>123160</v>
      </c>
      <c r="B197" t="s">
        <v>436</v>
      </c>
      <c r="C197" s="4">
        <v>44832</v>
      </c>
      <c r="D197">
        <v>370992</v>
      </c>
      <c r="E197">
        <v>300992</v>
      </c>
      <c r="F197" t="s">
        <v>437</v>
      </c>
      <c r="G197">
        <v>0.0011807313</v>
      </c>
      <c r="H197" s="4">
        <v>44859</v>
      </c>
      <c r="I197" t="s">
        <v>121</v>
      </c>
      <c r="J197" s="4">
        <v>44749</v>
      </c>
      <c r="K197" s="5">
        <v>44813</v>
      </c>
      <c r="L197">
        <v>83</v>
      </c>
      <c r="M197">
        <v>19</v>
      </c>
      <c r="N197">
        <v>20.2</v>
      </c>
      <c r="O197">
        <v>19.93</v>
      </c>
      <c r="P197">
        <v>23.86</v>
      </c>
      <c r="Q197">
        <v>23.42</v>
      </c>
      <c r="R197">
        <v>24.78</v>
      </c>
      <c r="S197">
        <v>25.11</v>
      </c>
      <c r="T197" s="2">
        <f t="shared" si="27"/>
        <v>1.69</v>
      </c>
      <c r="U197" s="3">
        <f t="shared" si="28"/>
        <v>0.0721605465414175</v>
      </c>
      <c r="V197">
        <v>24.41</v>
      </c>
      <c r="W197">
        <v>26.13</v>
      </c>
      <c r="X197" s="2">
        <f t="shared" si="29"/>
        <v>2.71</v>
      </c>
      <c r="Y197" s="3">
        <f t="shared" si="30"/>
        <v>0.115713065755764</v>
      </c>
      <c r="Z197" s="2">
        <f t="shared" si="31"/>
        <v>1.02</v>
      </c>
      <c r="AA197" s="3">
        <f t="shared" si="32"/>
        <v>0.040621266427718</v>
      </c>
      <c r="AB197">
        <v>22.14</v>
      </c>
      <c r="AC197">
        <v>22.47</v>
      </c>
      <c r="AD197">
        <v>14.54</v>
      </c>
      <c r="AE197">
        <v>14.42</v>
      </c>
      <c r="AF197">
        <v>12.4</v>
      </c>
      <c r="AG197">
        <v>12.72</v>
      </c>
      <c r="AH197">
        <v>12.09</v>
      </c>
      <c r="AI197">
        <v>12.11</v>
      </c>
      <c r="AJ197" s="2">
        <f t="shared" si="33"/>
        <v>-0.610000000000001</v>
      </c>
      <c r="AK197" s="3">
        <f t="shared" si="34"/>
        <v>-0.0479559748427674</v>
      </c>
      <c r="AL197">
        <v>10.7</v>
      </c>
      <c r="AM197">
        <v>10.65</v>
      </c>
      <c r="AN197" s="3">
        <f t="shared" si="35"/>
        <v>0.163669040598532</v>
      </c>
    </row>
    <row r="198" spans="1:40">
      <c r="A198">
        <v>118021</v>
      </c>
      <c r="B198" t="s">
        <v>438</v>
      </c>
      <c r="C198" s="4">
        <v>44831</v>
      </c>
      <c r="D198">
        <v>718590</v>
      </c>
      <c r="E198">
        <v>688590</v>
      </c>
      <c r="F198" t="s">
        <v>439</v>
      </c>
      <c r="G198">
        <v>0.00210647</v>
      </c>
      <c r="H198" s="4">
        <v>44867</v>
      </c>
      <c r="I198" t="s">
        <v>121</v>
      </c>
      <c r="J198" s="4">
        <v>44732</v>
      </c>
      <c r="K198" s="5">
        <v>44781</v>
      </c>
      <c r="L198">
        <v>99</v>
      </c>
      <c r="M198">
        <v>50</v>
      </c>
      <c r="N198">
        <v>10.86</v>
      </c>
      <c r="O198">
        <v>10.86</v>
      </c>
      <c r="P198">
        <v>11.5</v>
      </c>
      <c r="Q198">
        <v>11.23</v>
      </c>
      <c r="R198">
        <v>9.99</v>
      </c>
      <c r="S198">
        <v>9.74</v>
      </c>
      <c r="T198" s="2">
        <f t="shared" si="27"/>
        <v>-1.49</v>
      </c>
      <c r="U198" s="3">
        <f t="shared" si="28"/>
        <v>-0.132680320569902</v>
      </c>
      <c r="V198">
        <v>9.29</v>
      </c>
      <c r="W198">
        <v>9.25</v>
      </c>
      <c r="X198" s="2">
        <f t="shared" si="29"/>
        <v>-1.98</v>
      </c>
      <c r="Y198" s="3">
        <f t="shared" si="30"/>
        <v>-0.176313446126447</v>
      </c>
      <c r="Z198" s="2">
        <f t="shared" si="31"/>
        <v>-0.49</v>
      </c>
      <c r="AA198" s="3">
        <f t="shared" si="32"/>
        <v>-0.0503080082135524</v>
      </c>
      <c r="AB198">
        <v>10.73</v>
      </c>
      <c r="AC198">
        <v>10.44</v>
      </c>
      <c r="AD198">
        <v>14.44</v>
      </c>
      <c r="AE198">
        <v>14.34</v>
      </c>
      <c r="AF198">
        <v>12.25</v>
      </c>
      <c r="AG198">
        <v>12.2</v>
      </c>
      <c r="AH198">
        <v>12</v>
      </c>
      <c r="AI198">
        <v>12.15</v>
      </c>
      <c r="AJ198" s="2">
        <f t="shared" si="33"/>
        <v>-0.0499999999999989</v>
      </c>
      <c r="AK198" s="3">
        <f t="shared" si="34"/>
        <v>-0.00409836065573762</v>
      </c>
      <c r="AL198">
        <v>10.61</v>
      </c>
      <c r="AM198">
        <v>10.63</v>
      </c>
      <c r="AN198" s="3">
        <f t="shared" si="35"/>
        <v>-0.172215085470709</v>
      </c>
    </row>
    <row r="199" spans="1:40">
      <c r="A199">
        <v>123159</v>
      </c>
      <c r="B199" t="s">
        <v>440</v>
      </c>
      <c r="C199" s="4">
        <v>44831</v>
      </c>
      <c r="D199">
        <v>371002</v>
      </c>
      <c r="E199">
        <v>301002</v>
      </c>
      <c r="F199" t="s">
        <v>441</v>
      </c>
      <c r="G199">
        <v>0.0009864816</v>
      </c>
      <c r="H199" s="4">
        <v>44858</v>
      </c>
      <c r="I199" t="s">
        <v>55</v>
      </c>
      <c r="J199" s="4">
        <v>44729</v>
      </c>
      <c r="K199" s="5">
        <v>44782</v>
      </c>
      <c r="L199">
        <v>102</v>
      </c>
      <c r="M199">
        <v>49</v>
      </c>
      <c r="N199">
        <v>22.53</v>
      </c>
      <c r="O199">
        <v>23.06</v>
      </c>
      <c r="P199">
        <v>24.63</v>
      </c>
      <c r="Q199">
        <v>25.48</v>
      </c>
      <c r="R199">
        <v>21.59</v>
      </c>
      <c r="S199">
        <v>21.26</v>
      </c>
      <c r="T199" s="2">
        <f t="shared" si="27"/>
        <v>-4.22</v>
      </c>
      <c r="U199" s="3">
        <f t="shared" si="28"/>
        <v>-0.165620094191523</v>
      </c>
      <c r="V199">
        <v>20.43</v>
      </c>
      <c r="W199">
        <v>20.46</v>
      </c>
      <c r="X199" s="2">
        <f t="shared" si="29"/>
        <v>-5.02</v>
      </c>
      <c r="Y199" s="3">
        <f t="shared" si="30"/>
        <v>-0.19701726844584</v>
      </c>
      <c r="Z199" s="2">
        <f t="shared" si="31"/>
        <v>-0.800000000000001</v>
      </c>
      <c r="AA199" s="3">
        <f t="shared" si="32"/>
        <v>-0.0376293508936971</v>
      </c>
      <c r="AB199">
        <v>19.88</v>
      </c>
      <c r="AC199">
        <v>19.45</v>
      </c>
      <c r="AD199">
        <v>14.32</v>
      </c>
      <c r="AE199">
        <v>14.45</v>
      </c>
      <c r="AF199">
        <v>12.21</v>
      </c>
      <c r="AG199">
        <v>12.12</v>
      </c>
      <c r="AH199">
        <v>12</v>
      </c>
      <c r="AI199">
        <v>12.15</v>
      </c>
      <c r="AJ199" s="2">
        <f t="shared" si="33"/>
        <v>0.0300000000000011</v>
      </c>
      <c r="AK199" s="3">
        <f t="shared" si="34"/>
        <v>0.00247524752475257</v>
      </c>
      <c r="AL199">
        <v>11.09</v>
      </c>
      <c r="AM199">
        <v>10.62</v>
      </c>
      <c r="AN199" s="3">
        <f t="shared" si="35"/>
        <v>-0.199492515970592</v>
      </c>
    </row>
    <row r="200" spans="1:40">
      <c r="A200">
        <v>123158</v>
      </c>
      <c r="B200" t="s">
        <v>442</v>
      </c>
      <c r="C200" s="4">
        <v>44830</v>
      </c>
      <c r="D200">
        <v>370037</v>
      </c>
      <c r="E200">
        <v>300037</v>
      </c>
      <c r="F200" t="s">
        <v>443</v>
      </c>
      <c r="G200">
        <v>0.0055403768</v>
      </c>
      <c r="H200" s="4">
        <v>44855</v>
      </c>
      <c r="I200" t="s">
        <v>40</v>
      </c>
      <c r="J200" s="4">
        <v>44776</v>
      </c>
      <c r="K200" s="5">
        <v>44811</v>
      </c>
      <c r="L200">
        <v>54</v>
      </c>
      <c r="M200">
        <v>19</v>
      </c>
      <c r="N200">
        <v>44.17</v>
      </c>
      <c r="O200">
        <v>43.77</v>
      </c>
      <c r="P200">
        <v>40.6</v>
      </c>
      <c r="Q200">
        <v>41.28</v>
      </c>
      <c r="R200">
        <v>40.53</v>
      </c>
      <c r="S200">
        <v>41.28</v>
      </c>
      <c r="T200" s="2">
        <f t="shared" si="27"/>
        <v>0</v>
      </c>
      <c r="U200" s="3">
        <f t="shared" si="28"/>
        <v>0</v>
      </c>
      <c r="V200">
        <v>40.67</v>
      </c>
      <c r="W200">
        <v>40.65</v>
      </c>
      <c r="X200" s="2">
        <f t="shared" si="29"/>
        <v>-0.630000000000003</v>
      </c>
      <c r="Y200" s="3">
        <f t="shared" si="30"/>
        <v>-0.0152616279069768</v>
      </c>
      <c r="Z200" s="2">
        <f t="shared" si="31"/>
        <v>-0.630000000000003</v>
      </c>
      <c r="AA200" s="3">
        <f t="shared" si="32"/>
        <v>-0.0152616279069768</v>
      </c>
      <c r="AB200">
        <v>42.68</v>
      </c>
      <c r="AC200">
        <v>42.51</v>
      </c>
      <c r="AD200">
        <v>12.19</v>
      </c>
      <c r="AE200">
        <v>12.03</v>
      </c>
      <c r="AF200">
        <v>12.42</v>
      </c>
      <c r="AG200">
        <v>12.33</v>
      </c>
      <c r="AH200">
        <v>12.16</v>
      </c>
      <c r="AI200">
        <v>12</v>
      </c>
      <c r="AJ200" s="2">
        <f t="shared" si="33"/>
        <v>-0.33</v>
      </c>
      <c r="AK200" s="3">
        <f t="shared" si="34"/>
        <v>-0.0267639902676399</v>
      </c>
      <c r="AL200">
        <v>11.21</v>
      </c>
      <c r="AM200">
        <v>11.09</v>
      </c>
      <c r="AN200" s="3">
        <f t="shared" si="35"/>
        <v>0.0115023623606631</v>
      </c>
    </row>
    <row r="201" spans="1:40">
      <c r="A201">
        <v>123157</v>
      </c>
      <c r="B201" t="s">
        <v>444</v>
      </c>
      <c r="C201" s="4">
        <v>44803</v>
      </c>
      <c r="D201">
        <v>370663</v>
      </c>
      <c r="E201">
        <v>300663</v>
      </c>
      <c r="F201" t="s">
        <v>445</v>
      </c>
      <c r="G201">
        <v>0.0031160271</v>
      </c>
      <c r="H201" s="4">
        <v>44824</v>
      </c>
      <c r="I201" t="s">
        <v>121</v>
      </c>
      <c r="J201" s="4">
        <v>44727</v>
      </c>
      <c r="K201" s="5">
        <v>44783</v>
      </c>
      <c r="L201">
        <v>76</v>
      </c>
      <c r="M201">
        <v>20</v>
      </c>
      <c r="N201">
        <v>14.84</v>
      </c>
      <c r="O201">
        <v>15.22</v>
      </c>
      <c r="P201">
        <v>15.94</v>
      </c>
      <c r="Q201">
        <v>15.85</v>
      </c>
      <c r="R201">
        <v>14.68</v>
      </c>
      <c r="S201">
        <v>14.91</v>
      </c>
      <c r="T201" s="2">
        <f t="shared" si="27"/>
        <v>-0.94</v>
      </c>
      <c r="U201" s="3">
        <f t="shared" si="28"/>
        <v>-0.0593059936908517</v>
      </c>
      <c r="V201">
        <v>14.59</v>
      </c>
      <c r="W201">
        <v>14.54</v>
      </c>
      <c r="X201" s="2">
        <f t="shared" si="29"/>
        <v>-1.31</v>
      </c>
      <c r="Y201" s="3">
        <f t="shared" si="30"/>
        <v>-0.0826498422712934</v>
      </c>
      <c r="Z201" s="2">
        <f t="shared" si="31"/>
        <v>-0.370000000000001</v>
      </c>
      <c r="AA201" s="3">
        <f t="shared" si="32"/>
        <v>-0.0248155600268277</v>
      </c>
      <c r="AB201">
        <v>13.89</v>
      </c>
      <c r="AC201">
        <v>13.92</v>
      </c>
      <c r="AD201">
        <v>14.1</v>
      </c>
      <c r="AE201">
        <v>14.74</v>
      </c>
      <c r="AF201">
        <v>12.12</v>
      </c>
      <c r="AG201">
        <v>12.06</v>
      </c>
      <c r="AH201">
        <v>12.43</v>
      </c>
      <c r="AI201">
        <v>12.48</v>
      </c>
      <c r="AJ201" s="2">
        <f t="shared" si="33"/>
        <v>0.42</v>
      </c>
      <c r="AK201" s="3">
        <f t="shared" si="34"/>
        <v>0.0348258706467662</v>
      </c>
      <c r="AL201">
        <v>12.61</v>
      </c>
      <c r="AM201">
        <v>12.34</v>
      </c>
      <c r="AN201" s="3">
        <f t="shared" si="35"/>
        <v>-0.11747571291806</v>
      </c>
    </row>
    <row r="202" spans="1:40">
      <c r="A202">
        <v>123156</v>
      </c>
      <c r="B202" t="s">
        <v>446</v>
      </c>
      <c r="C202" s="4">
        <v>44789</v>
      </c>
      <c r="D202">
        <v>370839</v>
      </c>
      <c r="E202">
        <v>300839</v>
      </c>
      <c r="F202" t="s">
        <v>447</v>
      </c>
      <c r="G202">
        <v>0.0005633815</v>
      </c>
      <c r="H202" s="4">
        <v>44806</v>
      </c>
      <c r="I202" t="s">
        <v>121</v>
      </c>
      <c r="J202" s="4">
        <v>44708</v>
      </c>
      <c r="K202" s="5">
        <v>44771</v>
      </c>
      <c r="L202">
        <v>81</v>
      </c>
      <c r="M202">
        <v>18</v>
      </c>
      <c r="N202">
        <v>9.34</v>
      </c>
      <c r="O202">
        <v>9.57</v>
      </c>
      <c r="P202">
        <v>10.01</v>
      </c>
      <c r="Q202">
        <v>10.09</v>
      </c>
      <c r="R202">
        <v>10.87</v>
      </c>
      <c r="S202">
        <v>10.81</v>
      </c>
      <c r="T202" s="2">
        <f t="shared" si="27"/>
        <v>0.720000000000001</v>
      </c>
      <c r="U202" s="3">
        <f t="shared" si="28"/>
        <v>0.0713577799801785</v>
      </c>
      <c r="V202">
        <v>9.92</v>
      </c>
      <c r="W202">
        <v>10.24</v>
      </c>
      <c r="X202" s="2">
        <f t="shared" si="29"/>
        <v>0.15</v>
      </c>
      <c r="Y202" s="3">
        <f t="shared" si="30"/>
        <v>0.0148662041625372</v>
      </c>
      <c r="Z202" s="2">
        <f t="shared" si="31"/>
        <v>-0.57</v>
      </c>
      <c r="AA202" s="3">
        <f t="shared" si="32"/>
        <v>-0.0527289546716004</v>
      </c>
      <c r="AB202">
        <v>9.71</v>
      </c>
      <c r="AC202">
        <v>9.91</v>
      </c>
      <c r="AD202">
        <v>14.29</v>
      </c>
      <c r="AE202">
        <v>14.18</v>
      </c>
      <c r="AF202">
        <v>12.88</v>
      </c>
      <c r="AG202">
        <v>12.68</v>
      </c>
      <c r="AH202">
        <v>12.11</v>
      </c>
      <c r="AI202">
        <v>12.13</v>
      </c>
      <c r="AJ202" s="2">
        <f t="shared" si="33"/>
        <v>-0.549999999999999</v>
      </c>
      <c r="AK202" s="3">
        <f t="shared" si="34"/>
        <v>-0.0433753943217665</v>
      </c>
      <c r="AL202">
        <v>12.62</v>
      </c>
      <c r="AM202">
        <v>12.51</v>
      </c>
      <c r="AN202" s="3">
        <f t="shared" si="35"/>
        <v>0.0582415984843037</v>
      </c>
    </row>
    <row r="203" spans="1:40">
      <c r="A203">
        <v>123155</v>
      </c>
      <c r="B203" t="s">
        <v>448</v>
      </c>
      <c r="C203" s="4">
        <v>44785</v>
      </c>
      <c r="D203">
        <v>371040</v>
      </c>
      <c r="E203">
        <v>301040</v>
      </c>
      <c r="F203" t="s">
        <v>449</v>
      </c>
      <c r="G203">
        <v>0.0007387851</v>
      </c>
      <c r="H203" s="4">
        <v>44804</v>
      </c>
      <c r="I203" t="s">
        <v>50</v>
      </c>
      <c r="J203" s="4">
        <v>44736</v>
      </c>
      <c r="K203" s="5">
        <v>44762</v>
      </c>
      <c r="L203">
        <v>49</v>
      </c>
      <c r="M203">
        <v>23</v>
      </c>
      <c r="N203">
        <v>30.52</v>
      </c>
      <c r="O203">
        <v>31.34</v>
      </c>
      <c r="P203">
        <v>34.25</v>
      </c>
      <c r="Q203">
        <v>35.03</v>
      </c>
      <c r="R203">
        <v>30.46</v>
      </c>
      <c r="S203">
        <v>30.94</v>
      </c>
      <c r="T203" s="2">
        <f t="shared" si="27"/>
        <v>-4.09</v>
      </c>
      <c r="U203" s="3">
        <f t="shared" si="28"/>
        <v>-0.116757065372538</v>
      </c>
      <c r="V203">
        <v>29.18</v>
      </c>
      <c r="W203">
        <v>28.92</v>
      </c>
      <c r="X203" s="2">
        <f t="shared" si="29"/>
        <v>-6.11</v>
      </c>
      <c r="Y203" s="3">
        <f t="shared" si="30"/>
        <v>-0.174421924065087</v>
      </c>
      <c r="Z203" s="2">
        <f t="shared" si="31"/>
        <v>-2.02</v>
      </c>
      <c r="AA203" s="3">
        <f t="shared" si="32"/>
        <v>-0.0652876535229476</v>
      </c>
      <c r="AB203">
        <v>23.96</v>
      </c>
      <c r="AC203">
        <v>22.8</v>
      </c>
      <c r="AD203">
        <v>14.2</v>
      </c>
      <c r="AE203">
        <v>14.23</v>
      </c>
      <c r="AF203">
        <v>13.43</v>
      </c>
      <c r="AG203">
        <v>13.39</v>
      </c>
      <c r="AH203">
        <v>12.26</v>
      </c>
      <c r="AI203">
        <v>12.38</v>
      </c>
      <c r="AJ203" s="2">
        <f t="shared" si="33"/>
        <v>-1.01</v>
      </c>
      <c r="AK203" s="3">
        <f t="shared" si="34"/>
        <v>-0.075429424943988</v>
      </c>
      <c r="AL203">
        <v>12.38</v>
      </c>
      <c r="AM203">
        <v>12.75</v>
      </c>
      <c r="AN203" s="3">
        <f t="shared" si="35"/>
        <v>-0.098992499121099</v>
      </c>
    </row>
    <row r="204" spans="1:40">
      <c r="A204">
        <v>118017</v>
      </c>
      <c r="B204" t="s">
        <v>450</v>
      </c>
      <c r="C204" s="4">
        <v>44781</v>
      </c>
      <c r="D204">
        <v>718328</v>
      </c>
      <c r="E204">
        <v>688328</v>
      </c>
      <c r="F204" t="s">
        <v>451</v>
      </c>
      <c r="G204">
        <v>0.0007305</v>
      </c>
      <c r="H204" s="4">
        <v>44802</v>
      </c>
      <c r="I204" t="s">
        <v>50</v>
      </c>
      <c r="J204" s="4">
        <v>44694</v>
      </c>
      <c r="K204" s="5">
        <v>44733</v>
      </c>
      <c r="L204">
        <v>87</v>
      </c>
      <c r="M204">
        <v>48</v>
      </c>
      <c r="N204">
        <v>20.19</v>
      </c>
      <c r="O204">
        <v>20.13</v>
      </c>
      <c r="P204">
        <v>24.36</v>
      </c>
      <c r="Q204">
        <v>24.47</v>
      </c>
      <c r="R204">
        <v>25.9</v>
      </c>
      <c r="S204">
        <v>27.85</v>
      </c>
      <c r="T204" s="2">
        <f t="shared" si="27"/>
        <v>3.38</v>
      </c>
      <c r="U204" s="3">
        <f t="shared" si="28"/>
        <v>0.138128320392317</v>
      </c>
      <c r="V204">
        <v>28.2</v>
      </c>
      <c r="W204">
        <v>33.44</v>
      </c>
      <c r="X204" s="2">
        <f t="shared" si="29"/>
        <v>8.97</v>
      </c>
      <c r="Y204" s="3">
        <f t="shared" si="30"/>
        <v>0.36657131181038</v>
      </c>
      <c r="Z204" s="2">
        <f t="shared" si="31"/>
        <v>5.59</v>
      </c>
      <c r="AA204" s="3">
        <f t="shared" si="32"/>
        <v>0.200718132854578</v>
      </c>
      <c r="AB204">
        <v>26.93</v>
      </c>
      <c r="AC204">
        <v>27.46</v>
      </c>
      <c r="AD204">
        <v>14.5</v>
      </c>
      <c r="AE204">
        <v>14.61</v>
      </c>
      <c r="AF204">
        <v>14.34</v>
      </c>
      <c r="AG204">
        <v>14.37</v>
      </c>
      <c r="AH204">
        <v>12.25</v>
      </c>
      <c r="AI204">
        <v>12.2</v>
      </c>
      <c r="AJ204" s="2">
        <f t="shared" si="33"/>
        <v>-2.17</v>
      </c>
      <c r="AK204" s="3">
        <f t="shared" si="34"/>
        <v>-0.151009046624913</v>
      </c>
      <c r="AL204">
        <v>12.5</v>
      </c>
      <c r="AM204">
        <v>12.42</v>
      </c>
      <c r="AN204" s="3">
        <f t="shared" si="35"/>
        <v>0.517580358435293</v>
      </c>
    </row>
    <row r="205" spans="1:40">
      <c r="A205">
        <v>118016</v>
      </c>
      <c r="B205" t="s">
        <v>452</v>
      </c>
      <c r="C205" s="4">
        <v>44778</v>
      </c>
      <c r="D205">
        <v>718096</v>
      </c>
      <c r="E205">
        <v>688096</v>
      </c>
      <c r="F205" t="s">
        <v>453</v>
      </c>
      <c r="G205">
        <v>0.00085802</v>
      </c>
      <c r="H205" s="4">
        <v>44798</v>
      </c>
      <c r="I205" t="s">
        <v>121</v>
      </c>
      <c r="J205" s="4">
        <v>44553</v>
      </c>
      <c r="K205" s="5">
        <v>44637</v>
      </c>
      <c r="L205">
        <v>225</v>
      </c>
      <c r="M205">
        <v>141</v>
      </c>
      <c r="N205">
        <v>7.04</v>
      </c>
      <c r="O205">
        <v>6.9</v>
      </c>
      <c r="P205">
        <v>6.67</v>
      </c>
      <c r="Q205">
        <v>6.66</v>
      </c>
      <c r="R205">
        <v>7.29</v>
      </c>
      <c r="S205">
        <v>7.11</v>
      </c>
      <c r="T205" s="2">
        <f t="shared" si="27"/>
        <v>0.45</v>
      </c>
      <c r="U205" s="3">
        <f t="shared" si="28"/>
        <v>0.0675675675675676</v>
      </c>
      <c r="V205">
        <v>6.53</v>
      </c>
      <c r="W205">
        <v>6.37</v>
      </c>
      <c r="X205" s="2">
        <f t="shared" si="29"/>
        <v>-0.29</v>
      </c>
      <c r="Y205" s="3">
        <f t="shared" si="30"/>
        <v>-0.0435435435435435</v>
      </c>
      <c r="Z205" s="2">
        <f t="shared" si="31"/>
        <v>-0.74</v>
      </c>
      <c r="AA205" s="3">
        <f t="shared" si="32"/>
        <v>-0.10407876230661</v>
      </c>
      <c r="AB205">
        <v>6.42</v>
      </c>
      <c r="AC205">
        <v>6.32</v>
      </c>
      <c r="AD205">
        <v>17.4</v>
      </c>
      <c r="AE205">
        <v>17.32</v>
      </c>
      <c r="AF205">
        <v>14.66</v>
      </c>
      <c r="AG205">
        <v>14.45</v>
      </c>
      <c r="AH205">
        <v>12.13</v>
      </c>
      <c r="AI205">
        <v>12.31</v>
      </c>
      <c r="AJ205" s="2">
        <f t="shared" si="33"/>
        <v>-2.14</v>
      </c>
      <c r="AK205" s="3">
        <f t="shared" si="34"/>
        <v>-0.148096885813149</v>
      </c>
      <c r="AL205">
        <v>12.4</v>
      </c>
      <c r="AM205">
        <v>12.62</v>
      </c>
      <c r="AN205" s="3">
        <f t="shared" si="35"/>
        <v>0.104553342269605</v>
      </c>
    </row>
    <row r="206" spans="1:40">
      <c r="A206">
        <v>118015</v>
      </c>
      <c r="B206" t="s">
        <v>454</v>
      </c>
      <c r="C206" s="4">
        <v>44763</v>
      </c>
      <c r="D206">
        <v>718595</v>
      </c>
      <c r="E206">
        <v>688595</v>
      </c>
      <c r="F206" t="s">
        <v>455</v>
      </c>
      <c r="G206">
        <v>0.00121976</v>
      </c>
      <c r="H206" s="4">
        <v>44791</v>
      </c>
      <c r="I206" t="s">
        <v>50</v>
      </c>
      <c r="J206" s="4">
        <v>44557</v>
      </c>
      <c r="K206" s="5">
        <v>44637</v>
      </c>
      <c r="L206">
        <v>206</v>
      </c>
      <c r="M206">
        <v>126</v>
      </c>
      <c r="N206">
        <v>89.85</v>
      </c>
      <c r="O206">
        <v>86.21</v>
      </c>
      <c r="P206">
        <v>61.25</v>
      </c>
      <c r="Q206">
        <v>63.2</v>
      </c>
      <c r="R206">
        <v>54.94</v>
      </c>
      <c r="S206">
        <v>53.99</v>
      </c>
      <c r="T206" s="2">
        <f t="shared" si="27"/>
        <v>-9.21</v>
      </c>
      <c r="U206" s="3">
        <f t="shared" si="28"/>
        <v>-0.145727848101266</v>
      </c>
      <c r="V206">
        <v>53</v>
      </c>
      <c r="W206">
        <v>53.95</v>
      </c>
      <c r="X206" s="2">
        <f t="shared" si="29"/>
        <v>-9.25</v>
      </c>
      <c r="Y206" s="3">
        <f t="shared" si="30"/>
        <v>-0.146360759493671</v>
      </c>
      <c r="Z206" s="2">
        <f t="shared" si="31"/>
        <v>-0.0399999999999991</v>
      </c>
      <c r="AA206" s="3">
        <f t="shared" si="32"/>
        <v>-0.00074087794035931</v>
      </c>
      <c r="AB206">
        <v>55.13</v>
      </c>
      <c r="AC206">
        <v>56.52</v>
      </c>
      <c r="AD206">
        <v>17.33</v>
      </c>
      <c r="AE206">
        <v>17.22</v>
      </c>
      <c r="AF206">
        <v>14.66</v>
      </c>
      <c r="AG206">
        <v>14.45</v>
      </c>
      <c r="AH206">
        <v>13.32</v>
      </c>
      <c r="AI206">
        <v>13.01</v>
      </c>
      <c r="AJ206" s="2">
        <f t="shared" si="33"/>
        <v>-1.44</v>
      </c>
      <c r="AK206" s="3">
        <f t="shared" si="34"/>
        <v>-0.0996539792387543</v>
      </c>
      <c r="AL206">
        <v>12.48</v>
      </c>
      <c r="AM206">
        <v>12.25</v>
      </c>
      <c r="AN206" s="3">
        <f t="shared" si="35"/>
        <v>-0.0467067802549166</v>
      </c>
    </row>
    <row r="207" spans="1:40">
      <c r="A207">
        <v>123153</v>
      </c>
      <c r="B207" t="s">
        <v>456</v>
      </c>
      <c r="C207" s="4">
        <v>44763</v>
      </c>
      <c r="D207">
        <v>370956</v>
      </c>
      <c r="E207">
        <v>300956</v>
      </c>
      <c r="F207" t="s">
        <v>457</v>
      </c>
      <c r="G207">
        <v>0.0004921466</v>
      </c>
      <c r="H207" s="4">
        <v>44784</v>
      </c>
      <c r="I207" t="s">
        <v>50</v>
      </c>
      <c r="J207" s="4">
        <v>44587</v>
      </c>
      <c r="K207" s="5">
        <v>44693</v>
      </c>
      <c r="L207">
        <v>176</v>
      </c>
      <c r="M207">
        <v>70</v>
      </c>
      <c r="N207">
        <v>13.22</v>
      </c>
      <c r="O207">
        <v>13.39</v>
      </c>
      <c r="P207">
        <v>11.22</v>
      </c>
      <c r="Q207">
        <v>11.81</v>
      </c>
      <c r="R207">
        <v>13.7</v>
      </c>
      <c r="S207">
        <v>13.89</v>
      </c>
      <c r="T207" s="2">
        <f t="shared" si="27"/>
        <v>2.08</v>
      </c>
      <c r="U207" s="3">
        <f t="shared" si="28"/>
        <v>0.176121930567316</v>
      </c>
      <c r="V207">
        <v>12.9</v>
      </c>
      <c r="W207">
        <v>12.8</v>
      </c>
      <c r="X207" s="2">
        <f t="shared" si="29"/>
        <v>0.99</v>
      </c>
      <c r="Y207" s="3">
        <f t="shared" si="30"/>
        <v>0.0838272650296359</v>
      </c>
      <c r="Z207" s="2">
        <f t="shared" si="31"/>
        <v>-1.09</v>
      </c>
      <c r="AA207" s="3">
        <f t="shared" si="32"/>
        <v>-0.0784737221022318</v>
      </c>
      <c r="AB207">
        <v>12.46</v>
      </c>
      <c r="AC207">
        <v>12.52</v>
      </c>
      <c r="AD207">
        <v>16.95</v>
      </c>
      <c r="AE207">
        <v>16.65</v>
      </c>
      <c r="AF207">
        <v>14.48</v>
      </c>
      <c r="AG207">
        <v>14.38</v>
      </c>
      <c r="AH207">
        <v>13.32</v>
      </c>
      <c r="AI207">
        <v>13.01</v>
      </c>
      <c r="AJ207" s="2">
        <f t="shared" si="33"/>
        <v>-1.37</v>
      </c>
      <c r="AK207" s="3">
        <f t="shared" si="34"/>
        <v>-0.0952712100139083</v>
      </c>
      <c r="AL207">
        <v>12.08</v>
      </c>
      <c r="AM207">
        <v>12.35</v>
      </c>
      <c r="AN207" s="3">
        <f t="shared" si="35"/>
        <v>0.179098475043544</v>
      </c>
    </row>
    <row r="208" spans="1:40">
      <c r="A208">
        <v>123152</v>
      </c>
      <c r="B208" t="s">
        <v>458</v>
      </c>
      <c r="C208" s="4">
        <v>44763</v>
      </c>
      <c r="D208">
        <v>370727</v>
      </c>
      <c r="E208">
        <v>300727</v>
      </c>
      <c r="F208" t="s">
        <v>459</v>
      </c>
      <c r="G208">
        <v>0.000613369</v>
      </c>
      <c r="H208" s="4">
        <v>44784</v>
      </c>
      <c r="I208" t="s">
        <v>50</v>
      </c>
      <c r="J208" s="4">
        <v>44645</v>
      </c>
      <c r="K208" s="5">
        <v>44734</v>
      </c>
      <c r="L208">
        <v>118</v>
      </c>
      <c r="M208">
        <v>29</v>
      </c>
      <c r="N208">
        <v>18.95</v>
      </c>
      <c r="O208">
        <v>18.62</v>
      </c>
      <c r="P208">
        <v>21.49</v>
      </c>
      <c r="Q208">
        <v>21.45</v>
      </c>
      <c r="R208">
        <v>23.34</v>
      </c>
      <c r="S208">
        <v>23.25</v>
      </c>
      <c r="T208" s="2">
        <f t="shared" si="27"/>
        <v>1.8</v>
      </c>
      <c r="U208" s="3">
        <f t="shared" si="28"/>
        <v>0.0839160839160839</v>
      </c>
      <c r="V208">
        <v>21.89</v>
      </c>
      <c r="W208">
        <v>21.66</v>
      </c>
      <c r="X208" s="2">
        <f t="shared" si="29"/>
        <v>0.210000000000001</v>
      </c>
      <c r="Y208" s="3">
        <f t="shared" si="30"/>
        <v>0.00979020979020983</v>
      </c>
      <c r="Z208" s="2">
        <f t="shared" si="31"/>
        <v>-1.59</v>
      </c>
      <c r="AA208" s="3">
        <f t="shared" si="32"/>
        <v>-0.0683870967741935</v>
      </c>
      <c r="AB208">
        <v>31.78</v>
      </c>
      <c r="AC208">
        <v>34.72</v>
      </c>
      <c r="AD208">
        <v>15.15</v>
      </c>
      <c r="AE208">
        <v>14.98</v>
      </c>
      <c r="AF208">
        <v>14.36</v>
      </c>
      <c r="AG208">
        <v>14.08</v>
      </c>
      <c r="AH208">
        <v>13.32</v>
      </c>
      <c r="AI208">
        <v>13.01</v>
      </c>
      <c r="AJ208" s="2">
        <f t="shared" si="33"/>
        <v>-1.07</v>
      </c>
      <c r="AK208" s="3">
        <f t="shared" si="34"/>
        <v>-0.0759943181818182</v>
      </c>
      <c r="AL208">
        <v>12.08</v>
      </c>
      <c r="AM208">
        <v>12.35</v>
      </c>
      <c r="AN208" s="3">
        <f t="shared" si="35"/>
        <v>0.085784527972028</v>
      </c>
    </row>
    <row r="209" spans="1:40">
      <c r="A209">
        <v>118013</v>
      </c>
      <c r="B209" t="s">
        <v>460</v>
      </c>
      <c r="C209" s="4">
        <v>44750</v>
      </c>
      <c r="D209">
        <v>718208</v>
      </c>
      <c r="E209">
        <v>688208</v>
      </c>
      <c r="F209" t="s">
        <v>461</v>
      </c>
      <c r="G209">
        <v>0.0036183</v>
      </c>
      <c r="H209" s="4">
        <v>44770</v>
      </c>
      <c r="I209" t="s">
        <v>40</v>
      </c>
      <c r="J209" s="4">
        <v>44653</v>
      </c>
      <c r="K209" s="5">
        <v>44720</v>
      </c>
      <c r="L209">
        <v>97</v>
      </c>
      <c r="M209">
        <v>30</v>
      </c>
      <c r="N209">
        <v>25.04</v>
      </c>
      <c r="O209">
        <v>24.39</v>
      </c>
      <c r="P209">
        <v>24.89</v>
      </c>
      <c r="Q209">
        <v>23.75</v>
      </c>
      <c r="R209">
        <v>20.73</v>
      </c>
      <c r="S209">
        <v>20.93</v>
      </c>
      <c r="T209" s="2">
        <f t="shared" si="27"/>
        <v>-2.82</v>
      </c>
      <c r="U209" s="3">
        <f t="shared" si="28"/>
        <v>-0.118736842105263</v>
      </c>
      <c r="V209">
        <v>20.7</v>
      </c>
      <c r="W209">
        <v>20.3</v>
      </c>
      <c r="X209" s="2">
        <f t="shared" si="29"/>
        <v>-3.45</v>
      </c>
      <c r="Y209" s="3">
        <f t="shared" si="30"/>
        <v>-0.145263157894737</v>
      </c>
      <c r="Z209" s="2">
        <f t="shared" si="31"/>
        <v>-0.629999999999999</v>
      </c>
      <c r="AA209" s="3">
        <f t="shared" si="32"/>
        <v>-0.0301003344481605</v>
      </c>
      <c r="AB209">
        <v>21.52</v>
      </c>
      <c r="AC209">
        <v>22.8</v>
      </c>
      <c r="AD209">
        <v>15.64</v>
      </c>
      <c r="AE209">
        <v>16.39</v>
      </c>
      <c r="AF209">
        <v>14.16</v>
      </c>
      <c r="AG209">
        <v>14.16</v>
      </c>
      <c r="AH209">
        <v>14.5</v>
      </c>
      <c r="AI209">
        <v>14.54</v>
      </c>
      <c r="AJ209" s="2">
        <f t="shared" si="33"/>
        <v>0.379999999999999</v>
      </c>
      <c r="AK209" s="3">
        <f t="shared" si="34"/>
        <v>0.0268361581920903</v>
      </c>
      <c r="AL209">
        <v>12.81</v>
      </c>
      <c r="AM209">
        <v>12.88</v>
      </c>
      <c r="AN209" s="3">
        <f t="shared" si="35"/>
        <v>-0.172099316086827</v>
      </c>
    </row>
    <row r="210" spans="1:40">
      <c r="A210">
        <v>118012</v>
      </c>
      <c r="B210" t="s">
        <v>462</v>
      </c>
      <c r="C210" s="4">
        <v>44747</v>
      </c>
      <c r="D210">
        <v>718321</v>
      </c>
      <c r="E210">
        <v>688321</v>
      </c>
      <c r="F210" t="s">
        <v>463</v>
      </c>
      <c r="G210">
        <v>0.00190876</v>
      </c>
      <c r="H210" s="4">
        <v>44770</v>
      </c>
      <c r="I210" t="s">
        <v>50</v>
      </c>
      <c r="J210" s="4">
        <v>44610</v>
      </c>
      <c r="K210" s="5">
        <v>44733</v>
      </c>
      <c r="L210">
        <v>137</v>
      </c>
      <c r="M210">
        <v>14</v>
      </c>
      <c r="N210">
        <v>29.35</v>
      </c>
      <c r="O210">
        <v>29.82</v>
      </c>
      <c r="P210">
        <v>24.98</v>
      </c>
      <c r="Q210">
        <v>24.88</v>
      </c>
      <c r="R210">
        <v>25.56</v>
      </c>
      <c r="S210">
        <v>26.78</v>
      </c>
      <c r="T210" s="2">
        <f t="shared" si="27"/>
        <v>1.9</v>
      </c>
      <c r="U210" s="3">
        <f t="shared" si="28"/>
        <v>0.0763665594855306</v>
      </c>
      <c r="V210">
        <v>26.3</v>
      </c>
      <c r="W210">
        <v>25.94</v>
      </c>
      <c r="X210" s="2">
        <f t="shared" si="29"/>
        <v>1.06</v>
      </c>
      <c r="Y210" s="3">
        <f t="shared" si="30"/>
        <v>0.0426045016077171</v>
      </c>
      <c r="Z210" s="2">
        <f t="shared" si="31"/>
        <v>-0.84</v>
      </c>
      <c r="AA210" s="3">
        <f t="shared" si="32"/>
        <v>-0.0313666915608663</v>
      </c>
      <c r="AB210">
        <v>25.05</v>
      </c>
      <c r="AC210">
        <v>25.27</v>
      </c>
      <c r="AD210">
        <v>16.32</v>
      </c>
      <c r="AE210">
        <v>16.77</v>
      </c>
      <c r="AF210">
        <v>14.34</v>
      </c>
      <c r="AG210">
        <v>14.37</v>
      </c>
      <c r="AH210">
        <v>14.99</v>
      </c>
      <c r="AI210">
        <v>14.91</v>
      </c>
      <c r="AJ210" s="2">
        <f t="shared" si="33"/>
        <v>0.540000000000001</v>
      </c>
      <c r="AK210" s="3">
        <f t="shared" si="34"/>
        <v>0.0375782881002088</v>
      </c>
      <c r="AL210">
        <v>12.81</v>
      </c>
      <c r="AM210">
        <v>12.88</v>
      </c>
      <c r="AN210" s="3">
        <f t="shared" si="35"/>
        <v>0.0050262135075083</v>
      </c>
    </row>
    <row r="211" spans="1:40">
      <c r="A211">
        <v>118011</v>
      </c>
      <c r="B211" t="s">
        <v>464</v>
      </c>
      <c r="C211" s="4">
        <v>44746</v>
      </c>
      <c r="D211">
        <v>718689</v>
      </c>
      <c r="E211">
        <v>688689</v>
      </c>
      <c r="F211" t="s">
        <v>465</v>
      </c>
      <c r="G211">
        <v>0.00186904</v>
      </c>
      <c r="H211" s="4">
        <v>44775</v>
      </c>
      <c r="I211" t="s">
        <v>50</v>
      </c>
      <c r="J211" s="4">
        <v>44692</v>
      </c>
      <c r="K211" s="5">
        <v>44723</v>
      </c>
      <c r="L211">
        <v>54</v>
      </c>
      <c r="M211">
        <v>23</v>
      </c>
      <c r="N211">
        <v>25.23</v>
      </c>
      <c r="O211">
        <v>25.91</v>
      </c>
      <c r="P211">
        <v>28.35</v>
      </c>
      <c r="Q211">
        <v>29.38</v>
      </c>
      <c r="R211">
        <v>31.8</v>
      </c>
      <c r="S211">
        <v>31.13</v>
      </c>
      <c r="T211" s="2">
        <f t="shared" si="27"/>
        <v>1.75</v>
      </c>
      <c r="U211" s="3">
        <f t="shared" si="28"/>
        <v>0.0595643294758339</v>
      </c>
      <c r="V211">
        <v>29.95</v>
      </c>
      <c r="W211">
        <v>29.02</v>
      </c>
      <c r="X211" s="2">
        <f t="shared" si="29"/>
        <v>-0.359999999999999</v>
      </c>
      <c r="Y211" s="3">
        <f t="shared" si="30"/>
        <v>-0.0122532334921715</v>
      </c>
      <c r="Z211" s="2">
        <f t="shared" si="31"/>
        <v>-2.11</v>
      </c>
      <c r="AA211" s="3">
        <f t="shared" si="32"/>
        <v>-0.0677802762608416</v>
      </c>
      <c r="AB211">
        <v>29.38</v>
      </c>
      <c r="AC211">
        <v>28.57</v>
      </c>
      <c r="AD211">
        <v>14.54</v>
      </c>
      <c r="AE211">
        <v>14.63</v>
      </c>
      <c r="AF211">
        <v>14.18</v>
      </c>
      <c r="AG211">
        <v>13.91</v>
      </c>
      <c r="AH211">
        <v>14.95</v>
      </c>
      <c r="AI211">
        <v>14.94</v>
      </c>
      <c r="AJ211" s="2">
        <f t="shared" si="33"/>
        <v>1.03</v>
      </c>
      <c r="AK211" s="3">
        <f t="shared" si="34"/>
        <v>0.0740474478792235</v>
      </c>
      <c r="AL211">
        <v>12.22</v>
      </c>
      <c r="AM211">
        <v>12.26</v>
      </c>
      <c r="AN211" s="3">
        <f t="shared" si="35"/>
        <v>-0.0863006813713951</v>
      </c>
    </row>
    <row r="212" spans="1:40">
      <c r="A212">
        <v>123151</v>
      </c>
      <c r="B212" t="s">
        <v>466</v>
      </c>
      <c r="C212" s="4">
        <v>44743</v>
      </c>
      <c r="D212">
        <v>370869</v>
      </c>
      <c r="E212">
        <v>300869</v>
      </c>
      <c r="F212" t="s">
        <v>467</v>
      </c>
      <c r="G212">
        <v>0.0022130983</v>
      </c>
      <c r="H212" s="4">
        <v>44762</v>
      </c>
      <c r="I212" t="s">
        <v>50</v>
      </c>
      <c r="J212" s="4">
        <v>44582</v>
      </c>
      <c r="K212" s="5">
        <v>44701</v>
      </c>
      <c r="L212">
        <v>161</v>
      </c>
      <c r="M212">
        <v>42</v>
      </c>
      <c r="N212">
        <v>38.03</v>
      </c>
      <c r="O212">
        <v>34.32</v>
      </c>
      <c r="P212">
        <v>26.13</v>
      </c>
      <c r="Q212">
        <v>26.82</v>
      </c>
      <c r="R212">
        <v>27.36</v>
      </c>
      <c r="S212">
        <v>27.59</v>
      </c>
      <c r="T212" s="2">
        <f t="shared" si="27"/>
        <v>0.77</v>
      </c>
      <c r="U212" s="3">
        <f t="shared" si="28"/>
        <v>0.0287099179716629</v>
      </c>
      <c r="V212">
        <v>27.39</v>
      </c>
      <c r="W212">
        <v>26.91</v>
      </c>
      <c r="X212" s="2">
        <f t="shared" si="29"/>
        <v>0.0899999999999999</v>
      </c>
      <c r="Y212" s="3">
        <f t="shared" si="30"/>
        <v>0.00335570469798657</v>
      </c>
      <c r="Z212" s="2">
        <f t="shared" si="31"/>
        <v>-0.68</v>
      </c>
      <c r="AA212" s="3">
        <f t="shared" si="32"/>
        <v>-0.024646611090975</v>
      </c>
      <c r="AB212">
        <v>27.01</v>
      </c>
      <c r="AC212">
        <v>27.34</v>
      </c>
      <c r="AD212">
        <v>17.45</v>
      </c>
      <c r="AE212">
        <v>17.35</v>
      </c>
      <c r="AF212">
        <v>14.7</v>
      </c>
      <c r="AG212">
        <v>15.02</v>
      </c>
      <c r="AH212">
        <v>15</v>
      </c>
      <c r="AI212">
        <v>14.92</v>
      </c>
      <c r="AJ212" s="2">
        <f t="shared" si="33"/>
        <v>-0.0999999999999996</v>
      </c>
      <c r="AK212" s="3">
        <f t="shared" si="34"/>
        <v>-0.00665778961384818</v>
      </c>
      <c r="AL212">
        <v>13.43</v>
      </c>
      <c r="AM212">
        <v>13.39</v>
      </c>
      <c r="AN212" s="3">
        <f t="shared" si="35"/>
        <v>0.0100134943118348</v>
      </c>
    </row>
    <row r="213" spans="1:40">
      <c r="A213">
        <v>123150</v>
      </c>
      <c r="B213" t="s">
        <v>468</v>
      </c>
      <c r="C213" s="4">
        <v>44742</v>
      </c>
      <c r="D213">
        <v>370406</v>
      </c>
      <c r="E213">
        <v>300406</v>
      </c>
      <c r="F213" t="s">
        <v>469</v>
      </c>
      <c r="G213">
        <v>0.0033260952</v>
      </c>
      <c r="H213" s="4">
        <v>44762</v>
      </c>
      <c r="I213" t="s">
        <v>55</v>
      </c>
      <c r="J213" s="4">
        <v>44641</v>
      </c>
      <c r="K213" s="5">
        <v>44719</v>
      </c>
      <c r="L213">
        <v>101</v>
      </c>
      <c r="M213">
        <v>23</v>
      </c>
      <c r="N213">
        <v>18.36</v>
      </c>
      <c r="O213">
        <v>18.06</v>
      </c>
      <c r="P213">
        <v>16.18</v>
      </c>
      <c r="Q213">
        <v>16.03</v>
      </c>
      <c r="R213">
        <v>17.45</v>
      </c>
      <c r="S213">
        <v>16.85</v>
      </c>
      <c r="T213" s="2">
        <f t="shared" si="27"/>
        <v>0.82</v>
      </c>
      <c r="U213" s="3">
        <f t="shared" si="28"/>
        <v>0.0511540860885839</v>
      </c>
      <c r="V213">
        <v>16.75</v>
      </c>
      <c r="W213">
        <v>16.59</v>
      </c>
      <c r="X213" s="2">
        <f t="shared" si="29"/>
        <v>0.559999999999999</v>
      </c>
      <c r="Y213" s="3">
        <f t="shared" si="30"/>
        <v>0.0349344978165938</v>
      </c>
      <c r="Z213" s="2">
        <f t="shared" si="31"/>
        <v>-0.260000000000002</v>
      </c>
      <c r="AA213" s="3">
        <f t="shared" si="32"/>
        <v>-0.0154302670623146</v>
      </c>
      <c r="AB213">
        <v>16.83</v>
      </c>
      <c r="AC213">
        <v>17.81</v>
      </c>
      <c r="AD213">
        <v>14.5</v>
      </c>
      <c r="AE213">
        <v>14.59</v>
      </c>
      <c r="AF213">
        <v>14.02</v>
      </c>
      <c r="AG213">
        <v>14.16</v>
      </c>
      <c r="AH213">
        <v>14.63</v>
      </c>
      <c r="AI213">
        <v>14.98</v>
      </c>
      <c r="AJ213" s="2">
        <f t="shared" si="33"/>
        <v>0.82</v>
      </c>
      <c r="AK213" s="3">
        <f t="shared" si="34"/>
        <v>0.057909604519774</v>
      </c>
      <c r="AL213">
        <v>13.43</v>
      </c>
      <c r="AM213">
        <v>13.39</v>
      </c>
      <c r="AN213" s="3">
        <f t="shared" si="35"/>
        <v>-0.0229751067031802</v>
      </c>
    </row>
    <row r="214" spans="1:40">
      <c r="A214">
        <v>118010</v>
      </c>
      <c r="B214" t="s">
        <v>470</v>
      </c>
      <c r="C214" s="4">
        <v>44740</v>
      </c>
      <c r="D214">
        <v>718026</v>
      </c>
      <c r="E214">
        <v>688026</v>
      </c>
      <c r="F214" t="s">
        <v>471</v>
      </c>
      <c r="G214">
        <v>0.00128853</v>
      </c>
      <c r="H214" s="4">
        <v>44775</v>
      </c>
      <c r="I214" t="s">
        <v>50</v>
      </c>
      <c r="J214" s="4">
        <v>44588</v>
      </c>
      <c r="K214" s="5">
        <v>44631</v>
      </c>
      <c r="L214">
        <v>152</v>
      </c>
      <c r="M214">
        <v>109</v>
      </c>
      <c r="N214">
        <v>49.36</v>
      </c>
      <c r="O214">
        <v>49.57</v>
      </c>
      <c r="P214">
        <v>50.36</v>
      </c>
      <c r="Q214">
        <v>50.5</v>
      </c>
      <c r="R214">
        <v>50.35</v>
      </c>
      <c r="S214">
        <v>52.15</v>
      </c>
      <c r="T214" s="2">
        <f t="shared" si="27"/>
        <v>1.65</v>
      </c>
      <c r="U214" s="3">
        <f t="shared" si="28"/>
        <v>0.0326732673267326</v>
      </c>
      <c r="V214">
        <v>49.03</v>
      </c>
      <c r="W214">
        <v>48.65</v>
      </c>
      <c r="X214" s="2">
        <f t="shared" si="29"/>
        <v>-1.85</v>
      </c>
      <c r="Y214" s="3">
        <f t="shared" si="30"/>
        <v>-0.0366336633663367</v>
      </c>
      <c r="Z214" s="2">
        <f t="shared" si="31"/>
        <v>-3.5</v>
      </c>
      <c r="AA214" s="3">
        <f t="shared" si="32"/>
        <v>-0.0671140939597315</v>
      </c>
      <c r="AB214">
        <v>43.18</v>
      </c>
      <c r="AC214">
        <v>40.37</v>
      </c>
      <c r="AD214">
        <v>16.5</v>
      </c>
      <c r="AE214">
        <v>16.3</v>
      </c>
      <c r="AF214">
        <v>14.4</v>
      </c>
      <c r="AG214">
        <v>14.9</v>
      </c>
      <c r="AH214">
        <v>14.47</v>
      </c>
      <c r="AI214">
        <v>14.63</v>
      </c>
      <c r="AJ214" s="2">
        <f t="shared" si="33"/>
        <v>-0.27</v>
      </c>
      <c r="AK214" s="3">
        <f t="shared" si="34"/>
        <v>-0.0181208053691275</v>
      </c>
      <c r="AL214">
        <v>12.22</v>
      </c>
      <c r="AM214">
        <v>12.26</v>
      </c>
      <c r="AN214" s="3">
        <f t="shared" si="35"/>
        <v>-0.0185128579972092</v>
      </c>
    </row>
    <row r="215" spans="1:40">
      <c r="A215">
        <v>118009</v>
      </c>
      <c r="B215" t="s">
        <v>472</v>
      </c>
      <c r="C215" s="4">
        <v>44736</v>
      </c>
      <c r="D215">
        <v>718059</v>
      </c>
      <c r="E215">
        <v>688059</v>
      </c>
      <c r="F215" t="s">
        <v>473</v>
      </c>
      <c r="G215">
        <v>0.00097933</v>
      </c>
      <c r="H215" s="4">
        <v>44763</v>
      </c>
      <c r="I215" t="s">
        <v>50</v>
      </c>
      <c r="J215" s="4">
        <v>44615</v>
      </c>
      <c r="K215" s="5">
        <v>44720</v>
      </c>
      <c r="L215">
        <v>121</v>
      </c>
      <c r="M215">
        <v>16</v>
      </c>
      <c r="N215">
        <v>65.58</v>
      </c>
      <c r="O215">
        <v>67.98</v>
      </c>
      <c r="P215">
        <v>65.9</v>
      </c>
      <c r="Q215">
        <v>66.55</v>
      </c>
      <c r="R215">
        <v>64.62</v>
      </c>
      <c r="S215">
        <v>68.03</v>
      </c>
      <c r="T215" s="2">
        <f t="shared" si="27"/>
        <v>1.48</v>
      </c>
      <c r="U215" s="3">
        <f t="shared" si="28"/>
        <v>0.0222389181066868</v>
      </c>
      <c r="V215">
        <v>66.19</v>
      </c>
      <c r="W215">
        <v>69.18</v>
      </c>
      <c r="X215" s="2">
        <f t="shared" si="29"/>
        <v>2.63000000000001</v>
      </c>
      <c r="Y215" s="3">
        <f t="shared" si="30"/>
        <v>0.0395191585274231</v>
      </c>
      <c r="Z215" s="2">
        <f t="shared" si="31"/>
        <v>1.15000000000001</v>
      </c>
      <c r="AA215" s="3">
        <f t="shared" si="32"/>
        <v>0.0169043069234162</v>
      </c>
      <c r="AB215">
        <v>68.08</v>
      </c>
      <c r="AC215">
        <v>67.82</v>
      </c>
      <c r="AD215">
        <v>16.3</v>
      </c>
      <c r="AE215">
        <v>16.19</v>
      </c>
      <c r="AF215">
        <v>14.16</v>
      </c>
      <c r="AG215">
        <v>14.16</v>
      </c>
      <c r="AH215">
        <v>14.2</v>
      </c>
      <c r="AI215">
        <v>14.23</v>
      </c>
      <c r="AJ215" s="2">
        <f t="shared" si="33"/>
        <v>0.0700000000000003</v>
      </c>
      <c r="AK215" s="3">
        <f t="shared" si="34"/>
        <v>0.00494350282485878</v>
      </c>
      <c r="AL215">
        <v>13.32</v>
      </c>
      <c r="AM215">
        <v>13.01</v>
      </c>
      <c r="AN215" s="3">
        <f t="shared" si="35"/>
        <v>0.0345756557025644</v>
      </c>
    </row>
    <row r="216" spans="1:40">
      <c r="A216">
        <v>118008</v>
      </c>
      <c r="B216" t="s">
        <v>474</v>
      </c>
      <c r="C216" s="4">
        <v>44735</v>
      </c>
      <c r="D216">
        <v>718680</v>
      </c>
      <c r="E216">
        <v>688680</v>
      </c>
      <c r="F216" t="s">
        <v>475</v>
      </c>
      <c r="G216">
        <v>0.00217149</v>
      </c>
      <c r="H216" s="4">
        <v>44763</v>
      </c>
      <c r="I216" t="s">
        <v>121</v>
      </c>
      <c r="J216" s="4">
        <v>44644</v>
      </c>
      <c r="K216" s="5">
        <v>44722</v>
      </c>
      <c r="L216">
        <v>91</v>
      </c>
      <c r="M216">
        <v>13</v>
      </c>
      <c r="N216">
        <v>212.63</v>
      </c>
      <c r="O216">
        <v>209.92</v>
      </c>
      <c r="P216">
        <v>215.44</v>
      </c>
      <c r="Q216">
        <v>217.76</v>
      </c>
      <c r="R216">
        <v>209.62</v>
      </c>
      <c r="S216">
        <v>209.71</v>
      </c>
      <c r="T216" s="2">
        <f t="shared" si="27"/>
        <v>-8.04999999999998</v>
      </c>
      <c r="U216" s="3">
        <f t="shared" si="28"/>
        <v>-0.0369673034533431</v>
      </c>
      <c r="V216">
        <v>210.34</v>
      </c>
      <c r="W216">
        <v>208.86</v>
      </c>
      <c r="X216" s="2">
        <f t="shared" si="29"/>
        <v>-8.89999999999998</v>
      </c>
      <c r="Y216" s="3">
        <f t="shared" si="30"/>
        <v>-0.0408706833210873</v>
      </c>
      <c r="Z216" s="2">
        <f t="shared" si="31"/>
        <v>-0.849999999999994</v>
      </c>
      <c r="AA216" s="3">
        <f t="shared" si="32"/>
        <v>-0.00405321634638307</v>
      </c>
      <c r="AB216">
        <v>214.76</v>
      </c>
      <c r="AC216">
        <v>213.93</v>
      </c>
      <c r="AD216">
        <v>14.92</v>
      </c>
      <c r="AE216">
        <v>15.2</v>
      </c>
      <c r="AF216">
        <v>14.26</v>
      </c>
      <c r="AG216">
        <v>14.32</v>
      </c>
      <c r="AH216">
        <v>14.09</v>
      </c>
      <c r="AI216">
        <v>14.2</v>
      </c>
      <c r="AJ216" s="2">
        <f t="shared" si="33"/>
        <v>-0.120000000000001</v>
      </c>
      <c r="AK216" s="3">
        <f t="shared" si="34"/>
        <v>-0.00837988826815649</v>
      </c>
      <c r="AL216">
        <v>13.32</v>
      </c>
      <c r="AM216">
        <v>13.01</v>
      </c>
      <c r="AN216" s="3">
        <f t="shared" si="35"/>
        <v>-0.0324907950529308</v>
      </c>
    </row>
    <row r="217" spans="1:40">
      <c r="A217">
        <v>123149</v>
      </c>
      <c r="B217" t="s">
        <v>476</v>
      </c>
      <c r="C217" s="4">
        <v>44732</v>
      </c>
      <c r="D217">
        <v>370185</v>
      </c>
      <c r="E217">
        <v>300185</v>
      </c>
      <c r="F217" t="s">
        <v>477</v>
      </c>
      <c r="G217">
        <v>0.004226389</v>
      </c>
      <c r="H217" s="4">
        <v>44757</v>
      </c>
      <c r="I217" t="s">
        <v>40</v>
      </c>
      <c r="J217" s="4">
        <v>44631</v>
      </c>
      <c r="K217" s="5">
        <v>44700</v>
      </c>
      <c r="L217">
        <v>101</v>
      </c>
      <c r="M217">
        <v>32</v>
      </c>
      <c r="N217">
        <v>2.96</v>
      </c>
      <c r="O217">
        <v>2.99</v>
      </c>
      <c r="P217">
        <v>2.45</v>
      </c>
      <c r="Q217">
        <v>2.56</v>
      </c>
      <c r="R217">
        <v>2.78</v>
      </c>
      <c r="S217">
        <v>2.85</v>
      </c>
      <c r="T217" s="2">
        <f t="shared" si="27"/>
        <v>0.29</v>
      </c>
      <c r="U217" s="3">
        <f t="shared" si="28"/>
        <v>0.11328125</v>
      </c>
      <c r="V217">
        <v>2.79</v>
      </c>
      <c r="W217">
        <v>2.89</v>
      </c>
      <c r="X217" s="2">
        <f t="shared" si="29"/>
        <v>0.33</v>
      </c>
      <c r="Y217" s="3">
        <f t="shared" si="30"/>
        <v>0.12890625</v>
      </c>
      <c r="Z217" s="2">
        <f t="shared" si="31"/>
        <v>0.04</v>
      </c>
      <c r="AA217" s="3">
        <f t="shared" si="32"/>
        <v>0.0140350877192983</v>
      </c>
      <c r="AB217">
        <v>3.01</v>
      </c>
      <c r="AC217">
        <v>3.06</v>
      </c>
      <c r="AD217">
        <v>14.4</v>
      </c>
      <c r="AE217">
        <v>14.9</v>
      </c>
      <c r="AF217">
        <v>14.55</v>
      </c>
      <c r="AG217">
        <v>14.62</v>
      </c>
      <c r="AH217">
        <v>14.44</v>
      </c>
      <c r="AI217">
        <v>14.34</v>
      </c>
      <c r="AJ217" s="2">
        <f t="shared" si="33"/>
        <v>-0.279999999999999</v>
      </c>
      <c r="AK217" s="3">
        <f t="shared" si="34"/>
        <v>-0.0191518467852257</v>
      </c>
      <c r="AL217">
        <v>13.48</v>
      </c>
      <c r="AM217">
        <v>13.24</v>
      </c>
      <c r="AN217" s="3">
        <f t="shared" si="35"/>
        <v>0.148058096785226</v>
      </c>
    </row>
    <row r="218" spans="1:40">
      <c r="A218">
        <v>123148</v>
      </c>
      <c r="B218" t="s">
        <v>478</v>
      </c>
      <c r="C218" s="4">
        <v>44726</v>
      </c>
      <c r="D218">
        <v>370827</v>
      </c>
      <c r="E218">
        <v>300827</v>
      </c>
      <c r="F218" t="s">
        <v>479</v>
      </c>
      <c r="G218">
        <v>0.0014433022</v>
      </c>
      <c r="H218" s="4">
        <v>44743</v>
      </c>
      <c r="I218" t="s">
        <v>50</v>
      </c>
      <c r="J218" s="4">
        <v>44645</v>
      </c>
      <c r="K218" s="5">
        <v>44694</v>
      </c>
      <c r="L218">
        <v>81</v>
      </c>
      <c r="M218">
        <v>32</v>
      </c>
      <c r="N218">
        <v>18.84</v>
      </c>
      <c r="O218">
        <v>18.58</v>
      </c>
      <c r="P218">
        <v>15.87</v>
      </c>
      <c r="Q218">
        <v>15.63</v>
      </c>
      <c r="R218">
        <v>21.83</v>
      </c>
      <c r="S218">
        <v>23.1</v>
      </c>
      <c r="T218" s="2">
        <f t="shared" si="27"/>
        <v>7.47</v>
      </c>
      <c r="U218" s="3">
        <f t="shared" si="28"/>
        <v>0.477927063339731</v>
      </c>
      <c r="V218">
        <v>22.07</v>
      </c>
      <c r="W218">
        <v>23.33</v>
      </c>
      <c r="X218" s="2">
        <f t="shared" si="29"/>
        <v>7.7</v>
      </c>
      <c r="Y218" s="3">
        <f t="shared" si="30"/>
        <v>0.492642354446577</v>
      </c>
      <c r="Z218" s="2">
        <f t="shared" si="31"/>
        <v>0.229999999999997</v>
      </c>
      <c r="AA218" s="3">
        <f t="shared" si="32"/>
        <v>0.00995670995670982</v>
      </c>
      <c r="AB218">
        <v>25.63</v>
      </c>
      <c r="AC218">
        <v>24.79</v>
      </c>
      <c r="AD218">
        <v>15.15</v>
      </c>
      <c r="AE218">
        <v>14.98</v>
      </c>
      <c r="AF218">
        <v>14.5</v>
      </c>
      <c r="AG218">
        <v>14.61</v>
      </c>
      <c r="AH218">
        <v>13.71</v>
      </c>
      <c r="AI218">
        <v>14.12</v>
      </c>
      <c r="AJ218" s="2">
        <f t="shared" si="33"/>
        <v>-0.49</v>
      </c>
      <c r="AK218" s="3">
        <f t="shared" si="34"/>
        <v>-0.0335386721423683</v>
      </c>
      <c r="AL218">
        <v>15</v>
      </c>
      <c r="AM218">
        <v>14.92</v>
      </c>
      <c r="AN218" s="3">
        <f t="shared" si="35"/>
        <v>0.526181026588945</v>
      </c>
    </row>
    <row r="219" spans="1:40">
      <c r="A219">
        <v>123147</v>
      </c>
      <c r="B219" t="s">
        <v>480</v>
      </c>
      <c r="C219" s="4">
        <v>44712</v>
      </c>
      <c r="D219">
        <v>370933</v>
      </c>
      <c r="E219">
        <v>300933</v>
      </c>
      <c r="F219" t="s">
        <v>481</v>
      </c>
      <c r="G219">
        <v>0.0012720896</v>
      </c>
      <c r="H219" s="4">
        <v>44733</v>
      </c>
      <c r="I219" t="s">
        <v>55</v>
      </c>
      <c r="J219" s="4">
        <v>44555</v>
      </c>
      <c r="K219" s="5">
        <v>44670</v>
      </c>
      <c r="L219">
        <v>157</v>
      </c>
      <c r="M219">
        <v>42</v>
      </c>
      <c r="N219">
        <v>12.14</v>
      </c>
      <c r="O219">
        <v>12.32</v>
      </c>
      <c r="P219">
        <v>7.79</v>
      </c>
      <c r="Q219">
        <v>7.87</v>
      </c>
      <c r="R219">
        <v>7.99</v>
      </c>
      <c r="S219">
        <v>8.33</v>
      </c>
      <c r="T219" s="2">
        <f t="shared" si="27"/>
        <v>0.46</v>
      </c>
      <c r="U219" s="3">
        <f t="shared" si="28"/>
        <v>0.0584498094027954</v>
      </c>
      <c r="V219">
        <v>7.85</v>
      </c>
      <c r="W219">
        <v>7.92</v>
      </c>
      <c r="X219" s="2">
        <f t="shared" si="29"/>
        <v>0.0499999999999998</v>
      </c>
      <c r="Y219" s="3">
        <f t="shared" si="30"/>
        <v>0.00635324015247774</v>
      </c>
      <c r="Z219" s="2">
        <f t="shared" si="31"/>
        <v>-0.41</v>
      </c>
      <c r="AA219" s="3">
        <f t="shared" si="32"/>
        <v>-0.0492196878751501</v>
      </c>
      <c r="AB219">
        <v>8.23</v>
      </c>
      <c r="AC219">
        <v>7.99</v>
      </c>
      <c r="AD219">
        <v>17.33</v>
      </c>
      <c r="AE219">
        <v>17.22</v>
      </c>
      <c r="AF219">
        <v>15.9</v>
      </c>
      <c r="AG219">
        <v>15.81</v>
      </c>
      <c r="AH219">
        <v>14.07</v>
      </c>
      <c r="AI219">
        <v>14.16</v>
      </c>
      <c r="AJ219" s="2">
        <f t="shared" si="33"/>
        <v>-1.65</v>
      </c>
      <c r="AK219" s="3">
        <f t="shared" si="34"/>
        <v>-0.104364326375712</v>
      </c>
      <c r="AL219">
        <v>14.34</v>
      </c>
      <c r="AM219">
        <v>14.37</v>
      </c>
      <c r="AN219" s="3">
        <f t="shared" si="35"/>
        <v>0.110717566528189</v>
      </c>
    </row>
    <row r="220" spans="1:40">
      <c r="A220">
        <v>123146</v>
      </c>
      <c r="B220" t="s">
        <v>482</v>
      </c>
      <c r="C220" s="4">
        <v>44687</v>
      </c>
      <c r="D220">
        <v>370692</v>
      </c>
      <c r="E220">
        <v>300692</v>
      </c>
      <c r="F220" t="s">
        <v>483</v>
      </c>
      <c r="G220">
        <v>0.0028708956</v>
      </c>
      <c r="H220" s="4">
        <v>44707</v>
      </c>
      <c r="I220" t="s">
        <v>55</v>
      </c>
      <c r="J220" s="4">
        <v>44518</v>
      </c>
      <c r="K220" s="5">
        <v>44578</v>
      </c>
      <c r="L220">
        <v>169</v>
      </c>
      <c r="M220">
        <v>109</v>
      </c>
      <c r="N220">
        <v>7.83</v>
      </c>
      <c r="O220">
        <v>7.67</v>
      </c>
      <c r="P220">
        <v>8.29</v>
      </c>
      <c r="Q220">
        <v>8.56</v>
      </c>
      <c r="R220">
        <v>6.79</v>
      </c>
      <c r="S220">
        <v>6.96</v>
      </c>
      <c r="T220" s="2">
        <f t="shared" si="27"/>
        <v>-1.6</v>
      </c>
      <c r="U220" s="3">
        <f t="shared" si="28"/>
        <v>-0.186915887850467</v>
      </c>
      <c r="V220">
        <v>6.55</v>
      </c>
      <c r="W220">
        <v>6.55</v>
      </c>
      <c r="X220" s="2">
        <f t="shared" si="29"/>
        <v>-2.01</v>
      </c>
      <c r="Y220" s="3">
        <f t="shared" si="30"/>
        <v>-0.23481308411215</v>
      </c>
      <c r="Z220" s="2">
        <f t="shared" si="31"/>
        <v>-0.41</v>
      </c>
      <c r="AA220" s="3">
        <f t="shared" si="32"/>
        <v>-0.0589080459770115</v>
      </c>
      <c r="AB220">
        <v>7.02</v>
      </c>
      <c r="AC220">
        <v>7.02</v>
      </c>
      <c r="AD220">
        <v>18.09</v>
      </c>
      <c r="AE220">
        <v>17.8</v>
      </c>
      <c r="AF220">
        <v>16.35</v>
      </c>
      <c r="AG220">
        <v>16.22</v>
      </c>
      <c r="AH220">
        <v>15.02</v>
      </c>
      <c r="AI220">
        <v>14.96</v>
      </c>
      <c r="AJ220" s="2">
        <f t="shared" si="33"/>
        <v>-1.26</v>
      </c>
      <c r="AK220" s="3">
        <f t="shared" si="34"/>
        <v>-0.0776818742293464</v>
      </c>
      <c r="AL220">
        <v>14.41</v>
      </c>
      <c r="AM220">
        <v>14.19</v>
      </c>
      <c r="AN220" s="3">
        <f t="shared" si="35"/>
        <v>-0.157131209882803</v>
      </c>
    </row>
    <row r="221" spans="1:40">
      <c r="A221">
        <v>123145</v>
      </c>
      <c r="B221" t="s">
        <v>484</v>
      </c>
      <c r="C221" s="4">
        <v>44671</v>
      </c>
      <c r="D221">
        <v>370725</v>
      </c>
      <c r="E221">
        <v>300725</v>
      </c>
      <c r="F221" t="s">
        <v>485</v>
      </c>
      <c r="G221">
        <v>0.0029664999</v>
      </c>
      <c r="H221" s="4">
        <v>44699</v>
      </c>
      <c r="I221" t="s">
        <v>40</v>
      </c>
      <c r="J221" s="4">
        <v>44526</v>
      </c>
      <c r="K221" s="5">
        <v>44658</v>
      </c>
      <c r="L221">
        <v>145</v>
      </c>
      <c r="M221">
        <v>13</v>
      </c>
      <c r="N221">
        <v>147.26</v>
      </c>
      <c r="O221">
        <v>152.91</v>
      </c>
      <c r="P221">
        <v>90.94</v>
      </c>
      <c r="Q221">
        <v>88.87</v>
      </c>
      <c r="R221">
        <v>82.67</v>
      </c>
      <c r="S221">
        <v>80.09</v>
      </c>
      <c r="T221" s="2">
        <f t="shared" si="27"/>
        <v>-8.78</v>
      </c>
      <c r="U221" s="3">
        <f t="shared" si="28"/>
        <v>-0.0987959941487566</v>
      </c>
      <c r="V221">
        <v>79.26</v>
      </c>
      <c r="W221">
        <v>77.49</v>
      </c>
      <c r="X221" s="2">
        <f t="shared" si="29"/>
        <v>-11.38</v>
      </c>
      <c r="Y221" s="3">
        <f t="shared" si="30"/>
        <v>-0.128052211094858</v>
      </c>
      <c r="Z221" s="2">
        <f t="shared" si="31"/>
        <v>-2.60000000000001</v>
      </c>
      <c r="AA221" s="3">
        <f t="shared" si="32"/>
        <v>-0.0324634785865902</v>
      </c>
      <c r="AB221">
        <v>82.08</v>
      </c>
      <c r="AC221">
        <v>81.08</v>
      </c>
      <c r="AD221">
        <v>17.62</v>
      </c>
      <c r="AE221">
        <v>17.58</v>
      </c>
      <c r="AF221">
        <v>16.38</v>
      </c>
      <c r="AG221">
        <v>16.28</v>
      </c>
      <c r="AH221">
        <v>15.81</v>
      </c>
      <c r="AI221">
        <v>15.85</v>
      </c>
      <c r="AJ221" s="2">
        <f t="shared" si="33"/>
        <v>-0.430000000000001</v>
      </c>
      <c r="AK221" s="3">
        <f t="shared" si="34"/>
        <v>-0.0264127764127765</v>
      </c>
      <c r="AL221">
        <v>14.85</v>
      </c>
      <c r="AM221">
        <v>14.75</v>
      </c>
      <c r="AN221" s="3">
        <f t="shared" si="35"/>
        <v>-0.101639434682081</v>
      </c>
    </row>
    <row r="222" spans="1:40">
      <c r="A222">
        <v>123144</v>
      </c>
      <c r="B222" t="s">
        <v>486</v>
      </c>
      <c r="C222" s="4">
        <v>44662</v>
      </c>
      <c r="D222">
        <v>370305</v>
      </c>
      <c r="E222">
        <v>300305</v>
      </c>
      <c r="F222" t="s">
        <v>487</v>
      </c>
      <c r="G222">
        <v>0.0020619353</v>
      </c>
      <c r="H222" s="4">
        <v>44678</v>
      </c>
      <c r="I222" t="s">
        <v>50</v>
      </c>
      <c r="J222" s="4">
        <v>44560</v>
      </c>
      <c r="K222" s="5">
        <v>44637</v>
      </c>
      <c r="L222">
        <v>102</v>
      </c>
      <c r="M222">
        <v>25</v>
      </c>
      <c r="N222">
        <v>17.81</v>
      </c>
      <c r="O222">
        <v>17.99</v>
      </c>
      <c r="P222">
        <v>13.5</v>
      </c>
      <c r="Q222">
        <v>13.9</v>
      </c>
      <c r="R222">
        <v>13.4</v>
      </c>
      <c r="S222">
        <v>13.28</v>
      </c>
      <c r="T222" s="2">
        <f t="shared" si="27"/>
        <v>-0.620000000000001</v>
      </c>
      <c r="U222" s="3">
        <f t="shared" si="28"/>
        <v>-0.0446043165467627</v>
      </c>
      <c r="V222">
        <v>12.29</v>
      </c>
      <c r="W222">
        <v>11.72</v>
      </c>
      <c r="X222" s="2">
        <f t="shared" si="29"/>
        <v>-2.18</v>
      </c>
      <c r="Y222" s="3">
        <f t="shared" si="30"/>
        <v>-0.156834532374101</v>
      </c>
      <c r="Z222" s="2">
        <f t="shared" si="31"/>
        <v>-1.56</v>
      </c>
      <c r="AA222" s="3">
        <f t="shared" si="32"/>
        <v>-0.117469879518072</v>
      </c>
      <c r="AB222">
        <v>8.73</v>
      </c>
      <c r="AC222">
        <v>9.5</v>
      </c>
      <c r="AD222">
        <v>16.76</v>
      </c>
      <c r="AE222">
        <v>16.82</v>
      </c>
      <c r="AF222">
        <v>14.66</v>
      </c>
      <c r="AG222">
        <v>14.45</v>
      </c>
      <c r="AH222">
        <v>16.35</v>
      </c>
      <c r="AI222">
        <v>16.05</v>
      </c>
      <c r="AJ222" s="2">
        <f t="shared" si="33"/>
        <v>1.6</v>
      </c>
      <c r="AK222" s="3">
        <f t="shared" si="34"/>
        <v>0.110726643598616</v>
      </c>
      <c r="AL222">
        <v>14.98</v>
      </c>
      <c r="AM222">
        <v>15.65</v>
      </c>
      <c r="AN222" s="3">
        <f t="shared" si="35"/>
        <v>-0.267561175972717</v>
      </c>
    </row>
    <row r="223" spans="1:40">
      <c r="A223">
        <v>118007</v>
      </c>
      <c r="B223" t="s">
        <v>488</v>
      </c>
      <c r="C223" s="4">
        <v>44642</v>
      </c>
      <c r="D223">
        <v>718030</v>
      </c>
      <c r="E223">
        <v>688030</v>
      </c>
      <c r="F223" t="s">
        <v>489</v>
      </c>
      <c r="G223">
        <v>0.00178881</v>
      </c>
      <c r="H223" s="4">
        <v>44672</v>
      </c>
      <c r="I223" t="s">
        <v>121</v>
      </c>
      <c r="J223" s="4">
        <v>44447</v>
      </c>
      <c r="K223" s="5">
        <v>44560</v>
      </c>
      <c r="L223">
        <v>195</v>
      </c>
      <c r="M223">
        <v>82</v>
      </c>
      <c r="N223">
        <v>27.45</v>
      </c>
      <c r="O223">
        <v>26.89</v>
      </c>
      <c r="P223">
        <v>27.98</v>
      </c>
      <c r="Q223">
        <v>28.99</v>
      </c>
      <c r="R223">
        <v>24.54</v>
      </c>
      <c r="S223">
        <v>23.86</v>
      </c>
      <c r="T223" s="2">
        <f t="shared" si="27"/>
        <v>-5.13</v>
      </c>
      <c r="U223" s="3">
        <f t="shared" si="28"/>
        <v>-0.176957571576406</v>
      </c>
      <c r="V223">
        <v>23.56</v>
      </c>
      <c r="W223">
        <v>23.21</v>
      </c>
      <c r="X223" s="2">
        <f t="shared" si="29"/>
        <v>-5.78</v>
      </c>
      <c r="Y223" s="3">
        <f t="shared" si="30"/>
        <v>-0.199379096240083</v>
      </c>
      <c r="Z223" s="2">
        <f t="shared" si="31"/>
        <v>-0.649999999999999</v>
      </c>
      <c r="AA223" s="3">
        <f t="shared" si="32"/>
        <v>-0.0272422464375523</v>
      </c>
      <c r="AB223">
        <v>20.13</v>
      </c>
      <c r="AC223">
        <v>19.48</v>
      </c>
      <c r="AD223">
        <v>19.24</v>
      </c>
      <c r="AE223">
        <v>19.23</v>
      </c>
      <c r="AF223">
        <v>16.76</v>
      </c>
      <c r="AG223">
        <v>16.82</v>
      </c>
      <c r="AH223">
        <v>14.59</v>
      </c>
      <c r="AI223">
        <v>15.18</v>
      </c>
      <c r="AJ223" s="2">
        <f t="shared" si="33"/>
        <v>-1.64</v>
      </c>
      <c r="AK223" s="3">
        <f t="shared" si="34"/>
        <v>-0.0975029726516053</v>
      </c>
      <c r="AL223">
        <v>15.77</v>
      </c>
      <c r="AM223">
        <v>15.81</v>
      </c>
      <c r="AN223" s="3">
        <f t="shared" si="35"/>
        <v>-0.101876123588477</v>
      </c>
    </row>
    <row r="224" spans="1:40">
      <c r="A224">
        <v>123142</v>
      </c>
      <c r="B224" t="s">
        <v>490</v>
      </c>
      <c r="C224" s="4">
        <v>44638</v>
      </c>
      <c r="D224">
        <v>370853</v>
      </c>
      <c r="E224">
        <v>300853</v>
      </c>
      <c r="F224" t="s">
        <v>491</v>
      </c>
      <c r="G224">
        <v>0.001392411</v>
      </c>
      <c r="H224" s="4">
        <v>44662</v>
      </c>
      <c r="I224" t="s">
        <v>298</v>
      </c>
      <c r="J224" s="4">
        <v>44554</v>
      </c>
      <c r="K224" s="5">
        <v>44613</v>
      </c>
      <c r="L224">
        <v>84</v>
      </c>
      <c r="M224">
        <v>25</v>
      </c>
      <c r="N224">
        <v>40.92</v>
      </c>
      <c r="O224">
        <v>40.29</v>
      </c>
      <c r="P224">
        <v>33.62</v>
      </c>
      <c r="Q224">
        <v>34.68</v>
      </c>
      <c r="R224">
        <v>32.2</v>
      </c>
      <c r="S224">
        <v>32.6</v>
      </c>
      <c r="T224" s="2">
        <f t="shared" si="27"/>
        <v>-2.08</v>
      </c>
      <c r="U224" s="3">
        <f t="shared" si="28"/>
        <v>-0.0599769319492502</v>
      </c>
      <c r="V224">
        <v>32.28</v>
      </c>
      <c r="W224">
        <v>31.3</v>
      </c>
      <c r="X224" s="2">
        <f t="shared" si="29"/>
        <v>-3.38</v>
      </c>
      <c r="Y224" s="3">
        <f t="shared" si="30"/>
        <v>-0.0974625144175317</v>
      </c>
      <c r="Z224" s="2">
        <f t="shared" si="31"/>
        <v>-1.3</v>
      </c>
      <c r="AA224" s="3">
        <f t="shared" si="32"/>
        <v>-0.039877300613497</v>
      </c>
      <c r="AB224">
        <v>27.99</v>
      </c>
      <c r="AC224">
        <v>26.67</v>
      </c>
      <c r="AD224">
        <v>17.33</v>
      </c>
      <c r="AE224">
        <v>17.31</v>
      </c>
      <c r="AF224">
        <v>16.66</v>
      </c>
      <c r="AG224">
        <v>16.51</v>
      </c>
      <c r="AH224">
        <v>14.36</v>
      </c>
      <c r="AI224">
        <v>14.7</v>
      </c>
      <c r="AJ224" s="2">
        <f t="shared" si="33"/>
        <v>-1.81</v>
      </c>
      <c r="AK224" s="3">
        <f t="shared" si="34"/>
        <v>-0.109630526953362</v>
      </c>
      <c r="AL224">
        <v>16.35</v>
      </c>
      <c r="AM224">
        <v>16.05</v>
      </c>
      <c r="AN224" s="3">
        <f t="shared" si="35"/>
        <v>0.01216801253583</v>
      </c>
    </row>
    <row r="225" spans="1:40">
      <c r="A225">
        <v>123141</v>
      </c>
      <c r="B225" t="s">
        <v>492</v>
      </c>
      <c r="C225" s="4">
        <v>44635</v>
      </c>
      <c r="D225">
        <v>370283</v>
      </c>
      <c r="E225">
        <v>300283</v>
      </c>
      <c r="F225" t="s">
        <v>493</v>
      </c>
      <c r="G225">
        <v>0.0009422475</v>
      </c>
      <c r="H225" s="4">
        <v>44659</v>
      </c>
      <c r="I225" t="s">
        <v>415</v>
      </c>
      <c r="J225" s="4">
        <v>44489</v>
      </c>
      <c r="K225" s="5">
        <v>44575</v>
      </c>
      <c r="L225">
        <v>146</v>
      </c>
      <c r="M225">
        <v>60</v>
      </c>
      <c r="N225">
        <v>6.93</v>
      </c>
      <c r="O225">
        <v>6.78</v>
      </c>
      <c r="P225">
        <v>6.98</v>
      </c>
      <c r="Q225">
        <v>6.75</v>
      </c>
      <c r="R225">
        <v>6.85</v>
      </c>
      <c r="S225">
        <v>6.63</v>
      </c>
      <c r="T225" s="2">
        <f t="shared" si="27"/>
        <v>-0.12</v>
      </c>
      <c r="U225" s="3">
        <f t="shared" si="28"/>
        <v>-0.0177777777777778</v>
      </c>
      <c r="V225">
        <v>6.35</v>
      </c>
      <c r="W225">
        <v>6.04</v>
      </c>
      <c r="X225" s="2">
        <f t="shared" si="29"/>
        <v>-0.71</v>
      </c>
      <c r="Y225" s="3">
        <f t="shared" si="30"/>
        <v>-0.105185185185185</v>
      </c>
      <c r="Z225" s="2">
        <f t="shared" si="31"/>
        <v>-0.59</v>
      </c>
      <c r="AA225" s="3">
        <f t="shared" si="32"/>
        <v>-0.0889894419306184</v>
      </c>
      <c r="AB225">
        <v>6.15</v>
      </c>
      <c r="AC225">
        <v>5.96</v>
      </c>
      <c r="AD225">
        <v>19.75</v>
      </c>
      <c r="AE225">
        <v>19.24</v>
      </c>
      <c r="AF225">
        <v>17</v>
      </c>
      <c r="AG225">
        <v>16.33</v>
      </c>
      <c r="AH225">
        <v>14.4</v>
      </c>
      <c r="AI225">
        <v>13.68</v>
      </c>
      <c r="AJ225" s="2">
        <f t="shared" si="33"/>
        <v>-2.65</v>
      </c>
      <c r="AK225" s="3">
        <f t="shared" si="34"/>
        <v>-0.162278015921617</v>
      </c>
      <c r="AL225">
        <v>16.26</v>
      </c>
      <c r="AM225">
        <v>16.4</v>
      </c>
      <c r="AN225" s="3">
        <f t="shared" si="35"/>
        <v>0.0570928307364314</v>
      </c>
    </row>
    <row r="226" spans="1:40">
      <c r="A226">
        <v>118006</v>
      </c>
      <c r="B226" t="s">
        <v>494</v>
      </c>
      <c r="C226" s="4">
        <v>44635</v>
      </c>
      <c r="D226">
        <v>718179</v>
      </c>
      <c r="E226">
        <v>688179</v>
      </c>
      <c r="F226" t="s">
        <v>495</v>
      </c>
      <c r="G226">
        <v>0.00076689</v>
      </c>
      <c r="H226" s="4">
        <v>44663</v>
      </c>
      <c r="I226" t="s">
        <v>50</v>
      </c>
      <c r="J226" s="4">
        <v>44552</v>
      </c>
      <c r="K226" s="5">
        <v>44588</v>
      </c>
      <c r="L226">
        <v>83</v>
      </c>
      <c r="M226">
        <v>47</v>
      </c>
      <c r="N226">
        <v>21.9</v>
      </c>
      <c r="O226">
        <v>23.13</v>
      </c>
      <c r="P226">
        <v>19.17</v>
      </c>
      <c r="Q226">
        <v>18.82</v>
      </c>
      <c r="R226">
        <v>17.74</v>
      </c>
      <c r="S226">
        <v>17.21</v>
      </c>
      <c r="T226" s="2">
        <f t="shared" si="27"/>
        <v>-1.61</v>
      </c>
      <c r="U226" s="3">
        <f t="shared" si="28"/>
        <v>-0.0855472901168969</v>
      </c>
      <c r="V226">
        <v>16.92</v>
      </c>
      <c r="W226">
        <v>15.64</v>
      </c>
      <c r="X226" s="2">
        <f t="shared" si="29"/>
        <v>-3.18</v>
      </c>
      <c r="Y226" s="3">
        <f t="shared" si="30"/>
        <v>-0.168969181721573</v>
      </c>
      <c r="Z226" s="2">
        <f t="shared" si="31"/>
        <v>-1.57</v>
      </c>
      <c r="AA226" s="3">
        <f t="shared" si="32"/>
        <v>-0.0912260313771063</v>
      </c>
      <c r="AB226">
        <v>15.39</v>
      </c>
      <c r="AC226">
        <v>15.41</v>
      </c>
      <c r="AD226">
        <v>17.62</v>
      </c>
      <c r="AE226">
        <v>17.39</v>
      </c>
      <c r="AF226">
        <v>16.5</v>
      </c>
      <c r="AG226">
        <v>16.3</v>
      </c>
      <c r="AH226">
        <v>14.4</v>
      </c>
      <c r="AI226">
        <v>13.68</v>
      </c>
      <c r="AJ226" s="2">
        <f t="shared" si="33"/>
        <v>-2.62</v>
      </c>
      <c r="AK226" s="3">
        <f t="shared" si="34"/>
        <v>-0.160736196319018</v>
      </c>
      <c r="AL226">
        <v>16.05</v>
      </c>
      <c r="AM226">
        <v>15.92</v>
      </c>
      <c r="AN226" s="3">
        <f t="shared" si="35"/>
        <v>-0.00823298540255432</v>
      </c>
    </row>
    <row r="227" spans="1:40">
      <c r="A227">
        <v>123140</v>
      </c>
      <c r="B227" t="s">
        <v>496</v>
      </c>
      <c r="C227" s="4">
        <v>44634</v>
      </c>
      <c r="D227">
        <v>370743</v>
      </c>
      <c r="E227">
        <v>300743</v>
      </c>
      <c r="F227" t="s">
        <v>497</v>
      </c>
      <c r="G227">
        <v>0.000629557</v>
      </c>
      <c r="H227" s="4">
        <v>44650</v>
      </c>
      <c r="I227" t="s">
        <v>121</v>
      </c>
      <c r="J227" s="4">
        <v>44505</v>
      </c>
      <c r="K227" s="5">
        <v>44561</v>
      </c>
      <c r="L227">
        <v>129</v>
      </c>
      <c r="M227">
        <v>73</v>
      </c>
      <c r="N227">
        <v>8.8</v>
      </c>
      <c r="O227">
        <v>8.79</v>
      </c>
      <c r="P227">
        <v>10.02</v>
      </c>
      <c r="Q227">
        <v>10.01</v>
      </c>
      <c r="R227">
        <v>11.56</v>
      </c>
      <c r="S227">
        <v>11.59</v>
      </c>
      <c r="T227" s="2">
        <f t="shared" si="27"/>
        <v>1.58</v>
      </c>
      <c r="U227" s="3">
        <f t="shared" si="28"/>
        <v>0.157842157842158</v>
      </c>
      <c r="V227">
        <v>11.35</v>
      </c>
      <c r="W227">
        <v>10.57</v>
      </c>
      <c r="X227" s="2">
        <f t="shared" si="29"/>
        <v>0.56</v>
      </c>
      <c r="Y227" s="3">
        <f t="shared" si="30"/>
        <v>0.055944055944056</v>
      </c>
      <c r="Z227" s="2">
        <f t="shared" si="31"/>
        <v>-1.02</v>
      </c>
      <c r="AA227" s="3">
        <f t="shared" si="32"/>
        <v>-0.088006902502157</v>
      </c>
      <c r="AB227">
        <v>11.71</v>
      </c>
      <c r="AC227">
        <v>11.98</v>
      </c>
      <c r="AD227">
        <v>17.85</v>
      </c>
      <c r="AE227">
        <v>17.64</v>
      </c>
      <c r="AF227">
        <v>16.86</v>
      </c>
      <c r="AG227">
        <v>16.48</v>
      </c>
      <c r="AH227">
        <v>14.63</v>
      </c>
      <c r="AI227">
        <v>14.49</v>
      </c>
      <c r="AJ227" s="2">
        <f t="shared" si="33"/>
        <v>-1.99</v>
      </c>
      <c r="AK227" s="3">
        <f t="shared" si="34"/>
        <v>-0.120752427184466</v>
      </c>
      <c r="AL227">
        <v>14.86</v>
      </c>
      <c r="AM227">
        <v>15.21</v>
      </c>
      <c r="AN227" s="3">
        <f t="shared" si="35"/>
        <v>0.176696483128522</v>
      </c>
    </row>
    <row r="228" spans="1:40">
      <c r="A228">
        <v>123139</v>
      </c>
      <c r="B228" t="s">
        <v>498</v>
      </c>
      <c r="C228" s="4">
        <v>44631</v>
      </c>
      <c r="D228">
        <v>370811</v>
      </c>
      <c r="E228">
        <v>300811</v>
      </c>
      <c r="F228" t="s">
        <v>499</v>
      </c>
      <c r="G228">
        <v>0.0008798924</v>
      </c>
      <c r="H228" s="4">
        <v>44651</v>
      </c>
      <c r="I228" t="s">
        <v>50</v>
      </c>
      <c r="J228" s="4">
        <v>44547</v>
      </c>
      <c r="K228" s="5">
        <v>44601</v>
      </c>
      <c r="L228">
        <v>84</v>
      </c>
      <c r="M228">
        <v>30</v>
      </c>
      <c r="N228">
        <v>43.89</v>
      </c>
      <c r="O228">
        <v>43.57</v>
      </c>
      <c r="P228">
        <v>30.54</v>
      </c>
      <c r="Q228">
        <v>31.49</v>
      </c>
      <c r="R228">
        <v>26.48</v>
      </c>
      <c r="S228">
        <v>28.49</v>
      </c>
      <c r="T228" s="2">
        <f t="shared" si="27"/>
        <v>-3</v>
      </c>
      <c r="U228" s="3">
        <f t="shared" si="28"/>
        <v>-0.0952683391552874</v>
      </c>
      <c r="V228">
        <v>27.68</v>
      </c>
      <c r="W228">
        <v>28.47</v>
      </c>
      <c r="X228" s="2">
        <f t="shared" si="29"/>
        <v>-3.02</v>
      </c>
      <c r="Y228" s="3">
        <f t="shared" si="30"/>
        <v>-0.0959034614163226</v>
      </c>
      <c r="Z228" s="2">
        <f t="shared" si="31"/>
        <v>-0.0199999999999996</v>
      </c>
      <c r="AA228" s="3">
        <f t="shared" si="32"/>
        <v>-0.000702000702000687</v>
      </c>
      <c r="AB228">
        <v>30.24</v>
      </c>
      <c r="AC228">
        <v>29.38</v>
      </c>
      <c r="AD228">
        <v>17.7</v>
      </c>
      <c r="AE228">
        <v>17.57</v>
      </c>
      <c r="AF228">
        <v>16.92</v>
      </c>
      <c r="AG228">
        <v>16.86</v>
      </c>
      <c r="AH228">
        <v>14.4</v>
      </c>
      <c r="AI228">
        <v>14.9</v>
      </c>
      <c r="AJ228" s="2">
        <f t="shared" si="33"/>
        <v>-1.96</v>
      </c>
      <c r="AK228" s="3">
        <f t="shared" si="34"/>
        <v>-0.116251482799525</v>
      </c>
      <c r="AL228">
        <v>15.1</v>
      </c>
      <c r="AM228">
        <v>15.38</v>
      </c>
      <c r="AN228" s="3">
        <f t="shared" si="35"/>
        <v>0.0203480213832028</v>
      </c>
    </row>
    <row r="229" spans="1:40">
      <c r="A229">
        <v>123138</v>
      </c>
      <c r="B229" t="s">
        <v>500</v>
      </c>
      <c r="C229" s="4">
        <v>44622</v>
      </c>
      <c r="D229">
        <v>370556</v>
      </c>
      <c r="E229">
        <v>300556</v>
      </c>
      <c r="F229" t="s">
        <v>501</v>
      </c>
      <c r="G229">
        <v>0.0012497809</v>
      </c>
      <c r="H229" s="4">
        <v>44642</v>
      </c>
      <c r="I229" t="s">
        <v>121</v>
      </c>
      <c r="J229" s="4">
        <v>44421</v>
      </c>
      <c r="K229" s="5">
        <v>44541</v>
      </c>
      <c r="L229">
        <v>201</v>
      </c>
      <c r="M229">
        <v>81</v>
      </c>
      <c r="N229">
        <v>19.54</v>
      </c>
      <c r="O229">
        <v>18.93</v>
      </c>
      <c r="P229">
        <v>28.56</v>
      </c>
      <c r="Q229">
        <v>30.94</v>
      </c>
      <c r="R229">
        <v>24.13</v>
      </c>
      <c r="S229">
        <v>24.82</v>
      </c>
      <c r="T229" s="2">
        <f t="shared" si="27"/>
        <v>-6.12</v>
      </c>
      <c r="U229" s="3">
        <f t="shared" si="28"/>
        <v>-0.197802197802198</v>
      </c>
      <c r="V229">
        <v>24.23</v>
      </c>
      <c r="W229">
        <v>24.64</v>
      </c>
      <c r="X229" s="2">
        <f t="shared" si="29"/>
        <v>-6.3</v>
      </c>
      <c r="Y229" s="3">
        <f t="shared" si="30"/>
        <v>-0.203619909502262</v>
      </c>
      <c r="Z229" s="2">
        <f t="shared" si="31"/>
        <v>-0.18</v>
      </c>
      <c r="AA229" s="3">
        <f t="shared" si="32"/>
        <v>-0.00725221595487509</v>
      </c>
      <c r="AB229">
        <v>25.3</v>
      </c>
      <c r="AC229">
        <v>29.56</v>
      </c>
      <c r="AD229">
        <v>19.78</v>
      </c>
      <c r="AE229">
        <v>19.89</v>
      </c>
      <c r="AF229">
        <v>18.47</v>
      </c>
      <c r="AG229">
        <v>18.27</v>
      </c>
      <c r="AH229">
        <v>15.79</v>
      </c>
      <c r="AI229">
        <v>15.68</v>
      </c>
      <c r="AJ229" s="2">
        <f t="shared" si="33"/>
        <v>-2.59</v>
      </c>
      <c r="AK229" s="3">
        <f t="shared" si="34"/>
        <v>-0.14176245210728</v>
      </c>
      <c r="AL229">
        <v>14.59</v>
      </c>
      <c r="AM229">
        <v>15.18</v>
      </c>
      <c r="AN229" s="3">
        <f t="shared" si="35"/>
        <v>-0.0618574573949828</v>
      </c>
    </row>
    <row r="230" spans="1:40">
      <c r="A230">
        <v>123137</v>
      </c>
      <c r="B230" t="s">
        <v>502</v>
      </c>
      <c r="C230" s="4">
        <v>44602</v>
      </c>
      <c r="D230">
        <v>370763</v>
      </c>
      <c r="E230">
        <v>300763</v>
      </c>
      <c r="F230" t="s">
        <v>503</v>
      </c>
      <c r="G230">
        <v>0.0068897234</v>
      </c>
      <c r="H230" s="4">
        <v>44622</v>
      </c>
      <c r="I230" t="s">
        <v>55</v>
      </c>
      <c r="J230" s="4">
        <v>44533</v>
      </c>
      <c r="K230" s="5">
        <v>44579</v>
      </c>
      <c r="L230">
        <v>69</v>
      </c>
      <c r="M230">
        <v>23</v>
      </c>
      <c r="N230">
        <v>165.13</v>
      </c>
      <c r="O230">
        <v>167.07</v>
      </c>
      <c r="P230">
        <v>141.87</v>
      </c>
      <c r="Q230">
        <v>144.75</v>
      </c>
      <c r="R230">
        <v>141.2</v>
      </c>
      <c r="S230">
        <v>143.87</v>
      </c>
      <c r="T230" s="2">
        <f t="shared" si="27"/>
        <v>-0.879999999999995</v>
      </c>
      <c r="U230" s="3">
        <f t="shared" si="28"/>
        <v>-0.00607944732297061</v>
      </c>
      <c r="V230">
        <v>143.43</v>
      </c>
      <c r="W230">
        <v>137.07</v>
      </c>
      <c r="X230" s="2">
        <f t="shared" si="29"/>
        <v>-7.68000000000001</v>
      </c>
      <c r="Y230" s="3">
        <f t="shared" si="30"/>
        <v>-0.0530569948186529</v>
      </c>
      <c r="Z230" s="2">
        <f t="shared" si="31"/>
        <v>-6.80000000000001</v>
      </c>
      <c r="AA230" s="3">
        <f t="shared" si="32"/>
        <v>-0.0472648919163134</v>
      </c>
      <c r="AB230">
        <v>170.66</v>
      </c>
      <c r="AC230">
        <v>165.53</v>
      </c>
      <c r="AD230">
        <v>17.64</v>
      </c>
      <c r="AE230">
        <v>17.65</v>
      </c>
      <c r="AF230">
        <v>16.25</v>
      </c>
      <c r="AG230">
        <v>16.52</v>
      </c>
      <c r="AH230">
        <v>16.77</v>
      </c>
      <c r="AI230">
        <v>16.99</v>
      </c>
      <c r="AJ230" s="2">
        <f t="shared" si="33"/>
        <v>0.469999999999999</v>
      </c>
      <c r="AK230" s="3">
        <f t="shared" si="34"/>
        <v>0.0284503631961258</v>
      </c>
      <c r="AL230">
        <v>15.79</v>
      </c>
      <c r="AM230">
        <v>15.68</v>
      </c>
      <c r="AN230" s="3">
        <f t="shared" si="35"/>
        <v>-0.0815073580147787</v>
      </c>
    </row>
    <row r="231" spans="1:40">
      <c r="A231">
        <v>118005</v>
      </c>
      <c r="B231" t="s">
        <v>504</v>
      </c>
      <c r="C231" s="4">
        <v>44588</v>
      </c>
      <c r="D231">
        <v>718116</v>
      </c>
      <c r="E231">
        <v>688116</v>
      </c>
      <c r="F231" t="s">
        <v>505</v>
      </c>
      <c r="G231">
        <v>0.00246365</v>
      </c>
      <c r="H231" s="4">
        <v>44621</v>
      </c>
      <c r="I231" t="s">
        <v>55</v>
      </c>
      <c r="J231" s="4">
        <v>44490</v>
      </c>
      <c r="K231" s="5">
        <v>44531</v>
      </c>
      <c r="L231">
        <v>98</v>
      </c>
      <c r="M231">
        <v>57</v>
      </c>
      <c r="N231">
        <v>105.61</v>
      </c>
      <c r="O231">
        <v>99.29</v>
      </c>
      <c r="P231">
        <v>107.55</v>
      </c>
      <c r="Q231">
        <v>110.24</v>
      </c>
      <c r="R231">
        <v>101.46</v>
      </c>
      <c r="S231">
        <v>100.36</v>
      </c>
      <c r="T231" s="2">
        <f t="shared" si="27"/>
        <v>-9.88</v>
      </c>
      <c r="U231" s="3">
        <f t="shared" si="28"/>
        <v>-0.0896226415094339</v>
      </c>
      <c r="V231">
        <v>100.07</v>
      </c>
      <c r="W231">
        <v>98.56</v>
      </c>
      <c r="X231" s="2">
        <f t="shared" si="29"/>
        <v>-11.68</v>
      </c>
      <c r="Y231" s="3">
        <f t="shared" si="30"/>
        <v>-0.105950653120464</v>
      </c>
      <c r="Z231" s="2">
        <f t="shared" si="31"/>
        <v>-1.8</v>
      </c>
      <c r="AA231" s="3">
        <f t="shared" si="32"/>
        <v>-0.0179354324432044</v>
      </c>
      <c r="AB231">
        <v>103.63</v>
      </c>
      <c r="AC231">
        <v>102.55</v>
      </c>
      <c r="AD231">
        <v>19.52</v>
      </c>
      <c r="AE231">
        <v>20</v>
      </c>
      <c r="AF231">
        <v>17.43</v>
      </c>
      <c r="AG231">
        <v>17.64</v>
      </c>
      <c r="AH231">
        <v>16.5</v>
      </c>
      <c r="AI231">
        <v>16.3</v>
      </c>
      <c r="AJ231" s="2">
        <f t="shared" si="33"/>
        <v>-1.34</v>
      </c>
      <c r="AK231" s="3">
        <f t="shared" si="34"/>
        <v>-0.0759637188208617</v>
      </c>
      <c r="AL231">
        <v>15.79</v>
      </c>
      <c r="AM231">
        <v>15.92</v>
      </c>
      <c r="AN231" s="3">
        <f t="shared" si="35"/>
        <v>-0.0299869342996027</v>
      </c>
    </row>
    <row r="232" spans="1:40">
      <c r="A232">
        <v>123136</v>
      </c>
      <c r="B232" t="s">
        <v>506</v>
      </c>
      <c r="C232" s="4">
        <v>44582</v>
      </c>
      <c r="D232">
        <v>370778</v>
      </c>
      <c r="E232">
        <v>300778</v>
      </c>
      <c r="F232" t="s">
        <v>507</v>
      </c>
      <c r="G232">
        <v>0.0004898785</v>
      </c>
      <c r="H232" s="4">
        <v>44607</v>
      </c>
      <c r="I232" t="s">
        <v>55</v>
      </c>
      <c r="J232" s="4">
        <v>44223</v>
      </c>
      <c r="K232" s="5">
        <v>44302</v>
      </c>
      <c r="L232">
        <v>359</v>
      </c>
      <c r="M232">
        <v>280</v>
      </c>
      <c r="N232">
        <v>13.05</v>
      </c>
      <c r="O232">
        <v>13.1</v>
      </c>
      <c r="P232">
        <v>12.52</v>
      </c>
      <c r="Q232">
        <v>12.95</v>
      </c>
      <c r="R232">
        <v>15.68</v>
      </c>
      <c r="S232">
        <v>15.56</v>
      </c>
      <c r="T232" s="2">
        <f t="shared" si="27"/>
        <v>2.61</v>
      </c>
      <c r="U232" s="3">
        <f t="shared" si="28"/>
        <v>0.201544401544402</v>
      </c>
      <c r="V232">
        <v>14.67</v>
      </c>
      <c r="W232">
        <v>13.64</v>
      </c>
      <c r="X232" s="2">
        <f t="shared" si="29"/>
        <v>0.690000000000001</v>
      </c>
      <c r="Y232" s="3">
        <f t="shared" si="30"/>
        <v>0.0532818532818534</v>
      </c>
      <c r="Z232" s="2">
        <f t="shared" si="31"/>
        <v>-1.92</v>
      </c>
      <c r="AA232" s="3">
        <f t="shared" si="32"/>
        <v>-0.123393316195373</v>
      </c>
      <c r="AB232">
        <v>14.11</v>
      </c>
      <c r="AC232">
        <v>14.38</v>
      </c>
      <c r="AD232">
        <v>22.31</v>
      </c>
      <c r="AE232">
        <v>23.08</v>
      </c>
      <c r="AF232">
        <v>20.36</v>
      </c>
      <c r="AG232">
        <v>20.26</v>
      </c>
      <c r="AH232">
        <v>17.45</v>
      </c>
      <c r="AI232">
        <v>17.35</v>
      </c>
      <c r="AJ232" s="2">
        <f t="shared" si="33"/>
        <v>-2.91</v>
      </c>
      <c r="AK232" s="3">
        <f t="shared" si="34"/>
        <v>-0.143632773938796</v>
      </c>
      <c r="AL232">
        <v>16.5</v>
      </c>
      <c r="AM232">
        <v>16.28</v>
      </c>
      <c r="AN232" s="3">
        <f t="shared" si="35"/>
        <v>0.196914627220649</v>
      </c>
    </row>
    <row r="233" spans="1:40">
      <c r="A233">
        <v>118004</v>
      </c>
      <c r="B233" t="s">
        <v>508</v>
      </c>
      <c r="C233" s="4">
        <v>44565</v>
      </c>
      <c r="D233">
        <v>718166</v>
      </c>
      <c r="E233">
        <v>688166</v>
      </c>
      <c r="F233" t="s">
        <v>509</v>
      </c>
      <c r="G233">
        <v>0.00185637</v>
      </c>
      <c r="H233" s="4">
        <v>44588</v>
      </c>
      <c r="I233" t="s">
        <v>55</v>
      </c>
      <c r="J233" s="4">
        <v>44482</v>
      </c>
      <c r="K233" s="5">
        <v>44518</v>
      </c>
      <c r="L233">
        <v>83</v>
      </c>
      <c r="M233">
        <v>47</v>
      </c>
      <c r="N233">
        <v>28.97</v>
      </c>
      <c r="O233">
        <v>28.85</v>
      </c>
      <c r="P233">
        <v>35.2</v>
      </c>
      <c r="Q233">
        <v>35.57</v>
      </c>
      <c r="R233">
        <v>36.02</v>
      </c>
      <c r="S233">
        <v>36.28</v>
      </c>
      <c r="T233" s="2">
        <f t="shared" si="27"/>
        <v>0.710000000000001</v>
      </c>
      <c r="U233" s="3">
        <f t="shared" si="28"/>
        <v>0.019960640989598</v>
      </c>
      <c r="V233">
        <v>36.28</v>
      </c>
      <c r="W233">
        <v>34.39</v>
      </c>
      <c r="X233" s="2">
        <f t="shared" si="29"/>
        <v>-1.18</v>
      </c>
      <c r="Y233" s="3">
        <f t="shared" si="30"/>
        <v>-0.0331740230531347</v>
      </c>
      <c r="Z233" s="2">
        <f t="shared" si="31"/>
        <v>-1.89</v>
      </c>
      <c r="AA233" s="3">
        <f t="shared" si="32"/>
        <v>-0.0520948180815877</v>
      </c>
      <c r="AB233">
        <v>33.57</v>
      </c>
      <c r="AC233">
        <v>31.69</v>
      </c>
      <c r="AD233">
        <v>19.3</v>
      </c>
      <c r="AE233">
        <v>19.58</v>
      </c>
      <c r="AF233">
        <v>18.09</v>
      </c>
      <c r="AG233">
        <v>17.8</v>
      </c>
      <c r="AH233">
        <v>16.48</v>
      </c>
      <c r="AI233">
        <v>16.66</v>
      </c>
      <c r="AJ233" s="2">
        <f t="shared" si="33"/>
        <v>-1.14</v>
      </c>
      <c r="AK233" s="3">
        <f t="shared" si="34"/>
        <v>-0.0640449438202247</v>
      </c>
      <c r="AL233">
        <v>16.5</v>
      </c>
      <c r="AM233">
        <v>16.3</v>
      </c>
      <c r="AN233" s="3">
        <f t="shared" si="35"/>
        <v>0.0308709207670901</v>
      </c>
    </row>
    <row r="234" spans="1:40">
      <c r="A234">
        <v>123135</v>
      </c>
      <c r="B234" t="s">
        <v>510</v>
      </c>
      <c r="C234" s="4">
        <v>44558</v>
      </c>
      <c r="D234">
        <v>370813</v>
      </c>
      <c r="E234">
        <v>300813</v>
      </c>
      <c r="F234" t="s">
        <v>511</v>
      </c>
      <c r="G234">
        <v>0.0004374263</v>
      </c>
      <c r="H234" s="4">
        <v>44580</v>
      </c>
      <c r="I234" t="s">
        <v>50</v>
      </c>
      <c r="J234" s="4">
        <v>44344</v>
      </c>
      <c r="K234" s="5">
        <v>44382</v>
      </c>
      <c r="L234">
        <v>214</v>
      </c>
      <c r="M234">
        <v>176</v>
      </c>
      <c r="N234">
        <v>21.32</v>
      </c>
      <c r="O234">
        <v>20.8</v>
      </c>
      <c r="P234">
        <v>20.92</v>
      </c>
      <c r="Q234">
        <v>21.21</v>
      </c>
      <c r="R234">
        <v>44.06</v>
      </c>
      <c r="S234">
        <v>43.2</v>
      </c>
      <c r="T234" s="2">
        <f t="shared" si="27"/>
        <v>21.99</v>
      </c>
      <c r="U234" s="3">
        <f t="shared" si="28"/>
        <v>1.03677510608204</v>
      </c>
      <c r="V234">
        <v>42.72</v>
      </c>
      <c r="W234">
        <v>43.66</v>
      </c>
      <c r="X234" s="2">
        <f t="shared" si="29"/>
        <v>22.45</v>
      </c>
      <c r="Y234" s="3">
        <f t="shared" si="30"/>
        <v>1.05846298915606</v>
      </c>
      <c r="Z234" s="2">
        <f t="shared" si="31"/>
        <v>0.459999999999994</v>
      </c>
      <c r="AA234" s="3">
        <f t="shared" si="32"/>
        <v>0.010648148148148</v>
      </c>
      <c r="AB234">
        <v>41.74</v>
      </c>
      <c r="AC234">
        <v>40.65</v>
      </c>
      <c r="AD234">
        <v>24.68</v>
      </c>
      <c r="AE234">
        <v>24.5</v>
      </c>
      <c r="AF234">
        <v>21.69</v>
      </c>
      <c r="AG234">
        <v>22.06</v>
      </c>
      <c r="AH234">
        <v>17.22</v>
      </c>
      <c r="AI234">
        <v>17.17</v>
      </c>
      <c r="AJ234" s="2">
        <f t="shared" si="33"/>
        <v>-4.89</v>
      </c>
      <c r="AK234" s="3">
        <f t="shared" si="34"/>
        <v>-0.221668177697189</v>
      </c>
      <c r="AL234">
        <v>16.54</v>
      </c>
      <c r="AM234">
        <v>16.5</v>
      </c>
      <c r="AN234" s="3">
        <f t="shared" si="35"/>
        <v>1.28013116685325</v>
      </c>
    </row>
    <row r="235" spans="1:40">
      <c r="A235">
        <v>123134</v>
      </c>
      <c r="B235" t="s">
        <v>512</v>
      </c>
      <c r="C235" s="4">
        <v>44557</v>
      </c>
      <c r="D235">
        <v>370863</v>
      </c>
      <c r="E235">
        <v>300863</v>
      </c>
      <c r="F235" t="s">
        <v>167</v>
      </c>
      <c r="G235">
        <v>0.0005265447</v>
      </c>
      <c r="H235" s="4">
        <v>44579</v>
      </c>
      <c r="I235" t="s">
        <v>50</v>
      </c>
      <c r="J235" s="4">
        <v>44427</v>
      </c>
      <c r="K235" s="5">
        <v>44489</v>
      </c>
      <c r="L235">
        <v>130</v>
      </c>
      <c r="M235">
        <v>68</v>
      </c>
      <c r="N235">
        <v>22.89</v>
      </c>
      <c r="O235">
        <v>23.04</v>
      </c>
      <c r="P235">
        <v>22.21</v>
      </c>
      <c r="Q235">
        <v>21.9</v>
      </c>
      <c r="R235">
        <v>33.36</v>
      </c>
      <c r="S235">
        <v>33.78</v>
      </c>
      <c r="T235" s="2">
        <f t="shared" si="27"/>
        <v>11.88</v>
      </c>
      <c r="U235" s="3">
        <f t="shared" si="28"/>
        <v>0.542465753424658</v>
      </c>
      <c r="V235">
        <v>34.04</v>
      </c>
      <c r="W235">
        <v>32.67</v>
      </c>
      <c r="X235" s="2">
        <f t="shared" si="29"/>
        <v>10.77</v>
      </c>
      <c r="Y235" s="3">
        <f t="shared" si="30"/>
        <v>0.491780821917808</v>
      </c>
      <c r="Z235" s="2">
        <f t="shared" si="31"/>
        <v>-1.11</v>
      </c>
      <c r="AA235" s="3">
        <f t="shared" si="32"/>
        <v>-0.0328596802841918</v>
      </c>
      <c r="AB235">
        <v>29.18</v>
      </c>
      <c r="AC235">
        <v>27.59</v>
      </c>
      <c r="AD235">
        <v>20.48</v>
      </c>
      <c r="AE235">
        <v>20.34</v>
      </c>
      <c r="AF235">
        <v>19.75</v>
      </c>
      <c r="AG235">
        <v>19.24</v>
      </c>
      <c r="AH235">
        <v>17.33</v>
      </c>
      <c r="AI235">
        <v>17.22</v>
      </c>
      <c r="AJ235" s="2">
        <f t="shared" si="33"/>
        <v>-2.02</v>
      </c>
      <c r="AK235" s="3">
        <f t="shared" si="34"/>
        <v>-0.104989604989605</v>
      </c>
      <c r="AL235">
        <v>16.25</v>
      </c>
      <c r="AM235">
        <v>16.52</v>
      </c>
      <c r="AN235" s="3">
        <f t="shared" si="35"/>
        <v>0.596770426907413</v>
      </c>
    </row>
    <row r="236" spans="1:40">
      <c r="A236">
        <v>123132</v>
      </c>
      <c r="B236" t="s">
        <v>513</v>
      </c>
      <c r="C236" s="4">
        <v>44547</v>
      </c>
      <c r="D236">
        <v>370871</v>
      </c>
      <c r="E236">
        <v>300871</v>
      </c>
      <c r="F236" t="s">
        <v>514</v>
      </c>
      <c r="G236">
        <v>0.0022054859</v>
      </c>
      <c r="H236" s="4">
        <v>44568</v>
      </c>
      <c r="I236" t="s">
        <v>55</v>
      </c>
      <c r="J236" s="4">
        <v>44428</v>
      </c>
      <c r="K236" s="5">
        <v>44523</v>
      </c>
      <c r="L236">
        <v>119</v>
      </c>
      <c r="M236">
        <v>24</v>
      </c>
      <c r="N236">
        <v>33.51</v>
      </c>
      <c r="O236">
        <v>34.94</v>
      </c>
      <c r="P236">
        <v>26.59</v>
      </c>
      <c r="Q236">
        <v>26.73</v>
      </c>
      <c r="R236">
        <v>28.16</v>
      </c>
      <c r="S236">
        <v>28.34</v>
      </c>
      <c r="T236" s="2">
        <f t="shared" si="27"/>
        <v>1.61</v>
      </c>
      <c r="U236" s="3">
        <f t="shared" si="28"/>
        <v>0.060231949120838</v>
      </c>
      <c r="V236">
        <v>27.25</v>
      </c>
      <c r="W236">
        <v>27.22</v>
      </c>
      <c r="X236" s="2">
        <f t="shared" si="29"/>
        <v>0.489999999999998</v>
      </c>
      <c r="Y236" s="3">
        <f t="shared" si="30"/>
        <v>0.0183314627759072</v>
      </c>
      <c r="Z236" s="2">
        <f t="shared" si="31"/>
        <v>-1.12</v>
      </c>
      <c r="AA236" s="3">
        <f t="shared" si="32"/>
        <v>-0.0395201129146084</v>
      </c>
      <c r="AB236">
        <v>28.79</v>
      </c>
      <c r="AC236">
        <v>27.8</v>
      </c>
      <c r="AD236">
        <v>19.97</v>
      </c>
      <c r="AE236">
        <v>19.42</v>
      </c>
      <c r="AF236">
        <v>18.11</v>
      </c>
      <c r="AG236">
        <v>17.88</v>
      </c>
      <c r="AH236">
        <v>17.7</v>
      </c>
      <c r="AI236">
        <v>17.57</v>
      </c>
      <c r="AJ236" s="2">
        <f t="shared" si="33"/>
        <v>-0.309999999999999</v>
      </c>
      <c r="AK236" s="3">
        <f t="shared" si="34"/>
        <v>-0.0173378076062639</v>
      </c>
      <c r="AL236">
        <v>17.1</v>
      </c>
      <c r="AM236">
        <v>17.2</v>
      </c>
      <c r="AN236" s="3">
        <f t="shared" si="35"/>
        <v>0.0356692703821711</v>
      </c>
    </row>
    <row r="237" spans="1:40">
      <c r="A237">
        <v>118003</v>
      </c>
      <c r="B237" t="s">
        <v>515</v>
      </c>
      <c r="C237" s="4">
        <v>44529</v>
      </c>
      <c r="D237">
        <v>718001</v>
      </c>
      <c r="E237">
        <v>688001</v>
      </c>
      <c r="F237" t="s">
        <v>516</v>
      </c>
      <c r="G237">
        <v>0.00227647</v>
      </c>
      <c r="H237" s="4">
        <v>44550</v>
      </c>
      <c r="I237" t="s">
        <v>40</v>
      </c>
      <c r="J237" s="4">
        <v>44482</v>
      </c>
      <c r="K237" s="5">
        <v>44516</v>
      </c>
      <c r="L237">
        <v>47</v>
      </c>
      <c r="M237">
        <v>13</v>
      </c>
      <c r="N237">
        <v>34.08</v>
      </c>
      <c r="O237">
        <v>34.6</v>
      </c>
      <c r="P237">
        <v>37.71</v>
      </c>
      <c r="Q237">
        <v>37.52</v>
      </c>
      <c r="R237">
        <v>39</v>
      </c>
      <c r="S237">
        <v>38.62</v>
      </c>
      <c r="T237" s="2">
        <f t="shared" si="27"/>
        <v>1.09999999999999</v>
      </c>
      <c r="U237" s="3">
        <f t="shared" si="28"/>
        <v>0.0293176972281448</v>
      </c>
      <c r="V237">
        <v>37.24</v>
      </c>
      <c r="W237">
        <v>37.33</v>
      </c>
      <c r="X237" s="2">
        <f t="shared" si="29"/>
        <v>-0.190000000000005</v>
      </c>
      <c r="Y237" s="3">
        <f t="shared" si="30"/>
        <v>-0.00506396588486154</v>
      </c>
      <c r="Z237" s="2">
        <f t="shared" si="31"/>
        <v>-1.29</v>
      </c>
      <c r="AA237" s="3">
        <f t="shared" si="32"/>
        <v>-0.0334023821853962</v>
      </c>
      <c r="AB237">
        <v>34.5</v>
      </c>
      <c r="AC237">
        <v>34.13</v>
      </c>
      <c r="AD237">
        <v>19.3</v>
      </c>
      <c r="AE237">
        <v>19.58</v>
      </c>
      <c r="AF237">
        <v>18.36</v>
      </c>
      <c r="AG237">
        <v>18.22</v>
      </c>
      <c r="AH237">
        <v>17.41</v>
      </c>
      <c r="AI237">
        <v>17.51</v>
      </c>
      <c r="AJ237" s="2">
        <f t="shared" si="33"/>
        <v>-0.709999999999997</v>
      </c>
      <c r="AK237" s="3">
        <f t="shared" si="34"/>
        <v>-0.0389681668496157</v>
      </c>
      <c r="AL237">
        <v>17.56</v>
      </c>
      <c r="AM237">
        <v>17.52</v>
      </c>
      <c r="AN237" s="3">
        <f t="shared" si="35"/>
        <v>0.0339042009647541</v>
      </c>
    </row>
    <row r="238" spans="1:40">
      <c r="A238">
        <v>123130</v>
      </c>
      <c r="B238" t="s">
        <v>517</v>
      </c>
      <c r="C238" s="4">
        <v>44511</v>
      </c>
      <c r="D238">
        <v>370732</v>
      </c>
      <c r="E238">
        <v>300732</v>
      </c>
      <c r="F238" t="s">
        <v>518</v>
      </c>
      <c r="G238">
        <v>0.0013209989</v>
      </c>
      <c r="H238" s="4">
        <v>44532</v>
      </c>
      <c r="I238" t="s">
        <v>40</v>
      </c>
      <c r="J238" s="4">
        <v>44405</v>
      </c>
      <c r="K238" s="5">
        <v>44490</v>
      </c>
      <c r="L238">
        <v>106</v>
      </c>
      <c r="M238">
        <v>21</v>
      </c>
      <c r="N238">
        <v>7.97</v>
      </c>
      <c r="O238">
        <v>7.73</v>
      </c>
      <c r="P238">
        <v>8.76</v>
      </c>
      <c r="Q238">
        <v>8.94</v>
      </c>
      <c r="R238">
        <v>8.63</v>
      </c>
      <c r="S238">
        <v>8.67</v>
      </c>
      <c r="T238" s="2">
        <f t="shared" si="27"/>
        <v>-0.27</v>
      </c>
      <c r="U238" s="3">
        <f t="shared" si="28"/>
        <v>-0.0302013422818791</v>
      </c>
      <c r="V238">
        <v>8.47</v>
      </c>
      <c r="W238">
        <v>8.58</v>
      </c>
      <c r="X238" s="2">
        <f t="shared" si="29"/>
        <v>-0.359999999999999</v>
      </c>
      <c r="Y238" s="3">
        <f t="shared" si="30"/>
        <v>-0.0402684563758389</v>
      </c>
      <c r="Z238" s="2">
        <f t="shared" si="31"/>
        <v>-0.0899999999999999</v>
      </c>
      <c r="AA238" s="3">
        <f t="shared" si="32"/>
        <v>-0.0103806228373702</v>
      </c>
      <c r="AB238">
        <v>9.5</v>
      </c>
      <c r="AC238">
        <v>9.25</v>
      </c>
      <c r="AD238">
        <v>17.85</v>
      </c>
      <c r="AE238">
        <v>17.75</v>
      </c>
      <c r="AF238">
        <v>19.52</v>
      </c>
      <c r="AG238">
        <v>20</v>
      </c>
      <c r="AH238">
        <v>17.35</v>
      </c>
      <c r="AI238">
        <v>18.35</v>
      </c>
      <c r="AJ238" s="2">
        <f t="shared" si="33"/>
        <v>-1.65</v>
      </c>
      <c r="AK238" s="3">
        <f t="shared" si="34"/>
        <v>-0.0824999999999999</v>
      </c>
      <c r="AL238">
        <v>17.62</v>
      </c>
      <c r="AM238">
        <v>17.59</v>
      </c>
      <c r="AN238" s="3">
        <f t="shared" si="35"/>
        <v>0.0422315436241611</v>
      </c>
    </row>
    <row r="239" spans="1:40">
      <c r="A239">
        <v>123129</v>
      </c>
      <c r="B239" t="s">
        <v>519</v>
      </c>
      <c r="C239" s="4">
        <v>44504</v>
      </c>
      <c r="D239">
        <v>370798</v>
      </c>
      <c r="E239">
        <v>300798</v>
      </c>
      <c r="F239" t="s">
        <v>520</v>
      </c>
      <c r="G239">
        <v>0.0041304969</v>
      </c>
      <c r="H239" s="4">
        <v>44524</v>
      </c>
      <c r="I239" t="s">
        <v>50</v>
      </c>
      <c r="J239" s="4">
        <v>44426</v>
      </c>
      <c r="K239" s="5">
        <v>44455</v>
      </c>
      <c r="L239">
        <v>78</v>
      </c>
      <c r="M239">
        <v>49</v>
      </c>
      <c r="N239">
        <v>10.03</v>
      </c>
      <c r="O239">
        <v>10.37</v>
      </c>
      <c r="P239">
        <v>11.22</v>
      </c>
      <c r="Q239">
        <v>11.5</v>
      </c>
      <c r="R239">
        <v>9.22</v>
      </c>
      <c r="S239">
        <v>9.49</v>
      </c>
      <c r="T239" s="2">
        <f t="shared" si="27"/>
        <v>-2.01</v>
      </c>
      <c r="U239" s="3">
        <f t="shared" si="28"/>
        <v>-0.174782608695652</v>
      </c>
      <c r="V239">
        <v>9.21</v>
      </c>
      <c r="W239">
        <v>9.22</v>
      </c>
      <c r="X239" s="2">
        <f t="shared" si="29"/>
        <v>-2.28</v>
      </c>
      <c r="Y239" s="3">
        <f t="shared" si="30"/>
        <v>-0.198260869565217</v>
      </c>
      <c r="Z239" s="2">
        <f t="shared" si="31"/>
        <v>-0.27</v>
      </c>
      <c r="AA239" s="3">
        <f t="shared" si="32"/>
        <v>-0.0284510010537407</v>
      </c>
      <c r="AB239">
        <v>9.78</v>
      </c>
      <c r="AC239">
        <v>9.67</v>
      </c>
      <c r="AD239">
        <v>19.67</v>
      </c>
      <c r="AE239">
        <v>20.62</v>
      </c>
      <c r="AF239">
        <v>19.3</v>
      </c>
      <c r="AG239">
        <v>19.08</v>
      </c>
      <c r="AH239">
        <v>18.08</v>
      </c>
      <c r="AI239">
        <v>17.87</v>
      </c>
      <c r="AJ239" s="2">
        <f t="shared" si="33"/>
        <v>-1.21</v>
      </c>
      <c r="AK239" s="3">
        <f t="shared" si="34"/>
        <v>-0.0634171907756812</v>
      </c>
      <c r="AL239">
        <v>17.77</v>
      </c>
      <c r="AM239">
        <v>17.87</v>
      </c>
      <c r="AN239" s="3">
        <f t="shared" si="35"/>
        <v>-0.134843678789536</v>
      </c>
    </row>
    <row r="240" spans="1:40">
      <c r="A240">
        <v>123128</v>
      </c>
      <c r="B240" t="s">
        <v>521</v>
      </c>
      <c r="C240" s="4">
        <v>44501</v>
      </c>
      <c r="D240">
        <v>370483</v>
      </c>
      <c r="E240">
        <v>300483</v>
      </c>
      <c r="F240" t="s">
        <v>522</v>
      </c>
      <c r="G240">
        <v>0.0113842934</v>
      </c>
      <c r="H240" s="4">
        <v>44518</v>
      </c>
      <c r="I240" t="s">
        <v>55</v>
      </c>
      <c r="J240" s="4">
        <v>44365</v>
      </c>
      <c r="K240" s="5">
        <v>44454</v>
      </c>
      <c r="L240">
        <v>136</v>
      </c>
      <c r="M240">
        <v>47</v>
      </c>
      <c r="N240">
        <v>14.31</v>
      </c>
      <c r="O240">
        <v>14.39</v>
      </c>
      <c r="P240">
        <v>27.23</v>
      </c>
      <c r="Q240">
        <v>27.45</v>
      </c>
      <c r="R240">
        <v>19.77</v>
      </c>
      <c r="S240">
        <v>19.41</v>
      </c>
      <c r="T240" s="2">
        <f t="shared" si="27"/>
        <v>-8.04</v>
      </c>
      <c r="U240" s="3">
        <f t="shared" si="28"/>
        <v>-0.292896174863388</v>
      </c>
      <c r="V240">
        <v>18.59</v>
      </c>
      <c r="W240">
        <v>19.39</v>
      </c>
      <c r="X240" s="2">
        <f t="shared" si="29"/>
        <v>-8.06</v>
      </c>
      <c r="Y240" s="3">
        <f t="shared" si="30"/>
        <v>-0.293624772313297</v>
      </c>
      <c r="Z240" s="2">
        <f t="shared" si="31"/>
        <v>-0.0199999999999996</v>
      </c>
      <c r="AA240" s="3">
        <f t="shared" si="32"/>
        <v>-0.00103039670273053</v>
      </c>
      <c r="AB240">
        <v>19.36</v>
      </c>
      <c r="AC240">
        <v>18.95</v>
      </c>
      <c r="AD240">
        <v>23.13</v>
      </c>
      <c r="AE240">
        <v>22.65</v>
      </c>
      <c r="AF240">
        <v>19.31</v>
      </c>
      <c r="AG240">
        <v>19.52</v>
      </c>
      <c r="AH240">
        <v>19.33</v>
      </c>
      <c r="AI240">
        <v>19.39</v>
      </c>
      <c r="AJ240" s="2">
        <f t="shared" si="33"/>
        <v>-0.129999999999999</v>
      </c>
      <c r="AK240" s="3">
        <f t="shared" si="34"/>
        <v>-0.00665983606557372</v>
      </c>
      <c r="AL240">
        <v>18.09</v>
      </c>
      <c r="AM240">
        <v>17.8</v>
      </c>
      <c r="AN240" s="3">
        <f t="shared" si="35"/>
        <v>-0.286964936247723</v>
      </c>
    </row>
    <row r="241" spans="1:40">
      <c r="A241">
        <v>123126</v>
      </c>
      <c r="B241" t="s">
        <v>523</v>
      </c>
      <c r="C241" s="4">
        <v>44449</v>
      </c>
      <c r="D241">
        <v>370243</v>
      </c>
      <c r="E241">
        <v>300243</v>
      </c>
      <c r="F241" t="s">
        <v>524</v>
      </c>
      <c r="G241">
        <v>0.0012073386</v>
      </c>
      <c r="H241" s="4">
        <v>44487</v>
      </c>
      <c r="I241" t="s">
        <v>121</v>
      </c>
      <c r="J241" s="4">
        <v>44218</v>
      </c>
      <c r="K241" s="5">
        <v>44266</v>
      </c>
      <c r="L241">
        <v>231</v>
      </c>
      <c r="M241">
        <v>183</v>
      </c>
      <c r="N241">
        <v>16.38</v>
      </c>
      <c r="O241">
        <v>17.01</v>
      </c>
      <c r="P241">
        <v>13.39</v>
      </c>
      <c r="Q241">
        <v>13.83</v>
      </c>
      <c r="R241">
        <v>18.02</v>
      </c>
      <c r="S241">
        <v>17.61</v>
      </c>
      <c r="T241" s="2">
        <f t="shared" si="27"/>
        <v>3.78</v>
      </c>
      <c r="U241" s="3">
        <f t="shared" si="28"/>
        <v>0.273318872017354</v>
      </c>
      <c r="V241">
        <v>16.92</v>
      </c>
      <c r="W241">
        <v>16.76</v>
      </c>
      <c r="X241" s="2">
        <f t="shared" si="29"/>
        <v>2.93</v>
      </c>
      <c r="Y241" s="3">
        <f t="shared" si="30"/>
        <v>0.211858279103399</v>
      </c>
      <c r="Z241" s="2">
        <f t="shared" si="31"/>
        <v>-0.849999999999998</v>
      </c>
      <c r="AA241" s="3">
        <f t="shared" si="32"/>
        <v>-0.0482680295286768</v>
      </c>
      <c r="AB241">
        <v>14.24</v>
      </c>
      <c r="AC241">
        <v>14.55</v>
      </c>
      <c r="AD241">
        <v>22.23</v>
      </c>
      <c r="AE241">
        <v>22.03</v>
      </c>
      <c r="AF241">
        <v>20.58</v>
      </c>
      <c r="AG241">
        <v>21.27</v>
      </c>
      <c r="AH241">
        <v>18.89</v>
      </c>
      <c r="AI241">
        <v>20.57</v>
      </c>
      <c r="AJ241" s="2">
        <f t="shared" si="33"/>
        <v>-0.699999999999999</v>
      </c>
      <c r="AK241" s="3">
        <f t="shared" si="34"/>
        <v>-0.0329102021626704</v>
      </c>
      <c r="AL241">
        <v>19.45</v>
      </c>
      <c r="AM241">
        <v>19.29</v>
      </c>
      <c r="AN241" s="3">
        <f t="shared" si="35"/>
        <v>0.244768481266069</v>
      </c>
    </row>
    <row r="242" spans="1:40">
      <c r="A242">
        <v>123125</v>
      </c>
      <c r="B242" t="s">
        <v>525</v>
      </c>
      <c r="C242" s="4">
        <v>44445</v>
      </c>
      <c r="D242">
        <v>370174</v>
      </c>
      <c r="E242">
        <v>300174</v>
      </c>
      <c r="F242" t="s">
        <v>526</v>
      </c>
      <c r="G242">
        <v>0.0050720323</v>
      </c>
      <c r="H242" s="4">
        <v>44469</v>
      </c>
      <c r="I242" t="s">
        <v>55</v>
      </c>
      <c r="J242" s="4">
        <v>44394</v>
      </c>
      <c r="K242" s="5">
        <v>44432</v>
      </c>
      <c r="L242">
        <v>51</v>
      </c>
      <c r="M242">
        <v>13</v>
      </c>
      <c r="N242">
        <v>15.37</v>
      </c>
      <c r="O242">
        <v>15.02</v>
      </c>
      <c r="P242">
        <v>17.53</v>
      </c>
      <c r="Q242">
        <v>16.94</v>
      </c>
      <c r="R242">
        <v>17.22</v>
      </c>
      <c r="S242">
        <v>17.05</v>
      </c>
      <c r="T242" s="2">
        <f t="shared" si="27"/>
        <v>0.109999999999999</v>
      </c>
      <c r="U242" s="3">
        <f t="shared" si="28"/>
        <v>0.00649350649350646</v>
      </c>
      <c r="V242">
        <v>16.4</v>
      </c>
      <c r="W242">
        <v>16.22</v>
      </c>
      <c r="X242" s="2">
        <f t="shared" si="29"/>
        <v>-0.720000000000002</v>
      </c>
      <c r="Y242" s="3">
        <f t="shared" si="30"/>
        <v>-0.0425029515938608</v>
      </c>
      <c r="Z242" s="2">
        <f t="shared" si="31"/>
        <v>-0.830000000000002</v>
      </c>
      <c r="AA242" s="3">
        <f t="shared" si="32"/>
        <v>-0.0486803519061585</v>
      </c>
      <c r="AB242">
        <v>15.6</v>
      </c>
      <c r="AC242">
        <v>15.47</v>
      </c>
      <c r="AD242">
        <v>21.36</v>
      </c>
      <c r="AE242">
        <v>21.21</v>
      </c>
      <c r="AF242">
        <v>19.35</v>
      </c>
      <c r="AG242">
        <v>19.36</v>
      </c>
      <c r="AH242">
        <v>17.93</v>
      </c>
      <c r="AI242">
        <v>18.45</v>
      </c>
      <c r="AJ242" s="2">
        <f t="shared" si="33"/>
        <v>-0.91</v>
      </c>
      <c r="AK242" s="3">
        <f t="shared" si="34"/>
        <v>-0.047004132231405</v>
      </c>
      <c r="AL242">
        <v>18.09</v>
      </c>
      <c r="AM242">
        <v>17.93</v>
      </c>
      <c r="AN242" s="3">
        <f t="shared" si="35"/>
        <v>0.00450118063754414</v>
      </c>
    </row>
    <row r="243" spans="1:40">
      <c r="A243">
        <v>123123</v>
      </c>
      <c r="B243" t="s">
        <v>527</v>
      </c>
      <c r="C243" s="4">
        <v>44420</v>
      </c>
      <c r="D243">
        <v>370666</v>
      </c>
      <c r="E243">
        <v>300666</v>
      </c>
      <c r="F243" t="s">
        <v>528</v>
      </c>
      <c r="G243">
        <v>0.0033476722</v>
      </c>
      <c r="H243" s="4">
        <v>44440</v>
      </c>
      <c r="I243" t="s">
        <v>50</v>
      </c>
      <c r="J243" s="4">
        <v>44295</v>
      </c>
      <c r="K243" s="5">
        <v>44391</v>
      </c>
      <c r="L243">
        <v>125</v>
      </c>
      <c r="M243">
        <v>29</v>
      </c>
      <c r="N243">
        <v>43.66</v>
      </c>
      <c r="O243">
        <v>44.2</v>
      </c>
      <c r="P243">
        <v>47.69</v>
      </c>
      <c r="Q243">
        <v>46.75</v>
      </c>
      <c r="R243">
        <v>51.87</v>
      </c>
      <c r="S243">
        <v>51.96</v>
      </c>
      <c r="T243" s="2">
        <f t="shared" si="27"/>
        <v>5.21</v>
      </c>
      <c r="U243" s="3">
        <f t="shared" si="28"/>
        <v>0.11144385026738</v>
      </c>
      <c r="V243">
        <v>51.19</v>
      </c>
      <c r="W243">
        <v>53.14</v>
      </c>
      <c r="X243" s="2">
        <f t="shared" si="29"/>
        <v>6.39</v>
      </c>
      <c r="Y243" s="3">
        <f t="shared" si="30"/>
        <v>0.13668449197861</v>
      </c>
      <c r="Z243" s="2">
        <f t="shared" si="31"/>
        <v>1.18</v>
      </c>
      <c r="AA243" s="3">
        <f t="shared" si="32"/>
        <v>0.0227097767513472</v>
      </c>
      <c r="AB243">
        <v>50.17</v>
      </c>
      <c r="AC243">
        <v>48.14</v>
      </c>
      <c r="AD243">
        <v>21.71</v>
      </c>
      <c r="AE243">
        <v>21.3</v>
      </c>
      <c r="AF243">
        <v>21</v>
      </c>
      <c r="AG243">
        <v>20.76</v>
      </c>
      <c r="AH243">
        <v>19.79</v>
      </c>
      <c r="AI243">
        <v>19.89</v>
      </c>
      <c r="AJ243" s="2">
        <f t="shared" si="33"/>
        <v>-0.870000000000001</v>
      </c>
      <c r="AK243" s="3">
        <f t="shared" si="34"/>
        <v>-0.0419075144508671</v>
      </c>
      <c r="AL243">
        <v>17.48</v>
      </c>
      <c r="AM243">
        <v>17.88</v>
      </c>
      <c r="AN243" s="3">
        <f t="shared" si="35"/>
        <v>0.178592006429477</v>
      </c>
    </row>
    <row r="244" spans="1:40">
      <c r="A244">
        <v>123122</v>
      </c>
      <c r="B244" t="s">
        <v>529</v>
      </c>
      <c r="C244" s="4">
        <v>44414</v>
      </c>
      <c r="D244">
        <v>370613</v>
      </c>
      <c r="E244">
        <v>300613</v>
      </c>
      <c r="F244" t="s">
        <v>530</v>
      </c>
      <c r="G244">
        <v>0.0021179642</v>
      </c>
      <c r="H244" s="4">
        <v>44432</v>
      </c>
      <c r="I244" t="s">
        <v>50</v>
      </c>
      <c r="J244" s="4">
        <v>44315</v>
      </c>
      <c r="K244" s="5">
        <v>44379</v>
      </c>
      <c r="L244">
        <v>99</v>
      </c>
      <c r="M244">
        <v>35</v>
      </c>
      <c r="N244">
        <v>48.1</v>
      </c>
      <c r="O244">
        <v>47.71</v>
      </c>
      <c r="P244">
        <v>78.37</v>
      </c>
      <c r="Q244">
        <v>82.37</v>
      </c>
      <c r="R244">
        <v>99.36</v>
      </c>
      <c r="S244">
        <v>97.85</v>
      </c>
      <c r="T244" s="2">
        <f t="shared" si="27"/>
        <v>15.48</v>
      </c>
      <c r="U244" s="3">
        <f t="shared" si="28"/>
        <v>0.187932499696491</v>
      </c>
      <c r="V244">
        <v>95.36</v>
      </c>
      <c r="W244">
        <v>94.95</v>
      </c>
      <c r="X244" s="2">
        <f t="shared" si="29"/>
        <v>12.58</v>
      </c>
      <c r="Y244" s="3">
        <f t="shared" si="30"/>
        <v>0.152725506859293</v>
      </c>
      <c r="Z244" s="2">
        <f t="shared" si="31"/>
        <v>-2.89999999999999</v>
      </c>
      <c r="AA244" s="3">
        <f t="shared" si="32"/>
        <v>-0.0296371997956054</v>
      </c>
      <c r="AB244">
        <v>97.28</v>
      </c>
      <c r="AC244">
        <v>98.11</v>
      </c>
      <c r="AD244">
        <v>23.34</v>
      </c>
      <c r="AE244">
        <v>23.59</v>
      </c>
      <c r="AF244">
        <v>22.72</v>
      </c>
      <c r="AG244">
        <v>21.81</v>
      </c>
      <c r="AH244">
        <v>17.55</v>
      </c>
      <c r="AI244">
        <v>17.86</v>
      </c>
      <c r="AJ244" s="2">
        <f t="shared" si="33"/>
        <v>-3.95</v>
      </c>
      <c r="AK244" s="3">
        <f t="shared" si="34"/>
        <v>-0.181109582760202</v>
      </c>
      <c r="AL244">
        <v>19.35</v>
      </c>
      <c r="AM244">
        <v>19.36</v>
      </c>
      <c r="AN244" s="3">
        <f t="shared" si="35"/>
        <v>0.333835089619495</v>
      </c>
    </row>
    <row r="245" spans="1:40">
      <c r="A245">
        <v>123121</v>
      </c>
      <c r="B245" t="s">
        <v>531</v>
      </c>
      <c r="C245" s="4">
        <v>44413</v>
      </c>
      <c r="D245">
        <v>370776</v>
      </c>
      <c r="E245">
        <v>300776</v>
      </c>
      <c r="F245" t="s">
        <v>532</v>
      </c>
      <c r="G245">
        <v>0.0012905978</v>
      </c>
      <c r="H245" s="4">
        <v>44435</v>
      </c>
      <c r="I245" t="s">
        <v>55</v>
      </c>
      <c r="J245" s="4">
        <v>44351</v>
      </c>
      <c r="K245" s="5">
        <v>44397</v>
      </c>
      <c r="L245">
        <v>62</v>
      </c>
      <c r="M245">
        <v>16</v>
      </c>
      <c r="N245">
        <v>49.07</v>
      </c>
      <c r="O245">
        <v>51.25</v>
      </c>
      <c r="P245">
        <v>67.62</v>
      </c>
      <c r="Q245">
        <v>72.43</v>
      </c>
      <c r="R245">
        <v>73.44</v>
      </c>
      <c r="S245">
        <v>73.09</v>
      </c>
      <c r="T245" s="2">
        <f t="shared" si="27"/>
        <v>0.659999999999997</v>
      </c>
      <c r="U245" s="3">
        <f t="shared" si="28"/>
        <v>0.00911224630677891</v>
      </c>
      <c r="V245">
        <v>71.24</v>
      </c>
      <c r="W245">
        <v>67.43</v>
      </c>
      <c r="X245" s="2">
        <f t="shared" si="29"/>
        <v>-5</v>
      </c>
      <c r="Y245" s="3">
        <f t="shared" si="30"/>
        <v>-0.0690321689907497</v>
      </c>
      <c r="Z245" s="2">
        <f t="shared" si="31"/>
        <v>-5.66</v>
      </c>
      <c r="AA245" s="3">
        <f t="shared" si="32"/>
        <v>-0.0774387741141059</v>
      </c>
      <c r="AB245">
        <v>69.38</v>
      </c>
      <c r="AC245">
        <v>70.28</v>
      </c>
      <c r="AD245">
        <v>23.99</v>
      </c>
      <c r="AE245">
        <v>24.54</v>
      </c>
      <c r="AF245">
        <v>21.1</v>
      </c>
      <c r="AG245">
        <v>20.6</v>
      </c>
      <c r="AH245">
        <v>17.7</v>
      </c>
      <c r="AI245">
        <v>17.68</v>
      </c>
      <c r="AJ245" s="2">
        <f t="shared" si="33"/>
        <v>-2.92</v>
      </c>
      <c r="AK245" s="3">
        <f t="shared" si="34"/>
        <v>-0.141747572815534</v>
      </c>
      <c r="AL245">
        <v>18.56</v>
      </c>
      <c r="AM245">
        <v>18.39</v>
      </c>
      <c r="AN245" s="3">
        <f t="shared" si="35"/>
        <v>0.0727154038247844</v>
      </c>
    </row>
    <row r="246" spans="1:40">
      <c r="A246">
        <v>123120</v>
      </c>
      <c r="B246" t="s">
        <v>533</v>
      </c>
      <c r="C246" s="4">
        <v>44407</v>
      </c>
      <c r="D246">
        <v>370263</v>
      </c>
      <c r="E246">
        <v>300263</v>
      </c>
      <c r="F246" t="s">
        <v>534</v>
      </c>
      <c r="G246">
        <v>0.0022189544</v>
      </c>
      <c r="H246" s="4">
        <v>44431</v>
      </c>
      <c r="I246" t="s">
        <v>55</v>
      </c>
      <c r="J246" s="4">
        <v>44260</v>
      </c>
      <c r="K246" s="5">
        <v>44326</v>
      </c>
      <c r="L246">
        <v>147</v>
      </c>
      <c r="M246">
        <v>81</v>
      </c>
      <c r="N246">
        <v>6.47</v>
      </c>
      <c r="O246">
        <v>6.74</v>
      </c>
      <c r="P246">
        <v>5.91</v>
      </c>
      <c r="Q246">
        <v>5.9</v>
      </c>
      <c r="R246">
        <v>7.41</v>
      </c>
      <c r="S246">
        <v>7.79</v>
      </c>
      <c r="T246" s="2">
        <f t="shared" si="27"/>
        <v>1.89</v>
      </c>
      <c r="U246" s="3">
        <f t="shared" si="28"/>
        <v>0.320338983050847</v>
      </c>
      <c r="V246">
        <v>7.64</v>
      </c>
      <c r="W246">
        <v>8.19</v>
      </c>
      <c r="X246" s="2">
        <f t="shared" si="29"/>
        <v>2.29</v>
      </c>
      <c r="Y246" s="3">
        <f t="shared" si="30"/>
        <v>0.388135593220339</v>
      </c>
      <c r="Z246" s="2">
        <f t="shared" si="31"/>
        <v>0.399999999999999</v>
      </c>
      <c r="AA246" s="3">
        <f t="shared" si="32"/>
        <v>0.0513478818998716</v>
      </c>
      <c r="AB246">
        <v>10.36</v>
      </c>
      <c r="AC246">
        <v>12.03</v>
      </c>
      <c r="AD246">
        <v>22.7</v>
      </c>
      <c r="AE246">
        <v>22.34</v>
      </c>
      <c r="AF246">
        <v>24</v>
      </c>
      <c r="AG246">
        <v>23.86</v>
      </c>
      <c r="AH246">
        <v>17.92</v>
      </c>
      <c r="AI246">
        <v>17.69</v>
      </c>
      <c r="AJ246" s="2">
        <f t="shared" si="33"/>
        <v>-6.17</v>
      </c>
      <c r="AK246" s="3">
        <f t="shared" si="34"/>
        <v>-0.25859178541492</v>
      </c>
      <c r="AL246">
        <v>19.5</v>
      </c>
      <c r="AM246">
        <v>19.3</v>
      </c>
      <c r="AN246" s="3">
        <f t="shared" si="35"/>
        <v>0.646727378635259</v>
      </c>
    </row>
    <row r="247" spans="1:40">
      <c r="A247">
        <v>118001</v>
      </c>
      <c r="B247" t="s">
        <v>535</v>
      </c>
      <c r="C247" s="4">
        <v>44400</v>
      </c>
      <c r="D247">
        <v>718598</v>
      </c>
      <c r="E247">
        <v>688598</v>
      </c>
      <c r="F247" t="s">
        <v>536</v>
      </c>
      <c r="G247">
        <v>0.0017707</v>
      </c>
      <c r="H247" s="4">
        <v>44426</v>
      </c>
      <c r="I247" t="s">
        <v>50</v>
      </c>
      <c r="J247" s="4">
        <v>44315</v>
      </c>
      <c r="K247" s="5">
        <v>44363</v>
      </c>
      <c r="L247">
        <v>85</v>
      </c>
      <c r="M247">
        <v>37</v>
      </c>
      <c r="N247">
        <v>75.84</v>
      </c>
      <c r="O247">
        <v>74.13</v>
      </c>
      <c r="P247">
        <v>97.07</v>
      </c>
      <c r="Q247">
        <v>94.66</v>
      </c>
      <c r="R247">
        <v>137.67</v>
      </c>
      <c r="S247">
        <v>132.29</v>
      </c>
      <c r="T247" s="2">
        <f t="shared" si="27"/>
        <v>37.63</v>
      </c>
      <c r="U247" s="3">
        <f t="shared" si="28"/>
        <v>0.39752799492922</v>
      </c>
      <c r="V247">
        <v>131.4</v>
      </c>
      <c r="W247">
        <v>133.06</v>
      </c>
      <c r="X247" s="2">
        <f t="shared" si="29"/>
        <v>38.4</v>
      </c>
      <c r="Y247" s="3">
        <f t="shared" si="30"/>
        <v>0.405662370589478</v>
      </c>
      <c r="Z247" s="2">
        <f t="shared" si="31"/>
        <v>0.77000000000001</v>
      </c>
      <c r="AA247" s="3">
        <f t="shared" si="32"/>
        <v>0.00582054577065546</v>
      </c>
      <c r="AB247">
        <v>129.03</v>
      </c>
      <c r="AC247">
        <v>128.46</v>
      </c>
      <c r="AD247">
        <v>23.34</v>
      </c>
      <c r="AE247">
        <v>23.59</v>
      </c>
      <c r="AF247">
        <v>23.22</v>
      </c>
      <c r="AG247">
        <v>23.26</v>
      </c>
      <c r="AH247">
        <v>20.38</v>
      </c>
      <c r="AI247">
        <v>20.1</v>
      </c>
      <c r="AJ247" s="2">
        <f t="shared" si="33"/>
        <v>-3.16</v>
      </c>
      <c r="AK247" s="3">
        <f t="shared" si="34"/>
        <v>-0.13585554600172</v>
      </c>
      <c r="AL247">
        <v>19.67</v>
      </c>
      <c r="AM247">
        <v>20.62</v>
      </c>
      <c r="AN247" s="3">
        <f t="shared" si="35"/>
        <v>0.541517916591198</v>
      </c>
    </row>
    <row r="248" spans="1:40">
      <c r="A248">
        <v>123119</v>
      </c>
      <c r="B248" t="s">
        <v>537</v>
      </c>
      <c r="C248" s="4">
        <v>44392</v>
      </c>
      <c r="D248">
        <v>370601</v>
      </c>
      <c r="E248">
        <v>300601</v>
      </c>
      <c r="F248" t="s">
        <v>538</v>
      </c>
      <c r="G248">
        <v>0.0141817815</v>
      </c>
      <c r="H248" s="4">
        <v>44413</v>
      </c>
      <c r="I248" t="s">
        <v>40</v>
      </c>
      <c r="J248" s="4">
        <v>44315</v>
      </c>
      <c r="K248" s="5">
        <v>44354</v>
      </c>
      <c r="L248">
        <v>77</v>
      </c>
      <c r="M248">
        <v>38</v>
      </c>
      <c r="N248">
        <v>102.7</v>
      </c>
      <c r="O248">
        <v>102.98</v>
      </c>
      <c r="P248">
        <v>102.65</v>
      </c>
      <c r="Q248">
        <v>104.62</v>
      </c>
      <c r="R248">
        <v>93.14</v>
      </c>
      <c r="S248">
        <v>93.89</v>
      </c>
      <c r="T248" s="2">
        <f t="shared" si="27"/>
        <v>-10.73</v>
      </c>
      <c r="U248" s="3">
        <f t="shared" si="28"/>
        <v>-0.102561651691837</v>
      </c>
      <c r="V248">
        <v>93.88</v>
      </c>
      <c r="W248">
        <v>92.29</v>
      </c>
      <c r="X248" s="2">
        <f t="shared" si="29"/>
        <v>-12.33</v>
      </c>
      <c r="Y248" s="3">
        <f t="shared" si="30"/>
        <v>-0.117855094628178</v>
      </c>
      <c r="Z248" s="2">
        <f t="shared" si="31"/>
        <v>-1.59999999999999</v>
      </c>
      <c r="AA248" s="3">
        <f t="shared" si="32"/>
        <v>-0.0170412184471189</v>
      </c>
      <c r="AB248">
        <v>91.37</v>
      </c>
      <c r="AC248">
        <v>96.56</v>
      </c>
      <c r="AD248">
        <v>23.34</v>
      </c>
      <c r="AE248">
        <v>23.59</v>
      </c>
      <c r="AF248">
        <v>24.48</v>
      </c>
      <c r="AG248">
        <v>24.3</v>
      </c>
      <c r="AH248">
        <v>20.72</v>
      </c>
      <c r="AI248">
        <v>21.62</v>
      </c>
      <c r="AJ248" s="2">
        <f t="shared" si="33"/>
        <v>-2.68</v>
      </c>
      <c r="AK248" s="3">
        <f t="shared" si="34"/>
        <v>-0.110288065843621</v>
      </c>
      <c r="AL248">
        <v>17.7</v>
      </c>
      <c r="AM248">
        <v>17.68</v>
      </c>
      <c r="AN248" s="3">
        <f t="shared" si="35"/>
        <v>-0.00756702878455676</v>
      </c>
    </row>
    <row r="249" spans="1:40">
      <c r="A249">
        <v>123118</v>
      </c>
      <c r="B249" t="s">
        <v>539</v>
      </c>
      <c r="C249" s="4">
        <v>44384</v>
      </c>
      <c r="D249">
        <v>370779</v>
      </c>
      <c r="E249">
        <v>300779</v>
      </c>
      <c r="F249" t="s">
        <v>540</v>
      </c>
      <c r="G249">
        <v>0.0024427362</v>
      </c>
      <c r="H249" s="4">
        <v>44403</v>
      </c>
      <c r="I249" t="s">
        <v>50</v>
      </c>
      <c r="J249" s="4">
        <v>44236</v>
      </c>
      <c r="K249" s="5">
        <v>44301</v>
      </c>
      <c r="L249">
        <v>148</v>
      </c>
      <c r="M249">
        <v>83</v>
      </c>
      <c r="N249">
        <v>10.22</v>
      </c>
      <c r="O249">
        <v>10.97</v>
      </c>
      <c r="P249">
        <v>12.93</v>
      </c>
      <c r="Q249">
        <v>12.31</v>
      </c>
      <c r="R249">
        <v>12.38</v>
      </c>
      <c r="S249">
        <v>12.5</v>
      </c>
      <c r="T249" s="2">
        <f t="shared" si="27"/>
        <v>0.19</v>
      </c>
      <c r="U249" s="3">
        <f t="shared" si="28"/>
        <v>0.0154346060113728</v>
      </c>
      <c r="V249">
        <v>12.15</v>
      </c>
      <c r="W249">
        <v>12.49</v>
      </c>
      <c r="X249" s="2">
        <f t="shared" si="29"/>
        <v>0.18</v>
      </c>
      <c r="Y249" s="3">
        <f t="shared" si="30"/>
        <v>0.0146222583265637</v>
      </c>
      <c r="Z249" s="2">
        <f t="shared" si="31"/>
        <v>-0.00999999999999979</v>
      </c>
      <c r="AA249" s="3">
        <f t="shared" si="32"/>
        <v>-0.000799999999999983</v>
      </c>
      <c r="AB249">
        <v>13.54</v>
      </c>
      <c r="AC249">
        <v>12.83</v>
      </c>
      <c r="AD249">
        <v>24.79</v>
      </c>
      <c r="AE249">
        <v>24.58</v>
      </c>
      <c r="AF249">
        <v>20.76</v>
      </c>
      <c r="AG249">
        <v>20.36</v>
      </c>
      <c r="AH249">
        <v>22.68</v>
      </c>
      <c r="AI249">
        <v>22.55</v>
      </c>
      <c r="AJ249" s="2">
        <f t="shared" si="33"/>
        <v>2.19</v>
      </c>
      <c r="AK249" s="3">
        <f t="shared" si="34"/>
        <v>0.107563850687623</v>
      </c>
      <c r="AL249">
        <v>19.96</v>
      </c>
      <c r="AM249">
        <v>18.8</v>
      </c>
      <c r="AN249" s="3">
        <f t="shared" si="35"/>
        <v>-0.0929415923610591</v>
      </c>
    </row>
    <row r="250" spans="1:40">
      <c r="A250">
        <v>123117</v>
      </c>
      <c r="B250" t="s">
        <v>541</v>
      </c>
      <c r="C250" s="4">
        <v>44370</v>
      </c>
      <c r="D250">
        <v>370529</v>
      </c>
      <c r="E250">
        <v>300529</v>
      </c>
      <c r="F250" t="s">
        <v>542</v>
      </c>
      <c r="G250">
        <v>0.0018136556</v>
      </c>
      <c r="H250" s="4">
        <v>44389</v>
      </c>
      <c r="I250" t="s">
        <v>40</v>
      </c>
      <c r="J250" s="4">
        <v>44159</v>
      </c>
      <c r="K250" s="5">
        <v>44193</v>
      </c>
      <c r="L250">
        <v>211</v>
      </c>
      <c r="M250">
        <v>177</v>
      </c>
      <c r="N250">
        <v>62.41</v>
      </c>
      <c r="O250">
        <v>62.51</v>
      </c>
      <c r="P250">
        <v>68.59</v>
      </c>
      <c r="Q250">
        <v>67.67</v>
      </c>
      <c r="R250">
        <v>82.9</v>
      </c>
      <c r="S250">
        <v>82.62</v>
      </c>
      <c r="T250" s="2">
        <f t="shared" si="27"/>
        <v>14.95</v>
      </c>
      <c r="U250" s="3">
        <f t="shared" si="28"/>
        <v>0.220925077582385</v>
      </c>
      <c r="V250">
        <v>82.32</v>
      </c>
      <c r="W250">
        <v>80.62</v>
      </c>
      <c r="X250" s="2">
        <f t="shared" si="29"/>
        <v>12.95</v>
      </c>
      <c r="Y250" s="3">
        <f t="shared" si="30"/>
        <v>0.191369883256982</v>
      </c>
      <c r="Z250" s="2">
        <f t="shared" si="31"/>
        <v>-2</v>
      </c>
      <c r="AA250" s="3">
        <f t="shared" si="32"/>
        <v>-0.0242072137496974</v>
      </c>
      <c r="AB250">
        <v>80.17</v>
      </c>
      <c r="AC250">
        <v>83.14</v>
      </c>
      <c r="AD250">
        <v>19.62</v>
      </c>
      <c r="AE250">
        <v>19.36</v>
      </c>
      <c r="AF250">
        <v>18.02</v>
      </c>
      <c r="AG250">
        <v>18.85</v>
      </c>
      <c r="AH250">
        <v>22.85</v>
      </c>
      <c r="AI250">
        <v>23.14</v>
      </c>
      <c r="AJ250" s="2">
        <f t="shared" si="33"/>
        <v>4.29</v>
      </c>
      <c r="AK250" s="3">
        <f t="shared" si="34"/>
        <v>0.227586206896552</v>
      </c>
      <c r="AL250">
        <v>21.5</v>
      </c>
      <c r="AM250">
        <v>21.16</v>
      </c>
      <c r="AN250" s="3">
        <f t="shared" si="35"/>
        <v>-0.0362163236395692</v>
      </c>
    </row>
    <row r="251" spans="1:40">
      <c r="A251">
        <v>123115</v>
      </c>
      <c r="B251" t="s">
        <v>543</v>
      </c>
      <c r="C251" s="4">
        <v>44355</v>
      </c>
      <c r="D251">
        <v>370623</v>
      </c>
      <c r="E251">
        <v>300623</v>
      </c>
      <c r="F251" t="s">
        <v>544</v>
      </c>
      <c r="G251">
        <v>0.0028256096</v>
      </c>
      <c r="H251" s="4">
        <v>44376</v>
      </c>
      <c r="I251" t="s">
        <v>55</v>
      </c>
      <c r="J251" s="4">
        <v>44251</v>
      </c>
      <c r="K251" s="5">
        <v>44301</v>
      </c>
      <c r="L251">
        <v>104</v>
      </c>
      <c r="M251">
        <v>54</v>
      </c>
      <c r="N251">
        <v>25.8</v>
      </c>
      <c r="O251">
        <v>26.94</v>
      </c>
      <c r="P251">
        <v>25.33</v>
      </c>
      <c r="Q251">
        <v>25.02</v>
      </c>
      <c r="R251">
        <v>30.47</v>
      </c>
      <c r="S251">
        <v>30.8</v>
      </c>
      <c r="T251" s="2">
        <f t="shared" si="27"/>
        <v>5.78</v>
      </c>
      <c r="U251" s="3">
        <f t="shared" si="28"/>
        <v>0.23101518784972</v>
      </c>
      <c r="V251">
        <v>30.58</v>
      </c>
      <c r="W251">
        <v>30.64</v>
      </c>
      <c r="X251" s="2">
        <f t="shared" si="29"/>
        <v>5.62</v>
      </c>
      <c r="Y251" s="3">
        <f t="shared" si="30"/>
        <v>0.224620303756994</v>
      </c>
      <c r="Z251" s="2">
        <f t="shared" si="31"/>
        <v>-0.16</v>
      </c>
      <c r="AA251" s="3">
        <f t="shared" si="32"/>
        <v>-0.0051948051948052</v>
      </c>
      <c r="AB251">
        <v>36.19</v>
      </c>
      <c r="AC251">
        <v>36.42</v>
      </c>
      <c r="AD251">
        <v>22.27</v>
      </c>
      <c r="AE251">
        <v>22.16</v>
      </c>
      <c r="AF251">
        <v>20.76</v>
      </c>
      <c r="AG251">
        <v>20.36</v>
      </c>
      <c r="AH251">
        <v>24.15</v>
      </c>
      <c r="AI251">
        <v>24.53</v>
      </c>
      <c r="AJ251" s="2">
        <f t="shared" si="33"/>
        <v>4.17</v>
      </c>
      <c r="AK251" s="3">
        <f t="shared" si="34"/>
        <v>0.204813359528487</v>
      </c>
      <c r="AL251">
        <v>22.58</v>
      </c>
      <c r="AM251">
        <v>22.34</v>
      </c>
      <c r="AN251" s="3">
        <f t="shared" si="35"/>
        <v>0.0198069442285072</v>
      </c>
    </row>
    <row r="252" spans="1:40">
      <c r="A252">
        <v>123114</v>
      </c>
      <c r="B252" t="s">
        <v>545</v>
      </c>
      <c r="C252" s="4">
        <v>44341</v>
      </c>
      <c r="D252">
        <v>370775</v>
      </c>
      <c r="E252">
        <v>300775</v>
      </c>
      <c r="F252" t="s">
        <v>546</v>
      </c>
      <c r="G252">
        <v>0.003312021</v>
      </c>
      <c r="H252" s="4">
        <v>44358</v>
      </c>
      <c r="I252" t="s">
        <v>55</v>
      </c>
      <c r="J252" s="4">
        <v>44133</v>
      </c>
      <c r="K252" s="5">
        <v>44307</v>
      </c>
      <c r="L252">
        <v>208</v>
      </c>
      <c r="M252">
        <v>34</v>
      </c>
      <c r="N252">
        <v>31.99</v>
      </c>
      <c r="O252">
        <v>32.25</v>
      </c>
      <c r="P252">
        <v>29.65</v>
      </c>
      <c r="Q252">
        <v>29.47</v>
      </c>
      <c r="R252">
        <v>32.39</v>
      </c>
      <c r="S252">
        <v>33.38</v>
      </c>
      <c r="T252" s="2">
        <f t="shared" si="27"/>
        <v>3.91</v>
      </c>
      <c r="U252" s="3">
        <f t="shared" si="28"/>
        <v>0.132677298948083</v>
      </c>
      <c r="V252">
        <v>33.18</v>
      </c>
      <c r="W252">
        <v>33.41</v>
      </c>
      <c r="X252" s="2">
        <f t="shared" si="29"/>
        <v>3.94</v>
      </c>
      <c r="Y252" s="3">
        <f t="shared" si="30"/>
        <v>0.133695283338989</v>
      </c>
      <c r="Z252" s="2">
        <f t="shared" si="31"/>
        <v>0.029999999999994</v>
      </c>
      <c r="AA252" s="3">
        <f t="shared" si="32"/>
        <v>0.000898741761533674</v>
      </c>
      <c r="AB252">
        <v>37.13</v>
      </c>
      <c r="AC252">
        <v>36.03</v>
      </c>
      <c r="AD252">
        <v>17.54</v>
      </c>
      <c r="AE252">
        <v>17.77</v>
      </c>
      <c r="AF252">
        <v>22.3</v>
      </c>
      <c r="AG252">
        <v>23.01</v>
      </c>
      <c r="AH252">
        <v>23.54</v>
      </c>
      <c r="AI252">
        <v>24.6</v>
      </c>
      <c r="AJ252" s="2">
        <f t="shared" si="33"/>
        <v>1.59</v>
      </c>
      <c r="AK252" s="3">
        <f t="shared" si="34"/>
        <v>0.0691003911342894</v>
      </c>
      <c r="AL252">
        <v>24.31</v>
      </c>
      <c r="AM252">
        <v>23.37</v>
      </c>
      <c r="AN252" s="3">
        <f t="shared" si="35"/>
        <v>0.0645948922046993</v>
      </c>
    </row>
    <row r="253" spans="1:40">
      <c r="A253">
        <v>123113</v>
      </c>
      <c r="B253" t="s">
        <v>547</v>
      </c>
      <c r="C253" s="4">
        <v>44305</v>
      </c>
      <c r="D253">
        <v>370791</v>
      </c>
      <c r="E253">
        <v>300791</v>
      </c>
      <c r="F253" t="s">
        <v>548</v>
      </c>
      <c r="G253">
        <v>0.0012972269</v>
      </c>
      <c r="H253" s="4">
        <v>44330</v>
      </c>
      <c r="I253" t="s">
        <v>55</v>
      </c>
      <c r="J253" s="4">
        <v>44251</v>
      </c>
      <c r="K253" s="5">
        <v>44281</v>
      </c>
      <c r="L253">
        <v>54</v>
      </c>
      <c r="M253">
        <v>24</v>
      </c>
      <c r="N253">
        <v>35.12</v>
      </c>
      <c r="O253">
        <v>33.24</v>
      </c>
      <c r="P253">
        <v>31.48</v>
      </c>
      <c r="Q253">
        <v>32.17</v>
      </c>
      <c r="R253">
        <v>32.65</v>
      </c>
      <c r="S253">
        <v>32.97</v>
      </c>
      <c r="T253" s="2">
        <f t="shared" si="27"/>
        <v>0.799999999999997</v>
      </c>
      <c r="U253" s="3">
        <f t="shared" si="28"/>
        <v>0.0248678893378924</v>
      </c>
      <c r="V253">
        <v>32.21</v>
      </c>
      <c r="W253">
        <v>32.71</v>
      </c>
      <c r="X253" s="2">
        <f t="shared" si="29"/>
        <v>0.539999999999999</v>
      </c>
      <c r="Y253" s="3">
        <f t="shared" si="30"/>
        <v>0.0167858253030774</v>
      </c>
      <c r="Z253" s="2">
        <f t="shared" si="31"/>
        <v>-0.259999999999998</v>
      </c>
      <c r="AA253" s="3">
        <f t="shared" si="32"/>
        <v>-0.00788595693054286</v>
      </c>
      <c r="AB253">
        <v>27.46</v>
      </c>
      <c r="AC253">
        <v>29.48</v>
      </c>
      <c r="AD253">
        <v>22.27</v>
      </c>
      <c r="AE253">
        <v>22.16</v>
      </c>
      <c r="AF253">
        <v>20.84</v>
      </c>
      <c r="AG253">
        <v>21.14</v>
      </c>
      <c r="AH253">
        <v>20.03</v>
      </c>
      <c r="AI253">
        <v>21.15</v>
      </c>
      <c r="AJ253" s="2">
        <f t="shared" si="33"/>
        <v>0.00999999999999801</v>
      </c>
      <c r="AK253" s="3">
        <f t="shared" si="34"/>
        <v>0.000473036896877862</v>
      </c>
      <c r="AL253">
        <v>23.14</v>
      </c>
      <c r="AM253">
        <v>23.32</v>
      </c>
      <c r="AN253" s="3">
        <f t="shared" si="35"/>
        <v>0.0163127884061995</v>
      </c>
    </row>
    <row r="254" spans="1:40">
      <c r="A254">
        <v>123111</v>
      </c>
      <c r="B254" t="s">
        <v>549</v>
      </c>
      <c r="C254" s="4">
        <v>44293</v>
      </c>
      <c r="D254">
        <v>370059</v>
      </c>
      <c r="E254">
        <v>300059</v>
      </c>
      <c r="F254" t="s">
        <v>550</v>
      </c>
      <c r="G254">
        <v>0.0587697466</v>
      </c>
      <c r="H254" s="4">
        <v>44309</v>
      </c>
      <c r="I254" t="s">
        <v>58</v>
      </c>
      <c r="J254" s="4">
        <v>44224</v>
      </c>
      <c r="K254" s="5">
        <v>44280</v>
      </c>
      <c r="L254">
        <v>69</v>
      </c>
      <c r="M254">
        <v>13</v>
      </c>
      <c r="N254">
        <v>20.94</v>
      </c>
      <c r="O254">
        <v>20.7</v>
      </c>
      <c r="P254">
        <v>15.23</v>
      </c>
      <c r="Q254">
        <v>15.51</v>
      </c>
      <c r="R254">
        <v>16.6</v>
      </c>
      <c r="S254">
        <v>16.31</v>
      </c>
      <c r="T254" s="2">
        <f t="shared" si="27"/>
        <v>0.799999999999999</v>
      </c>
      <c r="U254" s="3">
        <f t="shared" si="28"/>
        <v>0.0515796260477111</v>
      </c>
      <c r="V254">
        <v>16.07</v>
      </c>
      <c r="W254">
        <v>15.89</v>
      </c>
      <c r="X254" s="2">
        <f t="shared" si="29"/>
        <v>0.380000000000001</v>
      </c>
      <c r="Y254" s="3">
        <f t="shared" si="30"/>
        <v>0.0245003223726628</v>
      </c>
      <c r="Z254" s="2">
        <f t="shared" si="31"/>
        <v>-0.419999999999998</v>
      </c>
      <c r="AA254" s="3">
        <f t="shared" si="32"/>
        <v>-0.0257510729613733</v>
      </c>
      <c r="AB254">
        <v>17.34</v>
      </c>
      <c r="AC254">
        <v>18.03</v>
      </c>
      <c r="AD254">
        <v>22.78</v>
      </c>
      <c r="AE254">
        <v>22.81</v>
      </c>
      <c r="AF254">
        <v>20.58</v>
      </c>
      <c r="AG254">
        <v>20.75</v>
      </c>
      <c r="AH254">
        <v>21.88</v>
      </c>
      <c r="AI254">
        <v>21.64</v>
      </c>
      <c r="AJ254" s="2">
        <f t="shared" si="33"/>
        <v>0.890000000000001</v>
      </c>
      <c r="AK254" s="3">
        <f t="shared" si="34"/>
        <v>0.0428915662650603</v>
      </c>
      <c r="AL254">
        <v>23.32</v>
      </c>
      <c r="AM254">
        <v>23.29</v>
      </c>
      <c r="AN254" s="3">
        <f t="shared" si="35"/>
        <v>-0.0183912438923974</v>
      </c>
    </row>
    <row r="255" spans="1:40">
      <c r="A255">
        <v>123110</v>
      </c>
      <c r="B255" t="s">
        <v>551</v>
      </c>
      <c r="C255" s="4">
        <v>44287</v>
      </c>
      <c r="D255">
        <v>370705</v>
      </c>
      <c r="E255">
        <v>300705</v>
      </c>
      <c r="F255" t="s">
        <v>233</v>
      </c>
      <c r="G255">
        <v>0.0021121042</v>
      </c>
      <c r="H255" s="4">
        <v>44309</v>
      </c>
      <c r="I255" t="s">
        <v>50</v>
      </c>
      <c r="J255" s="4">
        <v>44125</v>
      </c>
      <c r="K255" s="5">
        <v>44209</v>
      </c>
      <c r="L255">
        <v>162</v>
      </c>
      <c r="M255">
        <v>78</v>
      </c>
      <c r="N255">
        <v>10.97</v>
      </c>
      <c r="O255">
        <v>10.75</v>
      </c>
      <c r="P255">
        <v>11.75</v>
      </c>
      <c r="Q255">
        <v>12.87</v>
      </c>
      <c r="R255">
        <v>12.96</v>
      </c>
      <c r="S255">
        <v>12.76</v>
      </c>
      <c r="T255" s="2">
        <f t="shared" si="27"/>
        <v>-0.109999999999999</v>
      </c>
      <c r="U255" s="3">
        <f t="shared" si="28"/>
        <v>-0.0085470085470085</v>
      </c>
      <c r="V255">
        <v>12.75</v>
      </c>
      <c r="W255">
        <v>13.54</v>
      </c>
      <c r="X255" s="2">
        <f t="shared" si="29"/>
        <v>0.67</v>
      </c>
      <c r="Y255" s="3">
        <f t="shared" si="30"/>
        <v>0.0520590520590521</v>
      </c>
      <c r="Z255" s="2">
        <f t="shared" si="31"/>
        <v>0.779999999999999</v>
      </c>
      <c r="AA255" s="3">
        <f t="shared" si="32"/>
        <v>0.061128526645768</v>
      </c>
      <c r="AB255">
        <v>13.25</v>
      </c>
      <c r="AC255">
        <v>14.44</v>
      </c>
      <c r="AD255">
        <v>17.64</v>
      </c>
      <c r="AE255">
        <v>17.91</v>
      </c>
      <c r="AF255">
        <v>21</v>
      </c>
      <c r="AG255">
        <v>20.7</v>
      </c>
      <c r="AH255">
        <v>22.08</v>
      </c>
      <c r="AI255">
        <v>21.78</v>
      </c>
      <c r="AJ255" s="2">
        <f t="shared" si="33"/>
        <v>1.08</v>
      </c>
      <c r="AK255" s="3">
        <f t="shared" si="34"/>
        <v>0.0521739130434784</v>
      </c>
      <c r="AL255">
        <v>23.32</v>
      </c>
      <c r="AM255">
        <v>23.29</v>
      </c>
      <c r="AN255" s="3">
        <f t="shared" si="35"/>
        <v>-0.000114860984426299</v>
      </c>
    </row>
    <row r="256" spans="1:40">
      <c r="A256">
        <v>123109</v>
      </c>
      <c r="B256" t="s">
        <v>552</v>
      </c>
      <c r="C256" s="4">
        <v>44287</v>
      </c>
      <c r="D256">
        <v>370151</v>
      </c>
      <c r="E256">
        <v>300151</v>
      </c>
      <c r="F256" t="s">
        <v>553</v>
      </c>
      <c r="G256">
        <v>0.0045166298</v>
      </c>
      <c r="H256" s="4">
        <v>44305</v>
      </c>
      <c r="I256" t="s">
        <v>55</v>
      </c>
      <c r="J256" s="4">
        <v>44211</v>
      </c>
      <c r="K256" s="5">
        <v>44266</v>
      </c>
      <c r="L256">
        <v>76</v>
      </c>
      <c r="M256">
        <v>21</v>
      </c>
      <c r="N256">
        <v>27.72</v>
      </c>
      <c r="O256">
        <v>27.13</v>
      </c>
      <c r="P256">
        <v>27.83</v>
      </c>
      <c r="Q256">
        <v>27.93</v>
      </c>
      <c r="R256">
        <v>26.84</v>
      </c>
      <c r="S256">
        <v>27.97</v>
      </c>
      <c r="T256" s="2">
        <f t="shared" si="27"/>
        <v>0.0399999999999991</v>
      </c>
      <c r="U256" s="3">
        <f t="shared" si="28"/>
        <v>0.00143215180809163</v>
      </c>
      <c r="V256">
        <v>27.66</v>
      </c>
      <c r="W256">
        <v>27.43</v>
      </c>
      <c r="X256" s="2">
        <f t="shared" si="29"/>
        <v>-0.5</v>
      </c>
      <c r="Y256" s="3">
        <f t="shared" si="30"/>
        <v>-0.0179018976011457</v>
      </c>
      <c r="Z256" s="2">
        <f t="shared" si="31"/>
        <v>-0.539999999999999</v>
      </c>
      <c r="AA256" s="3">
        <f t="shared" si="32"/>
        <v>-0.0193063997139792</v>
      </c>
      <c r="AB256">
        <v>26.34</v>
      </c>
      <c r="AC256">
        <v>26.99</v>
      </c>
      <c r="AD256">
        <v>21</v>
      </c>
      <c r="AE256">
        <v>21</v>
      </c>
      <c r="AF256">
        <v>20.58</v>
      </c>
      <c r="AG256">
        <v>21.27</v>
      </c>
      <c r="AH256">
        <v>22.08</v>
      </c>
      <c r="AI256">
        <v>21.78</v>
      </c>
      <c r="AJ256" s="2">
        <f t="shared" si="33"/>
        <v>0.510000000000002</v>
      </c>
      <c r="AK256" s="3">
        <f t="shared" si="34"/>
        <v>0.0239774330042314</v>
      </c>
      <c r="AL256">
        <v>20.03</v>
      </c>
      <c r="AM256">
        <v>21.15</v>
      </c>
      <c r="AN256" s="3">
        <f t="shared" si="35"/>
        <v>-0.0418793306053771</v>
      </c>
    </row>
    <row r="257" spans="1:40">
      <c r="A257">
        <v>123108</v>
      </c>
      <c r="B257" t="s">
        <v>554</v>
      </c>
      <c r="C257" s="4">
        <v>44285</v>
      </c>
      <c r="D257">
        <v>370003</v>
      </c>
      <c r="E257">
        <v>300003</v>
      </c>
      <c r="F257" t="s">
        <v>555</v>
      </c>
      <c r="G257">
        <v>0.0172882477</v>
      </c>
      <c r="H257" s="4">
        <v>44305</v>
      </c>
      <c r="I257" t="s">
        <v>58</v>
      </c>
      <c r="J257" s="4">
        <v>44231</v>
      </c>
      <c r="K257" s="5">
        <v>44267</v>
      </c>
      <c r="L257">
        <v>54</v>
      </c>
      <c r="M257">
        <v>18</v>
      </c>
      <c r="N257">
        <v>27.42</v>
      </c>
      <c r="O257">
        <v>28.21</v>
      </c>
      <c r="P257">
        <v>27.38</v>
      </c>
      <c r="Q257">
        <v>26.81</v>
      </c>
      <c r="R257">
        <v>27.24</v>
      </c>
      <c r="S257">
        <v>27.66</v>
      </c>
      <c r="T257" s="2">
        <f t="shared" si="27"/>
        <v>0.850000000000001</v>
      </c>
      <c r="U257" s="3">
        <f t="shared" si="28"/>
        <v>0.0317045878403581</v>
      </c>
      <c r="V257">
        <v>27.46</v>
      </c>
      <c r="W257">
        <v>27.65</v>
      </c>
      <c r="X257" s="2">
        <f t="shared" si="29"/>
        <v>0.84</v>
      </c>
      <c r="Y257" s="3">
        <f t="shared" si="30"/>
        <v>0.031331592689295</v>
      </c>
      <c r="Z257" s="2">
        <f t="shared" si="31"/>
        <v>-0.0100000000000016</v>
      </c>
      <c r="AA257" s="3">
        <f t="shared" si="32"/>
        <v>-0.00036153289949391</v>
      </c>
      <c r="AB257">
        <v>26.31</v>
      </c>
      <c r="AC257">
        <v>27.02</v>
      </c>
      <c r="AD257">
        <v>24.18</v>
      </c>
      <c r="AE257">
        <v>24.6</v>
      </c>
      <c r="AF257">
        <v>21.37</v>
      </c>
      <c r="AG257">
        <v>21.48</v>
      </c>
      <c r="AH257">
        <v>21.38</v>
      </c>
      <c r="AI257">
        <v>21.93</v>
      </c>
      <c r="AJ257" s="2">
        <f t="shared" si="33"/>
        <v>0.449999999999999</v>
      </c>
      <c r="AK257" s="3">
        <f t="shared" si="34"/>
        <v>0.020949720670391</v>
      </c>
      <c r="AL257">
        <v>20.03</v>
      </c>
      <c r="AM257">
        <v>21.15</v>
      </c>
      <c r="AN257" s="3">
        <f t="shared" si="35"/>
        <v>0.010381872018904</v>
      </c>
    </row>
    <row r="258" spans="1:40">
      <c r="A258">
        <v>123107</v>
      </c>
      <c r="B258" t="s">
        <v>556</v>
      </c>
      <c r="C258" s="4">
        <v>44284</v>
      </c>
      <c r="D258">
        <v>370498</v>
      </c>
      <c r="E258">
        <v>300498</v>
      </c>
      <c r="F258" t="s">
        <v>557</v>
      </c>
      <c r="G258">
        <v>0.0170006161</v>
      </c>
      <c r="H258" s="4">
        <v>44307</v>
      </c>
      <c r="I258" t="s">
        <v>43</v>
      </c>
      <c r="J258" s="4">
        <v>44190</v>
      </c>
      <c r="K258" s="5">
        <v>44236</v>
      </c>
      <c r="L258">
        <v>94</v>
      </c>
      <c r="M258">
        <v>48</v>
      </c>
      <c r="N258">
        <v>17.74</v>
      </c>
      <c r="O258">
        <v>17.38</v>
      </c>
      <c r="P258">
        <v>16.25</v>
      </c>
      <c r="Q258">
        <v>16.35</v>
      </c>
      <c r="R258">
        <v>16.34</v>
      </c>
      <c r="S258">
        <v>16.35</v>
      </c>
      <c r="T258" s="2">
        <f t="shared" ref="T258:T296" si="36">S258-Q258</f>
        <v>0</v>
      </c>
      <c r="U258" s="3">
        <f t="shared" ref="U258:U296" si="37">T258/Q258</f>
        <v>0</v>
      </c>
      <c r="V258">
        <v>16.21</v>
      </c>
      <c r="W258">
        <v>16.21</v>
      </c>
      <c r="X258" s="2">
        <f t="shared" ref="X258:X296" si="38">W258-Q258</f>
        <v>-0.140000000000001</v>
      </c>
      <c r="Y258" s="3">
        <f t="shared" ref="Y258:Y296" si="39">X258/Q258</f>
        <v>-0.00856269113149851</v>
      </c>
      <c r="Z258" s="2">
        <f t="shared" ref="Z258:Z296" si="40">W258-S258</f>
        <v>-0.140000000000001</v>
      </c>
      <c r="AA258" s="3">
        <f t="shared" ref="AA258:AA296" si="41">Z258/S258</f>
        <v>-0.00856269113149851</v>
      </c>
      <c r="AB258">
        <v>14.73</v>
      </c>
      <c r="AC258">
        <v>14.65</v>
      </c>
      <c r="AD258">
        <v>18.26</v>
      </c>
      <c r="AE258">
        <v>18.04</v>
      </c>
      <c r="AF258">
        <v>24.79</v>
      </c>
      <c r="AG258">
        <v>24.58</v>
      </c>
      <c r="AH258">
        <v>21.28</v>
      </c>
      <c r="AI258">
        <v>21.49</v>
      </c>
      <c r="AJ258" s="2">
        <f t="shared" si="33"/>
        <v>-3.09</v>
      </c>
      <c r="AK258" s="3">
        <f t="shared" si="34"/>
        <v>-0.125711960943857</v>
      </c>
      <c r="AL258">
        <v>22.3</v>
      </c>
      <c r="AM258">
        <v>23.01</v>
      </c>
      <c r="AN258" s="3">
        <f t="shared" si="35"/>
        <v>0.117149269812358</v>
      </c>
    </row>
    <row r="259" spans="1:40">
      <c r="A259">
        <v>123106</v>
      </c>
      <c r="B259" t="s">
        <v>558</v>
      </c>
      <c r="C259" s="4">
        <v>44279</v>
      </c>
      <c r="D259">
        <v>370641</v>
      </c>
      <c r="E259">
        <v>300641</v>
      </c>
      <c r="F259" t="s">
        <v>559</v>
      </c>
      <c r="G259">
        <v>0.0052517895</v>
      </c>
      <c r="H259" s="4">
        <v>44306</v>
      </c>
      <c r="I259" t="s">
        <v>55</v>
      </c>
      <c r="J259" s="4">
        <v>44120</v>
      </c>
      <c r="K259" s="5">
        <v>44173</v>
      </c>
      <c r="L259">
        <v>159</v>
      </c>
      <c r="M259">
        <v>106</v>
      </c>
      <c r="N259">
        <v>5.37</v>
      </c>
      <c r="O259">
        <v>5.39</v>
      </c>
      <c r="P259">
        <v>5.12</v>
      </c>
      <c r="Q259">
        <v>5.16</v>
      </c>
      <c r="R259">
        <v>6.36</v>
      </c>
      <c r="S259">
        <v>5.91</v>
      </c>
      <c r="T259" s="2">
        <f t="shared" si="36"/>
        <v>0.75</v>
      </c>
      <c r="U259" s="3">
        <f t="shared" si="37"/>
        <v>0.145348837209302</v>
      </c>
      <c r="V259">
        <v>6.04</v>
      </c>
      <c r="W259">
        <v>6.12</v>
      </c>
      <c r="X259" s="2">
        <f t="shared" si="38"/>
        <v>0.96</v>
      </c>
      <c r="Y259" s="3">
        <f t="shared" si="39"/>
        <v>0.186046511627907</v>
      </c>
      <c r="Z259" s="2">
        <f t="shared" si="40"/>
        <v>0.21</v>
      </c>
      <c r="AA259" s="3">
        <f t="shared" si="41"/>
        <v>0.0355329949238579</v>
      </c>
      <c r="AB259">
        <v>6.17</v>
      </c>
      <c r="AC259">
        <v>6.39</v>
      </c>
      <c r="AD259">
        <v>16.56</v>
      </c>
      <c r="AE259">
        <v>17.1</v>
      </c>
      <c r="AF259">
        <v>18.92</v>
      </c>
      <c r="AG259">
        <v>18.71</v>
      </c>
      <c r="AH259">
        <v>21.21</v>
      </c>
      <c r="AI259">
        <v>20.53</v>
      </c>
      <c r="AJ259" s="2">
        <f t="shared" ref="AJ259:AJ296" si="42">AI259-AG259</f>
        <v>1.82</v>
      </c>
      <c r="AK259" s="3">
        <f t="shared" ref="AK259:AK296" si="43">AJ259/AG259</f>
        <v>0.0972741849278461</v>
      </c>
      <c r="AL259">
        <v>21.08</v>
      </c>
      <c r="AM259">
        <v>21.69</v>
      </c>
      <c r="AN259" s="3">
        <f t="shared" ref="AN259:AN296" si="44">Y259-AK259</f>
        <v>0.0887723267000609</v>
      </c>
    </row>
    <row r="260" spans="1:40">
      <c r="A260">
        <v>123105</v>
      </c>
      <c r="B260" t="s">
        <v>560</v>
      </c>
      <c r="C260" s="4">
        <v>44274</v>
      </c>
      <c r="D260">
        <v>370229</v>
      </c>
      <c r="E260">
        <v>300229</v>
      </c>
      <c r="F260" t="s">
        <v>561</v>
      </c>
      <c r="G260">
        <v>0.0053683832</v>
      </c>
      <c r="H260" s="4">
        <v>44313</v>
      </c>
      <c r="I260" t="s">
        <v>55</v>
      </c>
      <c r="J260" s="4">
        <v>44097</v>
      </c>
      <c r="K260" s="5">
        <v>44222</v>
      </c>
      <c r="L260">
        <v>177</v>
      </c>
      <c r="M260">
        <v>52</v>
      </c>
      <c r="N260">
        <v>10.84</v>
      </c>
      <c r="O260">
        <v>10.92</v>
      </c>
      <c r="P260">
        <v>8.83</v>
      </c>
      <c r="Q260">
        <v>8.92</v>
      </c>
      <c r="R260">
        <v>9.38</v>
      </c>
      <c r="S260">
        <v>9.43</v>
      </c>
      <c r="T260" s="2">
        <f t="shared" si="36"/>
        <v>0.51</v>
      </c>
      <c r="U260" s="3">
        <f t="shared" si="37"/>
        <v>0.0571748878923767</v>
      </c>
      <c r="V260">
        <v>9.42</v>
      </c>
      <c r="W260">
        <v>9.22</v>
      </c>
      <c r="X260" s="2">
        <f t="shared" si="38"/>
        <v>0.300000000000001</v>
      </c>
      <c r="Y260" s="3">
        <f t="shared" si="39"/>
        <v>0.0336322869955158</v>
      </c>
      <c r="Z260" s="2">
        <f t="shared" si="40"/>
        <v>-0.209999999999999</v>
      </c>
      <c r="AA260" s="3">
        <f t="shared" si="41"/>
        <v>-0.0222693531283138</v>
      </c>
      <c r="AB260">
        <v>8.29</v>
      </c>
      <c r="AC260">
        <v>8.19</v>
      </c>
      <c r="AD260">
        <v>15.59</v>
      </c>
      <c r="AE260">
        <v>15.63</v>
      </c>
      <c r="AF260">
        <v>22.3</v>
      </c>
      <c r="AG260">
        <v>22.37</v>
      </c>
      <c r="AH260">
        <v>21.53</v>
      </c>
      <c r="AI260">
        <v>20.47</v>
      </c>
      <c r="AJ260" s="2">
        <f t="shared" si="42"/>
        <v>-1.9</v>
      </c>
      <c r="AK260" s="3">
        <f t="shared" si="43"/>
        <v>-0.0849351810460439</v>
      </c>
      <c r="AL260">
        <v>22.95</v>
      </c>
      <c r="AM260">
        <v>22.94</v>
      </c>
      <c r="AN260" s="3">
        <f t="shared" si="44"/>
        <v>0.11856746804156</v>
      </c>
    </row>
    <row r="261" spans="1:40">
      <c r="A261">
        <v>123104</v>
      </c>
      <c r="B261" t="s">
        <v>562</v>
      </c>
      <c r="C261" s="4">
        <v>44271</v>
      </c>
      <c r="D261">
        <v>370253</v>
      </c>
      <c r="E261">
        <v>300253</v>
      </c>
      <c r="F261" t="s">
        <v>563</v>
      </c>
      <c r="G261">
        <v>0.0072930284</v>
      </c>
      <c r="H261" s="4">
        <v>44286</v>
      </c>
      <c r="I261" t="s">
        <v>40</v>
      </c>
      <c r="J261" s="4">
        <v>44195</v>
      </c>
      <c r="K261" s="5">
        <v>44235</v>
      </c>
      <c r="L261">
        <v>76</v>
      </c>
      <c r="M261">
        <v>36</v>
      </c>
      <c r="N261">
        <v>15.66</v>
      </c>
      <c r="O261">
        <v>16.15</v>
      </c>
      <c r="P261">
        <v>16.11</v>
      </c>
      <c r="Q261">
        <v>15.96</v>
      </c>
      <c r="R261">
        <v>16.34</v>
      </c>
      <c r="S261">
        <v>16.62</v>
      </c>
      <c r="T261" s="2">
        <f t="shared" si="36"/>
        <v>0.66</v>
      </c>
      <c r="U261" s="3">
        <f t="shared" si="37"/>
        <v>0.0413533834586466</v>
      </c>
      <c r="V261">
        <v>16.61</v>
      </c>
      <c r="W261">
        <v>16.04</v>
      </c>
      <c r="X261" s="2">
        <f t="shared" si="38"/>
        <v>0.0799999999999983</v>
      </c>
      <c r="Y261" s="3">
        <f t="shared" si="39"/>
        <v>0.0050125313283207</v>
      </c>
      <c r="Z261" s="2">
        <f t="shared" si="40"/>
        <v>-0.580000000000002</v>
      </c>
      <c r="AA261" s="3">
        <f t="shared" si="41"/>
        <v>-0.0348977135980747</v>
      </c>
      <c r="AB261">
        <v>16.27</v>
      </c>
      <c r="AC261">
        <v>16.32</v>
      </c>
      <c r="AD261">
        <v>19</v>
      </c>
      <c r="AE261">
        <v>19.2</v>
      </c>
      <c r="AF261">
        <v>24.9</v>
      </c>
      <c r="AG261">
        <v>24.8</v>
      </c>
      <c r="AH261">
        <v>21.6</v>
      </c>
      <c r="AI261">
        <v>21.66</v>
      </c>
      <c r="AJ261" s="2">
        <f t="shared" si="42"/>
        <v>-3.14</v>
      </c>
      <c r="AK261" s="3">
        <f t="shared" si="43"/>
        <v>-0.126612903225806</v>
      </c>
      <c r="AL261">
        <v>21.77</v>
      </c>
      <c r="AM261">
        <v>22.01</v>
      </c>
      <c r="AN261" s="3">
        <f t="shared" si="44"/>
        <v>0.131625434554127</v>
      </c>
    </row>
    <row r="262" spans="1:40">
      <c r="A262">
        <v>123103</v>
      </c>
      <c r="B262" t="s">
        <v>564</v>
      </c>
      <c r="C262" s="4">
        <v>44267</v>
      </c>
      <c r="D262">
        <v>370767</v>
      </c>
      <c r="E262">
        <v>300767</v>
      </c>
      <c r="F262" t="s">
        <v>565</v>
      </c>
      <c r="G262">
        <v>0.0020636122</v>
      </c>
      <c r="H262" s="4">
        <v>44286</v>
      </c>
      <c r="I262" t="s">
        <v>50</v>
      </c>
      <c r="J262" s="4">
        <v>44183</v>
      </c>
      <c r="K262" s="5">
        <v>44225</v>
      </c>
      <c r="L262">
        <v>84</v>
      </c>
      <c r="M262">
        <v>42</v>
      </c>
      <c r="N262">
        <v>45.19</v>
      </c>
      <c r="O262">
        <v>44.56</v>
      </c>
      <c r="P262">
        <v>56.26</v>
      </c>
      <c r="Q262">
        <v>53.64</v>
      </c>
      <c r="R262">
        <v>42.59</v>
      </c>
      <c r="S262">
        <v>45.66</v>
      </c>
      <c r="T262" s="2">
        <f t="shared" si="36"/>
        <v>-7.98</v>
      </c>
      <c r="U262" s="3">
        <f t="shared" si="37"/>
        <v>-0.148769574944072</v>
      </c>
      <c r="V262">
        <v>44.65</v>
      </c>
      <c r="W262">
        <v>45.86</v>
      </c>
      <c r="X262" s="2">
        <f t="shared" si="38"/>
        <v>-7.78</v>
      </c>
      <c r="Y262" s="3">
        <f t="shared" si="39"/>
        <v>-0.145041014168531</v>
      </c>
      <c r="Z262" s="2">
        <f t="shared" si="40"/>
        <v>0.200000000000003</v>
      </c>
      <c r="AA262" s="3">
        <f t="shared" si="41"/>
        <v>0.00438020148926857</v>
      </c>
      <c r="AB262">
        <v>48.34</v>
      </c>
      <c r="AC262">
        <v>48.99</v>
      </c>
      <c r="AD262">
        <v>19</v>
      </c>
      <c r="AE262">
        <v>18.36</v>
      </c>
      <c r="AF262">
        <v>22.81</v>
      </c>
      <c r="AG262">
        <v>23.09</v>
      </c>
      <c r="AH262">
        <v>21.37</v>
      </c>
      <c r="AI262">
        <v>21.48</v>
      </c>
      <c r="AJ262" s="2">
        <f t="shared" si="42"/>
        <v>-1.61</v>
      </c>
      <c r="AK262" s="3">
        <f t="shared" si="43"/>
        <v>-0.0697271546123863</v>
      </c>
      <c r="AL262">
        <v>21.77</v>
      </c>
      <c r="AM262">
        <v>22.01</v>
      </c>
      <c r="AN262" s="3">
        <f t="shared" si="44"/>
        <v>-0.0753138595561447</v>
      </c>
    </row>
    <row r="263" spans="1:40">
      <c r="A263">
        <v>123102</v>
      </c>
      <c r="B263" t="s">
        <v>566</v>
      </c>
      <c r="C263" s="4">
        <v>44267</v>
      </c>
      <c r="D263">
        <v>370490</v>
      </c>
      <c r="E263">
        <v>300490</v>
      </c>
      <c r="F263" t="s">
        <v>567</v>
      </c>
      <c r="G263">
        <v>0.0083448947</v>
      </c>
      <c r="H263" s="4">
        <v>44287</v>
      </c>
      <c r="I263" t="s">
        <v>55</v>
      </c>
      <c r="J263" s="4">
        <v>44056</v>
      </c>
      <c r="K263" s="5">
        <v>44130</v>
      </c>
      <c r="L263">
        <v>211</v>
      </c>
      <c r="M263">
        <v>137</v>
      </c>
      <c r="N263">
        <v>8.95</v>
      </c>
      <c r="O263">
        <v>9.05</v>
      </c>
      <c r="P263">
        <v>11.16</v>
      </c>
      <c r="Q263">
        <v>13.02</v>
      </c>
      <c r="R263">
        <v>9.69</v>
      </c>
      <c r="S263">
        <v>10.1</v>
      </c>
      <c r="T263" s="2">
        <f t="shared" si="36"/>
        <v>-2.92</v>
      </c>
      <c r="U263" s="3">
        <f t="shared" si="37"/>
        <v>-0.224270353302611</v>
      </c>
      <c r="V263">
        <v>9.95</v>
      </c>
      <c r="W263">
        <v>10.48</v>
      </c>
      <c r="X263" s="2">
        <f t="shared" si="38"/>
        <v>-2.54</v>
      </c>
      <c r="Y263" s="3">
        <f t="shared" si="39"/>
        <v>-0.195084485407066</v>
      </c>
      <c r="Z263" s="2">
        <f t="shared" si="40"/>
        <v>0.380000000000001</v>
      </c>
      <c r="AA263" s="3">
        <f t="shared" si="41"/>
        <v>0.0376237623762377</v>
      </c>
      <c r="AB263">
        <v>9.9</v>
      </c>
      <c r="AC263">
        <v>9.7</v>
      </c>
      <c r="AD263">
        <v>14.4</v>
      </c>
      <c r="AE263">
        <v>14.18</v>
      </c>
      <c r="AF263">
        <v>18.2</v>
      </c>
      <c r="AG263">
        <v>17.7</v>
      </c>
      <c r="AH263">
        <v>21.37</v>
      </c>
      <c r="AI263">
        <v>21.48</v>
      </c>
      <c r="AJ263" s="2">
        <f t="shared" si="42"/>
        <v>3.78</v>
      </c>
      <c r="AK263" s="3">
        <f t="shared" si="43"/>
        <v>0.213559322033898</v>
      </c>
      <c r="AL263">
        <v>22.08</v>
      </c>
      <c r="AM263">
        <v>21.78</v>
      </c>
      <c r="AN263" s="3">
        <f t="shared" si="44"/>
        <v>-0.408643807440964</v>
      </c>
    </row>
    <row r="264" spans="1:40">
      <c r="A264">
        <v>123101</v>
      </c>
      <c r="B264" t="s">
        <v>568</v>
      </c>
      <c r="C264" s="4">
        <v>44265</v>
      </c>
      <c r="D264">
        <v>370607</v>
      </c>
      <c r="E264">
        <v>300607</v>
      </c>
      <c r="F264" t="s">
        <v>569</v>
      </c>
      <c r="G264">
        <v>0.0043718239</v>
      </c>
      <c r="H264" s="4">
        <v>44284</v>
      </c>
      <c r="I264" t="s">
        <v>40</v>
      </c>
      <c r="J264" s="4">
        <v>44196</v>
      </c>
      <c r="K264" s="5">
        <v>44237</v>
      </c>
      <c r="L264">
        <v>69</v>
      </c>
      <c r="M264">
        <v>28</v>
      </c>
      <c r="N264">
        <v>20.41</v>
      </c>
      <c r="O264">
        <v>21.36</v>
      </c>
      <c r="P264">
        <v>24.98</v>
      </c>
      <c r="Q264">
        <v>25.05</v>
      </c>
      <c r="R264">
        <v>24.64</v>
      </c>
      <c r="S264">
        <v>23.77</v>
      </c>
      <c r="T264" s="2">
        <f t="shared" si="36"/>
        <v>-1.28</v>
      </c>
      <c r="U264" s="3">
        <f t="shared" si="37"/>
        <v>-0.0510978043912176</v>
      </c>
      <c r="V264">
        <v>24.2</v>
      </c>
      <c r="W264">
        <v>22.7</v>
      </c>
      <c r="X264" s="2">
        <f t="shared" si="38"/>
        <v>-2.35</v>
      </c>
      <c r="Y264" s="3">
        <f t="shared" si="39"/>
        <v>-0.093812375249501</v>
      </c>
      <c r="Z264" s="2">
        <f t="shared" si="40"/>
        <v>-1.07</v>
      </c>
      <c r="AA264" s="3">
        <f t="shared" si="41"/>
        <v>-0.0450147244425747</v>
      </c>
      <c r="AB264">
        <v>22.84</v>
      </c>
      <c r="AC264">
        <v>22.75</v>
      </c>
      <c r="AD264">
        <v>19.21</v>
      </c>
      <c r="AE264">
        <v>19.34</v>
      </c>
      <c r="AF264">
        <v>24.6</v>
      </c>
      <c r="AG264">
        <v>23.82</v>
      </c>
      <c r="AH264">
        <v>20.84</v>
      </c>
      <c r="AI264">
        <v>20.4</v>
      </c>
      <c r="AJ264" s="2">
        <f t="shared" si="42"/>
        <v>-3.42</v>
      </c>
      <c r="AK264" s="3">
        <f t="shared" si="43"/>
        <v>-0.143576826196474</v>
      </c>
      <c r="AL264">
        <v>21.28</v>
      </c>
      <c r="AM264">
        <v>21.49</v>
      </c>
      <c r="AN264" s="3">
        <f t="shared" si="44"/>
        <v>0.0497644509469726</v>
      </c>
    </row>
    <row r="265" spans="1:40">
      <c r="A265">
        <v>118000</v>
      </c>
      <c r="B265" t="s">
        <v>570</v>
      </c>
      <c r="C265" s="4">
        <v>44250</v>
      </c>
      <c r="D265">
        <v>718388</v>
      </c>
      <c r="E265">
        <v>688388</v>
      </c>
      <c r="F265" t="s">
        <v>571</v>
      </c>
      <c r="G265">
        <v>0.00538537</v>
      </c>
      <c r="H265" s="4">
        <v>44270</v>
      </c>
      <c r="I265" t="s">
        <v>50</v>
      </c>
      <c r="J265" s="4">
        <v>44181</v>
      </c>
      <c r="K265" s="5">
        <v>44225</v>
      </c>
      <c r="L265">
        <v>69</v>
      </c>
      <c r="M265">
        <v>25</v>
      </c>
      <c r="N265">
        <v>47.27</v>
      </c>
      <c r="O265">
        <v>47.05</v>
      </c>
      <c r="P265">
        <v>57.76</v>
      </c>
      <c r="Q265">
        <v>54.46</v>
      </c>
      <c r="R265">
        <v>53.52</v>
      </c>
      <c r="S265">
        <v>57.05</v>
      </c>
      <c r="T265" s="2">
        <f t="shared" si="36"/>
        <v>2.59</v>
      </c>
      <c r="U265" s="3">
        <f t="shared" si="37"/>
        <v>0.0475578406169665</v>
      </c>
      <c r="V265">
        <v>56.06</v>
      </c>
      <c r="W265">
        <v>56.24</v>
      </c>
      <c r="X265" s="2">
        <f t="shared" si="38"/>
        <v>1.78</v>
      </c>
      <c r="Y265" s="3">
        <f t="shared" si="39"/>
        <v>0.0326845391112743</v>
      </c>
      <c r="Z265" s="2">
        <f t="shared" si="40"/>
        <v>-0.809999999999995</v>
      </c>
      <c r="AA265" s="3">
        <f t="shared" si="41"/>
        <v>-0.0141980718667834</v>
      </c>
      <c r="AB265">
        <v>48.91</v>
      </c>
      <c r="AC265">
        <v>49.15</v>
      </c>
      <c r="AD265">
        <v>18.8</v>
      </c>
      <c r="AE265">
        <v>19.01</v>
      </c>
      <c r="AF265">
        <v>22.81</v>
      </c>
      <c r="AG265">
        <v>23.09</v>
      </c>
      <c r="AH265">
        <v>22.38</v>
      </c>
      <c r="AI265">
        <v>21.93</v>
      </c>
      <c r="AJ265" s="2">
        <f t="shared" si="42"/>
        <v>-1.16</v>
      </c>
      <c r="AK265" s="3">
        <f t="shared" si="43"/>
        <v>-0.0502381983542659</v>
      </c>
      <c r="AL265">
        <v>21.4</v>
      </c>
      <c r="AM265">
        <v>21.6</v>
      </c>
      <c r="AN265" s="3">
        <f t="shared" si="44"/>
        <v>0.0829227374655403</v>
      </c>
    </row>
    <row r="266" spans="1:40">
      <c r="A266">
        <v>123100</v>
      </c>
      <c r="B266" t="s">
        <v>572</v>
      </c>
      <c r="C266" s="4">
        <v>44236</v>
      </c>
      <c r="D266">
        <v>370543</v>
      </c>
      <c r="E266">
        <v>300543</v>
      </c>
      <c r="F266" t="s">
        <v>573</v>
      </c>
      <c r="G266">
        <v>0.0057083238</v>
      </c>
      <c r="H266" s="4">
        <v>44271</v>
      </c>
      <c r="I266" t="s">
        <v>55</v>
      </c>
      <c r="J266" s="4">
        <v>44120</v>
      </c>
      <c r="K266" s="5">
        <v>44174</v>
      </c>
      <c r="L266">
        <v>116</v>
      </c>
      <c r="M266">
        <v>62</v>
      </c>
      <c r="N266">
        <v>12.83</v>
      </c>
      <c r="O266">
        <v>13.74</v>
      </c>
      <c r="P266">
        <v>11.63</v>
      </c>
      <c r="Q266">
        <v>11.74</v>
      </c>
      <c r="R266">
        <v>9.58</v>
      </c>
      <c r="S266">
        <v>9.34</v>
      </c>
      <c r="T266" s="2">
        <f t="shared" si="36"/>
        <v>-2.4</v>
      </c>
      <c r="U266" s="3">
        <f t="shared" si="37"/>
        <v>-0.20442930153322</v>
      </c>
      <c r="V266">
        <v>9.41</v>
      </c>
      <c r="W266">
        <v>9.61</v>
      </c>
      <c r="X266" s="2">
        <f t="shared" si="38"/>
        <v>-2.13</v>
      </c>
      <c r="Y266" s="3">
        <f t="shared" si="39"/>
        <v>-0.181431005110733</v>
      </c>
      <c r="Z266" s="2">
        <f t="shared" si="40"/>
        <v>0.27</v>
      </c>
      <c r="AA266" s="3">
        <f t="shared" si="41"/>
        <v>0.0289079229122055</v>
      </c>
      <c r="AB266">
        <v>10.2</v>
      </c>
      <c r="AC266">
        <v>10.56</v>
      </c>
      <c r="AD266">
        <v>16.56</v>
      </c>
      <c r="AE266">
        <v>17.1</v>
      </c>
      <c r="AF266">
        <v>18.79</v>
      </c>
      <c r="AG266">
        <v>18.71</v>
      </c>
      <c r="AH266">
        <v>24.79</v>
      </c>
      <c r="AI266">
        <v>24.58</v>
      </c>
      <c r="AJ266" s="2">
        <f t="shared" si="42"/>
        <v>5.87</v>
      </c>
      <c r="AK266" s="3">
        <f t="shared" si="43"/>
        <v>0.313735970069481</v>
      </c>
      <c r="AL266">
        <v>21.6</v>
      </c>
      <c r="AM266">
        <v>21.66</v>
      </c>
      <c r="AN266" s="3">
        <f t="shared" si="44"/>
        <v>-0.495166975180214</v>
      </c>
    </row>
    <row r="267" spans="1:40">
      <c r="A267">
        <v>123098</v>
      </c>
      <c r="B267" t="s">
        <v>574</v>
      </c>
      <c r="C267" s="4">
        <v>44224</v>
      </c>
      <c r="D267">
        <v>370723</v>
      </c>
      <c r="E267">
        <v>300723</v>
      </c>
      <c r="F267" t="s">
        <v>575</v>
      </c>
      <c r="G267">
        <v>0.0009778488</v>
      </c>
      <c r="H267" s="4">
        <v>44250</v>
      </c>
      <c r="I267" t="s">
        <v>55</v>
      </c>
      <c r="J267" s="4">
        <v>44133</v>
      </c>
      <c r="K267" s="5">
        <v>44173</v>
      </c>
      <c r="L267">
        <v>91</v>
      </c>
      <c r="M267">
        <v>51</v>
      </c>
      <c r="N267">
        <v>14.61</v>
      </c>
      <c r="O267">
        <v>14.56</v>
      </c>
      <c r="P267">
        <v>15.23</v>
      </c>
      <c r="Q267">
        <v>15.34</v>
      </c>
      <c r="R267">
        <v>16.64</v>
      </c>
      <c r="S267">
        <v>16.1</v>
      </c>
      <c r="T267" s="2">
        <f t="shared" si="36"/>
        <v>0.760000000000002</v>
      </c>
      <c r="U267" s="3">
        <f t="shared" si="37"/>
        <v>0.0495436766623208</v>
      </c>
      <c r="V267">
        <v>15.86</v>
      </c>
      <c r="W267">
        <v>15.4</v>
      </c>
      <c r="X267" s="2">
        <f t="shared" si="38"/>
        <v>0.0600000000000005</v>
      </c>
      <c r="Y267" s="3">
        <f t="shared" si="39"/>
        <v>0.00391134289439377</v>
      </c>
      <c r="Z267" s="2">
        <f t="shared" si="40"/>
        <v>-0.700000000000001</v>
      </c>
      <c r="AA267" s="3">
        <f t="shared" si="41"/>
        <v>-0.0434782608695653</v>
      </c>
      <c r="AB267">
        <v>17.58</v>
      </c>
      <c r="AC267">
        <v>17.26</v>
      </c>
      <c r="AD267">
        <v>17.54</v>
      </c>
      <c r="AE267">
        <v>17.77</v>
      </c>
      <c r="AF267">
        <v>18.92</v>
      </c>
      <c r="AG267">
        <v>18.71</v>
      </c>
      <c r="AH267">
        <v>22.78</v>
      </c>
      <c r="AI267">
        <v>22.81</v>
      </c>
      <c r="AJ267" s="2">
        <f t="shared" si="42"/>
        <v>4.1</v>
      </c>
      <c r="AK267" s="3">
        <f t="shared" si="43"/>
        <v>0.219134152859433</v>
      </c>
      <c r="AL267">
        <v>22.38</v>
      </c>
      <c r="AM267">
        <v>21.93</v>
      </c>
      <c r="AN267" s="3">
        <f t="shared" si="44"/>
        <v>-0.21522280996504</v>
      </c>
    </row>
    <row r="268" spans="1:40">
      <c r="A268">
        <v>123097</v>
      </c>
      <c r="B268" t="s">
        <v>576</v>
      </c>
      <c r="C268" s="4">
        <v>44223</v>
      </c>
      <c r="D268">
        <v>370611</v>
      </c>
      <c r="E268">
        <v>300611</v>
      </c>
      <c r="F268" t="s">
        <v>577</v>
      </c>
      <c r="G268">
        <v>0.0017836629</v>
      </c>
      <c r="H268" s="4">
        <v>44251</v>
      </c>
      <c r="I268" t="s">
        <v>50</v>
      </c>
      <c r="J268" s="4">
        <v>44125</v>
      </c>
      <c r="K268" s="5">
        <v>44209</v>
      </c>
      <c r="L268">
        <v>98</v>
      </c>
      <c r="M268">
        <v>14</v>
      </c>
      <c r="N268">
        <v>11.99</v>
      </c>
      <c r="O268">
        <v>11.68</v>
      </c>
      <c r="P268">
        <v>8.32</v>
      </c>
      <c r="Q268">
        <v>8.02</v>
      </c>
      <c r="R268">
        <v>8.49</v>
      </c>
      <c r="S268">
        <v>8.69</v>
      </c>
      <c r="T268" s="2">
        <f t="shared" si="36"/>
        <v>0.67</v>
      </c>
      <c r="U268" s="3">
        <f t="shared" si="37"/>
        <v>0.0835411471321696</v>
      </c>
      <c r="V268">
        <v>8.53</v>
      </c>
      <c r="W268">
        <v>8.44</v>
      </c>
      <c r="X268" s="2">
        <f t="shared" si="38"/>
        <v>0.42</v>
      </c>
      <c r="Y268" s="3">
        <f t="shared" si="39"/>
        <v>0.0523690773067332</v>
      </c>
      <c r="Z268" s="2">
        <f t="shared" si="40"/>
        <v>-0.25</v>
      </c>
      <c r="AA268" s="3">
        <f t="shared" si="41"/>
        <v>-0.0287686996547756</v>
      </c>
      <c r="AB268">
        <v>8.73</v>
      </c>
      <c r="AC268">
        <v>8.84</v>
      </c>
      <c r="AD268">
        <v>17.64</v>
      </c>
      <c r="AE268">
        <v>17.91</v>
      </c>
      <c r="AF268">
        <v>21</v>
      </c>
      <c r="AG268">
        <v>20.7</v>
      </c>
      <c r="AH268">
        <v>22.31</v>
      </c>
      <c r="AI268">
        <v>23.08</v>
      </c>
      <c r="AJ268" s="2">
        <f t="shared" si="42"/>
        <v>2.38</v>
      </c>
      <c r="AK268" s="3">
        <f t="shared" si="43"/>
        <v>0.114975845410628</v>
      </c>
      <c r="AL268">
        <v>22.27</v>
      </c>
      <c r="AM268">
        <v>22.16</v>
      </c>
      <c r="AN268" s="3">
        <f t="shared" si="44"/>
        <v>-0.0626067681038948</v>
      </c>
    </row>
    <row r="269" spans="1:40">
      <c r="A269">
        <v>123096</v>
      </c>
      <c r="B269" t="s">
        <v>578</v>
      </c>
      <c r="C269" s="4">
        <v>44222</v>
      </c>
      <c r="D269">
        <v>370078</v>
      </c>
      <c r="E269">
        <v>300078</v>
      </c>
      <c r="F269" t="s">
        <v>579</v>
      </c>
      <c r="G269">
        <v>0.0054656157</v>
      </c>
      <c r="H269" s="4">
        <v>44256</v>
      </c>
      <c r="I269" t="s">
        <v>580</v>
      </c>
      <c r="J269" s="4">
        <v>44126</v>
      </c>
      <c r="K269" s="5">
        <v>44181</v>
      </c>
      <c r="L269">
        <v>96</v>
      </c>
      <c r="M269">
        <v>41</v>
      </c>
      <c r="N269">
        <v>11.63</v>
      </c>
      <c r="O269">
        <v>11.79</v>
      </c>
      <c r="P269">
        <v>9.37</v>
      </c>
      <c r="Q269">
        <v>9.13</v>
      </c>
      <c r="R269">
        <v>8.04</v>
      </c>
      <c r="S269">
        <v>7.64</v>
      </c>
      <c r="T269" s="2">
        <f t="shared" si="36"/>
        <v>-1.49</v>
      </c>
      <c r="U269" s="3">
        <f t="shared" si="37"/>
        <v>-0.163198247535597</v>
      </c>
      <c r="V269">
        <v>7.54</v>
      </c>
      <c r="W269">
        <v>7.44</v>
      </c>
      <c r="X269" s="2">
        <f t="shared" si="38"/>
        <v>-1.69</v>
      </c>
      <c r="Y269" s="3">
        <f t="shared" si="39"/>
        <v>-0.185104052573932</v>
      </c>
      <c r="Z269" s="2">
        <f t="shared" si="40"/>
        <v>-0.199999999999999</v>
      </c>
      <c r="AA269" s="3">
        <f t="shared" si="41"/>
        <v>-0.0261780104712041</v>
      </c>
      <c r="AB269">
        <v>7.62</v>
      </c>
      <c r="AC269">
        <v>7.74</v>
      </c>
      <c r="AD269">
        <v>17.94</v>
      </c>
      <c r="AE269">
        <v>17.56</v>
      </c>
      <c r="AF269">
        <v>18.8</v>
      </c>
      <c r="AG269">
        <v>19.01</v>
      </c>
      <c r="AH269">
        <v>22.3</v>
      </c>
      <c r="AI269">
        <v>22.37</v>
      </c>
      <c r="AJ269" s="2">
        <f t="shared" si="42"/>
        <v>3.36</v>
      </c>
      <c r="AK269" s="3">
        <f t="shared" si="43"/>
        <v>0.176749079431878</v>
      </c>
      <c r="AL269">
        <v>21.54</v>
      </c>
      <c r="AM269">
        <v>21.45</v>
      </c>
      <c r="AN269" s="3">
        <f t="shared" si="44"/>
        <v>-0.36185313200581</v>
      </c>
    </row>
    <row r="270" spans="1:40">
      <c r="A270">
        <v>123094</v>
      </c>
      <c r="B270" t="s">
        <v>581</v>
      </c>
      <c r="C270" s="4">
        <v>44216</v>
      </c>
      <c r="D270">
        <v>370568</v>
      </c>
      <c r="E270">
        <v>300568</v>
      </c>
      <c r="F270" t="s">
        <v>582</v>
      </c>
      <c r="G270">
        <v>0.0052075383</v>
      </c>
      <c r="H270" s="4">
        <v>44286</v>
      </c>
      <c r="I270" t="s">
        <v>40</v>
      </c>
      <c r="J270" s="4">
        <v>44132</v>
      </c>
      <c r="K270" s="5">
        <v>44182</v>
      </c>
      <c r="L270">
        <v>84</v>
      </c>
      <c r="M270">
        <v>34</v>
      </c>
      <c r="N270">
        <v>9.27</v>
      </c>
      <c r="O270">
        <v>10.56</v>
      </c>
      <c r="P270">
        <v>12.18</v>
      </c>
      <c r="Q270">
        <v>12.99</v>
      </c>
      <c r="R270">
        <v>11.46</v>
      </c>
      <c r="S270">
        <v>11.24</v>
      </c>
      <c r="T270" s="2">
        <f t="shared" si="36"/>
        <v>-1.75</v>
      </c>
      <c r="U270" s="3">
        <f t="shared" si="37"/>
        <v>-0.134719014626636</v>
      </c>
      <c r="V270">
        <v>11.18</v>
      </c>
      <c r="W270">
        <v>12.32</v>
      </c>
      <c r="X270" s="2">
        <f t="shared" si="38"/>
        <v>-0.67</v>
      </c>
      <c r="Y270" s="3">
        <f t="shared" si="39"/>
        <v>-0.0515781370284834</v>
      </c>
      <c r="Z270" s="2">
        <f t="shared" si="40"/>
        <v>1.08</v>
      </c>
      <c r="AA270" s="3">
        <f t="shared" si="41"/>
        <v>0.096085409252669</v>
      </c>
      <c r="AB270">
        <v>11.29</v>
      </c>
      <c r="AC270">
        <v>10.98</v>
      </c>
      <c r="AD270">
        <v>17.76</v>
      </c>
      <c r="AE270">
        <v>17.63</v>
      </c>
      <c r="AF270">
        <v>18.91</v>
      </c>
      <c r="AG270">
        <v>18.95</v>
      </c>
      <c r="AH270">
        <v>22.15</v>
      </c>
      <c r="AI270">
        <v>22.47</v>
      </c>
      <c r="AJ270" s="2">
        <f t="shared" si="42"/>
        <v>3.52</v>
      </c>
      <c r="AK270" s="3">
        <f t="shared" si="43"/>
        <v>0.185751978891821</v>
      </c>
      <c r="AL270">
        <v>21.77</v>
      </c>
      <c r="AM270">
        <v>22.01</v>
      </c>
      <c r="AN270" s="3">
        <f t="shared" si="44"/>
        <v>-0.237330115920304</v>
      </c>
    </row>
    <row r="271" spans="1:40">
      <c r="A271">
        <v>123093</v>
      </c>
      <c r="B271" t="s">
        <v>583</v>
      </c>
      <c r="C271" s="4">
        <v>44215</v>
      </c>
      <c r="D271">
        <v>370651</v>
      </c>
      <c r="E271">
        <v>300651</v>
      </c>
      <c r="F271" t="s">
        <v>584</v>
      </c>
      <c r="G271">
        <v>0.0004956518</v>
      </c>
      <c r="H271" s="4">
        <v>44245</v>
      </c>
      <c r="I271" t="s">
        <v>50</v>
      </c>
      <c r="J271" s="4">
        <v>44148</v>
      </c>
      <c r="K271" s="5">
        <v>44194</v>
      </c>
      <c r="L271">
        <v>67</v>
      </c>
      <c r="M271">
        <v>21</v>
      </c>
      <c r="N271">
        <v>42.84</v>
      </c>
      <c r="O271">
        <v>44.32</v>
      </c>
      <c r="P271">
        <v>41.82</v>
      </c>
      <c r="Q271">
        <v>40.99</v>
      </c>
      <c r="R271">
        <v>48.95</v>
      </c>
      <c r="S271">
        <v>51.33</v>
      </c>
      <c r="T271" s="2">
        <f t="shared" si="36"/>
        <v>10.34</v>
      </c>
      <c r="U271" s="3">
        <f t="shared" si="37"/>
        <v>0.252256647962918</v>
      </c>
      <c r="V271">
        <v>51.83</v>
      </c>
      <c r="W271">
        <v>56.17</v>
      </c>
      <c r="X271" s="2">
        <f t="shared" si="38"/>
        <v>15.18</v>
      </c>
      <c r="Y271" s="3">
        <f t="shared" si="39"/>
        <v>0.370334227860454</v>
      </c>
      <c r="Z271" s="2">
        <f t="shared" si="40"/>
        <v>4.84</v>
      </c>
      <c r="AA271" s="3">
        <f t="shared" si="41"/>
        <v>0.0942918371322814</v>
      </c>
      <c r="AB271">
        <v>43.19</v>
      </c>
      <c r="AC271">
        <v>43.44</v>
      </c>
      <c r="AD271">
        <v>17.42</v>
      </c>
      <c r="AE271">
        <v>17.18</v>
      </c>
      <c r="AF271">
        <v>18.87</v>
      </c>
      <c r="AG271">
        <v>19.17</v>
      </c>
      <c r="AH271">
        <v>22.51</v>
      </c>
      <c r="AI271">
        <v>22.34</v>
      </c>
      <c r="AJ271" s="2">
        <f t="shared" si="42"/>
        <v>3.17</v>
      </c>
      <c r="AK271" s="3">
        <f t="shared" si="43"/>
        <v>0.165362545644236</v>
      </c>
      <c r="AL271">
        <v>24</v>
      </c>
      <c r="AM271">
        <v>24.3</v>
      </c>
      <c r="AN271" s="3">
        <f t="shared" si="44"/>
        <v>0.204971682216218</v>
      </c>
    </row>
    <row r="272" spans="1:40">
      <c r="A272">
        <v>123091</v>
      </c>
      <c r="B272" t="s">
        <v>585</v>
      </c>
      <c r="C272" s="4">
        <v>44188</v>
      </c>
      <c r="D272">
        <v>370196</v>
      </c>
      <c r="E272">
        <v>300196</v>
      </c>
      <c r="F272" t="s">
        <v>586</v>
      </c>
      <c r="G272">
        <v>0.0014067053</v>
      </c>
      <c r="H272" s="4">
        <v>44211</v>
      </c>
      <c r="I272" t="s">
        <v>40</v>
      </c>
      <c r="J272" s="4">
        <v>44120</v>
      </c>
      <c r="K272" s="5">
        <v>44160</v>
      </c>
      <c r="L272">
        <v>68</v>
      </c>
      <c r="M272">
        <v>28</v>
      </c>
      <c r="N272">
        <v>13.7</v>
      </c>
      <c r="O272">
        <v>13.45</v>
      </c>
      <c r="P272">
        <v>14.44</v>
      </c>
      <c r="Q272">
        <v>14.31</v>
      </c>
      <c r="R272">
        <v>15.18</v>
      </c>
      <c r="S272">
        <v>14.54</v>
      </c>
      <c r="T272" s="2">
        <f t="shared" si="36"/>
        <v>0.229999999999999</v>
      </c>
      <c r="U272" s="3">
        <f t="shared" si="37"/>
        <v>0.0160726764500348</v>
      </c>
      <c r="V272">
        <v>14.45</v>
      </c>
      <c r="W272">
        <v>14.61</v>
      </c>
      <c r="X272" s="2">
        <f t="shared" si="38"/>
        <v>0.299999999999999</v>
      </c>
      <c r="Y272" s="3">
        <f t="shared" si="39"/>
        <v>0.020964360587002</v>
      </c>
      <c r="Z272" s="2">
        <f t="shared" si="40"/>
        <v>0.0700000000000003</v>
      </c>
      <c r="AA272" s="3">
        <f t="shared" si="41"/>
        <v>0.00481430536451171</v>
      </c>
      <c r="AB272">
        <v>16.16</v>
      </c>
      <c r="AC272">
        <v>16.34</v>
      </c>
      <c r="AD272">
        <v>16.56</v>
      </c>
      <c r="AE272">
        <v>17.1</v>
      </c>
      <c r="AF272">
        <v>19.48</v>
      </c>
      <c r="AG272">
        <v>19.06</v>
      </c>
      <c r="AH272">
        <v>17.96</v>
      </c>
      <c r="AI272">
        <v>18</v>
      </c>
      <c r="AJ272" s="2">
        <f t="shared" si="42"/>
        <v>-1.06</v>
      </c>
      <c r="AK272" s="3">
        <f t="shared" si="43"/>
        <v>-0.055613850996852</v>
      </c>
      <c r="AL272">
        <v>21</v>
      </c>
      <c r="AM272">
        <v>21</v>
      </c>
      <c r="AN272" s="3">
        <f t="shared" si="44"/>
        <v>0.076578211583854</v>
      </c>
    </row>
    <row r="273" spans="1:40">
      <c r="A273">
        <v>123090</v>
      </c>
      <c r="B273" t="s">
        <v>587</v>
      </c>
      <c r="C273" s="4">
        <v>44186</v>
      </c>
      <c r="D273">
        <v>370298</v>
      </c>
      <c r="E273">
        <v>300298</v>
      </c>
      <c r="F273" t="s">
        <v>588</v>
      </c>
      <c r="G273">
        <v>0.0024221039</v>
      </c>
      <c r="H273" s="4">
        <v>44208</v>
      </c>
      <c r="I273" t="s">
        <v>40</v>
      </c>
      <c r="J273" s="4">
        <v>44090</v>
      </c>
      <c r="K273" s="5">
        <v>44153</v>
      </c>
      <c r="L273">
        <v>96</v>
      </c>
      <c r="M273">
        <v>33</v>
      </c>
      <c r="N273">
        <v>32.35</v>
      </c>
      <c r="O273">
        <v>30.69</v>
      </c>
      <c r="P273">
        <v>36.59</v>
      </c>
      <c r="Q273">
        <v>35.99</v>
      </c>
      <c r="R273">
        <v>34.3</v>
      </c>
      <c r="S273">
        <v>32.99</v>
      </c>
      <c r="T273" s="2">
        <f t="shared" si="36"/>
        <v>-3</v>
      </c>
      <c r="U273" s="3">
        <f t="shared" si="37"/>
        <v>-0.0833564879133093</v>
      </c>
      <c r="V273">
        <v>33.14</v>
      </c>
      <c r="W273">
        <v>34.17</v>
      </c>
      <c r="X273" s="2">
        <f t="shared" si="38"/>
        <v>-1.82</v>
      </c>
      <c r="Y273" s="3">
        <f t="shared" si="39"/>
        <v>-0.0505696026674076</v>
      </c>
      <c r="Z273" s="2">
        <f t="shared" si="40"/>
        <v>1.18</v>
      </c>
      <c r="AA273" s="3">
        <f t="shared" si="41"/>
        <v>0.0357684146711124</v>
      </c>
      <c r="AB273">
        <v>34.84</v>
      </c>
      <c r="AC273">
        <v>34.59</v>
      </c>
      <c r="AD273">
        <v>15.32</v>
      </c>
      <c r="AE273">
        <v>15.44</v>
      </c>
      <c r="AF273">
        <v>17.78</v>
      </c>
      <c r="AG273">
        <v>18.46</v>
      </c>
      <c r="AH273">
        <v>18.3</v>
      </c>
      <c r="AI273">
        <v>18.28</v>
      </c>
      <c r="AJ273" s="2">
        <f t="shared" si="42"/>
        <v>-0.18</v>
      </c>
      <c r="AK273" s="3">
        <f t="shared" si="43"/>
        <v>-0.00975081256771396</v>
      </c>
      <c r="AL273">
        <v>20.39</v>
      </c>
      <c r="AM273">
        <v>21</v>
      </c>
      <c r="AN273" s="3">
        <f t="shared" si="44"/>
        <v>-0.0408187900996937</v>
      </c>
    </row>
    <row r="274" spans="1:40">
      <c r="A274">
        <v>123089</v>
      </c>
      <c r="B274" t="s">
        <v>589</v>
      </c>
      <c r="C274" s="4">
        <v>44186</v>
      </c>
      <c r="D274">
        <v>370040</v>
      </c>
      <c r="E274">
        <v>300040</v>
      </c>
      <c r="F274" t="s">
        <v>590</v>
      </c>
      <c r="G274">
        <v>0.0021923237</v>
      </c>
      <c r="H274" s="4">
        <v>44204</v>
      </c>
      <c r="I274" t="s">
        <v>55</v>
      </c>
      <c r="J274" s="4">
        <v>44098</v>
      </c>
      <c r="K274" s="5">
        <v>44172</v>
      </c>
      <c r="L274">
        <v>88</v>
      </c>
      <c r="M274">
        <v>14</v>
      </c>
      <c r="N274">
        <v>5.29</v>
      </c>
      <c r="O274">
        <v>5.1</v>
      </c>
      <c r="P274">
        <v>5.52</v>
      </c>
      <c r="Q274">
        <v>5.47</v>
      </c>
      <c r="R274">
        <v>5.2</v>
      </c>
      <c r="S274">
        <v>5.19</v>
      </c>
      <c r="T274" s="2">
        <f t="shared" si="36"/>
        <v>-0.279999999999999</v>
      </c>
      <c r="U274" s="3">
        <f t="shared" si="37"/>
        <v>-0.0511882998171845</v>
      </c>
      <c r="V274">
        <v>5.03</v>
      </c>
      <c r="W274">
        <v>5.19</v>
      </c>
      <c r="X274" s="2">
        <f t="shared" si="38"/>
        <v>-0.279999999999999</v>
      </c>
      <c r="Y274" s="3">
        <f t="shared" si="39"/>
        <v>-0.0511882998171845</v>
      </c>
      <c r="Z274" s="2">
        <f t="shared" si="40"/>
        <v>0</v>
      </c>
      <c r="AA274" s="3">
        <f t="shared" si="41"/>
        <v>0</v>
      </c>
      <c r="AB274">
        <v>5.07</v>
      </c>
      <c r="AC274">
        <v>5.02</v>
      </c>
      <c r="AD274">
        <v>15.59</v>
      </c>
      <c r="AE274">
        <v>15.12</v>
      </c>
      <c r="AF274">
        <v>19.31</v>
      </c>
      <c r="AG274">
        <v>18.91</v>
      </c>
      <c r="AH274">
        <v>18.3</v>
      </c>
      <c r="AI274">
        <v>18.28</v>
      </c>
      <c r="AJ274" s="2">
        <f t="shared" si="42"/>
        <v>-0.629999999999999</v>
      </c>
      <c r="AK274" s="3">
        <f t="shared" si="43"/>
        <v>-0.0333157059756742</v>
      </c>
      <c r="AL274">
        <v>19.9</v>
      </c>
      <c r="AM274">
        <v>19.85</v>
      </c>
      <c r="AN274" s="3">
        <f t="shared" si="44"/>
        <v>-0.0178725938415103</v>
      </c>
    </row>
    <row r="275" spans="1:40">
      <c r="A275">
        <v>123088</v>
      </c>
      <c r="B275" t="s">
        <v>591</v>
      </c>
      <c r="C275" s="4">
        <v>44180</v>
      </c>
      <c r="D275">
        <v>370707</v>
      </c>
      <c r="E275">
        <v>300707</v>
      </c>
      <c r="F275" t="s">
        <v>592</v>
      </c>
      <c r="G275">
        <v>0.0015096482</v>
      </c>
      <c r="H275" s="4">
        <v>44202</v>
      </c>
      <c r="I275" t="s">
        <v>50</v>
      </c>
      <c r="J275" s="4">
        <v>44099</v>
      </c>
      <c r="K275" s="5">
        <v>44140</v>
      </c>
      <c r="L275">
        <v>81</v>
      </c>
      <c r="M275">
        <v>40</v>
      </c>
      <c r="N275">
        <v>17.41</v>
      </c>
      <c r="O275">
        <v>16.99</v>
      </c>
      <c r="P275">
        <v>22.29</v>
      </c>
      <c r="Q275">
        <v>22.73</v>
      </c>
      <c r="R275">
        <v>17.73</v>
      </c>
      <c r="S275">
        <v>18.21</v>
      </c>
      <c r="T275" s="2">
        <f t="shared" si="36"/>
        <v>-4.52</v>
      </c>
      <c r="U275" s="3">
        <f t="shared" si="37"/>
        <v>-0.198856137263528</v>
      </c>
      <c r="V275">
        <v>17.94</v>
      </c>
      <c r="W275">
        <v>17.9</v>
      </c>
      <c r="X275" s="2">
        <f t="shared" si="38"/>
        <v>-4.83</v>
      </c>
      <c r="Y275" s="3">
        <f t="shared" si="39"/>
        <v>-0.212494500659921</v>
      </c>
      <c r="Z275" s="2">
        <f t="shared" si="40"/>
        <v>-0.310000000000002</v>
      </c>
      <c r="AA275" s="3">
        <f t="shared" si="41"/>
        <v>-0.0170236133992313</v>
      </c>
      <c r="AB275">
        <v>17.34</v>
      </c>
      <c r="AC275">
        <v>16.63</v>
      </c>
      <c r="AD275">
        <v>15.2</v>
      </c>
      <c r="AE275">
        <v>15.19</v>
      </c>
      <c r="AF275">
        <v>18.37</v>
      </c>
      <c r="AG275">
        <v>17.7</v>
      </c>
      <c r="AH275">
        <v>18.8</v>
      </c>
      <c r="AI275">
        <v>18.74</v>
      </c>
      <c r="AJ275" s="2">
        <f t="shared" si="42"/>
        <v>1.04</v>
      </c>
      <c r="AK275" s="3">
        <f t="shared" si="43"/>
        <v>0.0587570621468926</v>
      </c>
      <c r="AL275">
        <v>18.08</v>
      </c>
      <c r="AM275">
        <v>19.56</v>
      </c>
      <c r="AN275" s="3">
        <f t="shared" si="44"/>
        <v>-0.271251562806814</v>
      </c>
    </row>
    <row r="276" spans="1:40">
      <c r="A276">
        <v>123086</v>
      </c>
      <c r="B276" t="s">
        <v>593</v>
      </c>
      <c r="C276" s="4">
        <v>44176</v>
      </c>
      <c r="D276">
        <v>370065</v>
      </c>
      <c r="E276">
        <v>300065</v>
      </c>
      <c r="F276" t="s">
        <v>594</v>
      </c>
      <c r="G276">
        <v>0.003484704</v>
      </c>
      <c r="H276" s="4">
        <v>44235</v>
      </c>
      <c r="I276" t="s">
        <v>55</v>
      </c>
      <c r="J276" s="4">
        <v>44098</v>
      </c>
      <c r="K276" s="5">
        <v>44159</v>
      </c>
      <c r="L276">
        <v>78</v>
      </c>
      <c r="M276">
        <v>17</v>
      </c>
      <c r="N276">
        <v>9.73</v>
      </c>
      <c r="O276">
        <v>9.53</v>
      </c>
      <c r="P276">
        <v>8.85</v>
      </c>
      <c r="Q276">
        <v>8.71</v>
      </c>
      <c r="R276">
        <v>10.17</v>
      </c>
      <c r="S276">
        <v>9.99</v>
      </c>
      <c r="T276" s="2">
        <f t="shared" si="36"/>
        <v>1.28</v>
      </c>
      <c r="U276" s="3">
        <f t="shared" si="37"/>
        <v>0.146957520091848</v>
      </c>
      <c r="V276">
        <v>10.01</v>
      </c>
      <c r="W276">
        <v>10.22</v>
      </c>
      <c r="X276" s="2">
        <f t="shared" si="38"/>
        <v>1.51</v>
      </c>
      <c r="Y276" s="3">
        <f t="shared" si="39"/>
        <v>0.173363949483352</v>
      </c>
      <c r="Z276" s="2">
        <f t="shared" si="40"/>
        <v>0.23</v>
      </c>
      <c r="AA276" s="3">
        <f t="shared" si="41"/>
        <v>0.0230230230230231</v>
      </c>
      <c r="AB276">
        <v>6.65</v>
      </c>
      <c r="AC276">
        <v>6.53</v>
      </c>
      <c r="AD276">
        <v>15.59</v>
      </c>
      <c r="AE276">
        <v>15.12</v>
      </c>
      <c r="AF276">
        <v>19.62</v>
      </c>
      <c r="AG276">
        <v>19.36</v>
      </c>
      <c r="AH276">
        <v>18.71</v>
      </c>
      <c r="AI276">
        <v>18.52</v>
      </c>
      <c r="AJ276" s="2">
        <f t="shared" si="42"/>
        <v>-0.84</v>
      </c>
      <c r="AK276" s="3">
        <f t="shared" si="43"/>
        <v>-0.0433884297520661</v>
      </c>
      <c r="AL276">
        <v>24.9</v>
      </c>
      <c r="AM276">
        <v>24.8</v>
      </c>
      <c r="AN276" s="3">
        <f t="shared" si="44"/>
        <v>0.216752379235419</v>
      </c>
    </row>
    <row r="277" spans="1:40">
      <c r="A277">
        <v>123085</v>
      </c>
      <c r="B277" t="s">
        <v>595</v>
      </c>
      <c r="C277" s="4">
        <v>44176</v>
      </c>
      <c r="D277">
        <v>370057</v>
      </c>
      <c r="E277">
        <v>300057</v>
      </c>
      <c r="F277" t="s">
        <v>596</v>
      </c>
      <c r="G277">
        <v>0.0035536171</v>
      </c>
      <c r="H277" s="4">
        <v>44193</v>
      </c>
      <c r="I277" t="s">
        <v>55</v>
      </c>
      <c r="J277" s="4">
        <v>44099</v>
      </c>
      <c r="K277" s="5">
        <v>44141</v>
      </c>
      <c r="L277">
        <v>77</v>
      </c>
      <c r="M277">
        <v>35</v>
      </c>
      <c r="N277">
        <v>6.05</v>
      </c>
      <c r="O277">
        <v>5.91</v>
      </c>
      <c r="P277">
        <v>7.36</v>
      </c>
      <c r="Q277">
        <v>7.24</v>
      </c>
      <c r="R277">
        <v>5.99</v>
      </c>
      <c r="S277">
        <v>5.89</v>
      </c>
      <c r="T277" s="2">
        <f t="shared" si="36"/>
        <v>-1.35</v>
      </c>
      <c r="U277" s="3">
        <f t="shared" si="37"/>
        <v>-0.18646408839779</v>
      </c>
      <c r="V277">
        <v>5.66</v>
      </c>
      <c r="W277">
        <v>5.35</v>
      </c>
      <c r="X277" s="2">
        <f t="shared" si="38"/>
        <v>-1.89</v>
      </c>
      <c r="Y277" s="3">
        <f t="shared" si="39"/>
        <v>-0.261049723756906</v>
      </c>
      <c r="Z277" s="2">
        <f t="shared" si="40"/>
        <v>-0.54</v>
      </c>
      <c r="AA277" s="3">
        <f t="shared" si="41"/>
        <v>-0.0916808149405773</v>
      </c>
      <c r="AB277">
        <v>5.01</v>
      </c>
      <c r="AC277">
        <v>4.88</v>
      </c>
      <c r="AD277">
        <v>15.2</v>
      </c>
      <c r="AE277">
        <v>15.19</v>
      </c>
      <c r="AF277">
        <v>17.71</v>
      </c>
      <c r="AG277">
        <v>17.64</v>
      </c>
      <c r="AH277">
        <v>18.71</v>
      </c>
      <c r="AI277">
        <v>18.52</v>
      </c>
      <c r="AJ277" s="2">
        <f t="shared" si="42"/>
        <v>0.879999999999999</v>
      </c>
      <c r="AK277" s="3">
        <f t="shared" si="43"/>
        <v>0.0498866213151927</v>
      </c>
      <c r="AL277">
        <v>18.02</v>
      </c>
      <c r="AM277">
        <v>18.85</v>
      </c>
      <c r="AN277" s="3">
        <f t="shared" si="44"/>
        <v>-0.310936345072099</v>
      </c>
    </row>
    <row r="278" spans="1:40">
      <c r="A278">
        <v>123084</v>
      </c>
      <c r="B278" t="s">
        <v>597</v>
      </c>
      <c r="C278" s="4">
        <v>44175</v>
      </c>
      <c r="D278">
        <v>370499</v>
      </c>
      <c r="E278">
        <v>300499</v>
      </c>
      <c r="F278" t="s">
        <v>598</v>
      </c>
      <c r="G278">
        <v>0.0010784413</v>
      </c>
      <c r="H278" s="4">
        <v>44204</v>
      </c>
      <c r="I278" t="s">
        <v>50</v>
      </c>
      <c r="J278" s="4">
        <v>44091</v>
      </c>
      <c r="K278" s="5">
        <v>44160</v>
      </c>
      <c r="L278">
        <v>84</v>
      </c>
      <c r="M278">
        <v>15</v>
      </c>
      <c r="N278">
        <v>11.16</v>
      </c>
      <c r="O278">
        <v>11.45</v>
      </c>
      <c r="P278">
        <v>11.12</v>
      </c>
      <c r="Q278">
        <v>11.03</v>
      </c>
      <c r="R278">
        <v>11.4</v>
      </c>
      <c r="S278">
        <v>11.05</v>
      </c>
      <c r="T278" s="2">
        <f t="shared" si="36"/>
        <v>0.0200000000000014</v>
      </c>
      <c r="U278" s="3">
        <f t="shared" si="37"/>
        <v>0.00181323662738</v>
      </c>
      <c r="V278">
        <v>10.78</v>
      </c>
      <c r="W278">
        <v>10.65</v>
      </c>
      <c r="X278" s="2">
        <f t="shared" si="38"/>
        <v>-0.379999999999999</v>
      </c>
      <c r="Y278" s="3">
        <f t="shared" si="39"/>
        <v>-0.0344514959202175</v>
      </c>
      <c r="Z278" s="2">
        <f t="shared" si="40"/>
        <v>-0.4</v>
      </c>
      <c r="AA278" s="3">
        <f t="shared" si="41"/>
        <v>-0.0361990950226245</v>
      </c>
      <c r="AB278">
        <v>9.84</v>
      </c>
      <c r="AC278">
        <v>9.63</v>
      </c>
      <c r="AD278">
        <v>15.54</v>
      </c>
      <c r="AE278">
        <v>15.57</v>
      </c>
      <c r="AF278">
        <v>19.48</v>
      </c>
      <c r="AG278">
        <v>19.06</v>
      </c>
      <c r="AH278">
        <v>18.73</v>
      </c>
      <c r="AI278">
        <v>18.65</v>
      </c>
      <c r="AJ278" s="2">
        <f t="shared" si="42"/>
        <v>-0.41</v>
      </c>
      <c r="AK278" s="3">
        <f t="shared" si="43"/>
        <v>-0.021511017838405</v>
      </c>
      <c r="AL278">
        <v>19.9</v>
      </c>
      <c r="AM278">
        <v>19.85</v>
      </c>
      <c r="AN278" s="3">
        <f t="shared" si="44"/>
        <v>-0.0129404780818125</v>
      </c>
    </row>
    <row r="279" spans="1:40">
      <c r="A279">
        <v>123082</v>
      </c>
      <c r="B279" t="s">
        <v>599</v>
      </c>
      <c r="C279" s="4">
        <v>44172</v>
      </c>
      <c r="D279">
        <v>370016</v>
      </c>
      <c r="E279">
        <v>300016</v>
      </c>
      <c r="F279" t="s">
        <v>600</v>
      </c>
      <c r="G279">
        <v>0.0017313567</v>
      </c>
      <c r="H279" s="4">
        <v>44193</v>
      </c>
      <c r="I279" t="s">
        <v>121</v>
      </c>
      <c r="J279" s="4">
        <v>44084</v>
      </c>
      <c r="K279" s="5">
        <v>44141</v>
      </c>
      <c r="L279">
        <v>88</v>
      </c>
      <c r="M279">
        <v>31</v>
      </c>
      <c r="N279">
        <v>13.17</v>
      </c>
      <c r="O279">
        <v>11.73</v>
      </c>
      <c r="P279">
        <v>11.28</v>
      </c>
      <c r="Q279">
        <v>11.35</v>
      </c>
      <c r="R279">
        <v>11.35</v>
      </c>
      <c r="S279">
        <v>11.43</v>
      </c>
      <c r="T279" s="2">
        <f t="shared" si="36"/>
        <v>0.0800000000000001</v>
      </c>
      <c r="U279" s="3">
        <f t="shared" si="37"/>
        <v>0.00704845814977974</v>
      </c>
      <c r="V279">
        <v>11.25</v>
      </c>
      <c r="W279">
        <v>10.9</v>
      </c>
      <c r="X279" s="2">
        <f t="shared" si="38"/>
        <v>-0.449999999999999</v>
      </c>
      <c r="Y279" s="3">
        <f t="shared" si="39"/>
        <v>-0.039647577092511</v>
      </c>
      <c r="Z279" s="2">
        <f t="shared" si="40"/>
        <v>-0.529999999999999</v>
      </c>
      <c r="AA279" s="3">
        <f t="shared" si="41"/>
        <v>-0.0463692038495188</v>
      </c>
      <c r="AB279">
        <v>9.35</v>
      </c>
      <c r="AC279">
        <v>9.37</v>
      </c>
      <c r="AD279">
        <v>15.32</v>
      </c>
      <c r="AE279">
        <v>15.34</v>
      </c>
      <c r="AF279">
        <v>17.71</v>
      </c>
      <c r="AG279">
        <v>17.64</v>
      </c>
      <c r="AH279">
        <v>19.31</v>
      </c>
      <c r="AI279">
        <v>18.91</v>
      </c>
      <c r="AJ279" s="2">
        <f t="shared" si="42"/>
        <v>1.27</v>
      </c>
      <c r="AK279" s="3">
        <f t="shared" si="43"/>
        <v>0.0719954648526077</v>
      </c>
      <c r="AL279">
        <v>18.02</v>
      </c>
      <c r="AM279">
        <v>18.85</v>
      </c>
      <c r="AN279" s="3">
        <f t="shared" si="44"/>
        <v>-0.111643041945119</v>
      </c>
    </row>
    <row r="280" spans="1:40">
      <c r="A280">
        <v>123080</v>
      </c>
      <c r="B280" t="s">
        <v>601</v>
      </c>
      <c r="C280" s="4">
        <v>44167</v>
      </c>
      <c r="D280">
        <v>370517</v>
      </c>
      <c r="E280">
        <v>300517</v>
      </c>
      <c r="F280" t="s">
        <v>602</v>
      </c>
      <c r="G280">
        <v>0.0006796921</v>
      </c>
      <c r="H280" s="4">
        <v>44187</v>
      </c>
      <c r="I280" t="s">
        <v>50</v>
      </c>
      <c r="J280" s="4">
        <v>44042</v>
      </c>
      <c r="K280" s="5">
        <v>44082</v>
      </c>
      <c r="L280">
        <v>125</v>
      </c>
      <c r="M280">
        <v>85</v>
      </c>
      <c r="N280">
        <v>10.31</v>
      </c>
      <c r="O280">
        <v>10.16</v>
      </c>
      <c r="P280">
        <v>10.15</v>
      </c>
      <c r="Q280">
        <v>10.48</v>
      </c>
      <c r="R280">
        <v>10.54</v>
      </c>
      <c r="S280">
        <v>10.82</v>
      </c>
      <c r="T280" s="2">
        <f t="shared" si="36"/>
        <v>0.34</v>
      </c>
      <c r="U280" s="3">
        <f t="shared" si="37"/>
        <v>0.032442748091603</v>
      </c>
      <c r="V280">
        <v>10.67</v>
      </c>
      <c r="W280">
        <v>10.39</v>
      </c>
      <c r="X280" s="2">
        <f t="shared" si="38"/>
        <v>-0.0899999999999999</v>
      </c>
      <c r="Y280" s="3">
        <f t="shared" si="39"/>
        <v>-0.00858778625954197</v>
      </c>
      <c r="Z280" s="2">
        <f t="shared" si="40"/>
        <v>-0.43</v>
      </c>
      <c r="AA280" s="3">
        <f t="shared" si="41"/>
        <v>-0.0397412199630314</v>
      </c>
      <c r="AB280">
        <v>9.35</v>
      </c>
      <c r="AC280">
        <v>8.97</v>
      </c>
      <c r="AD280">
        <v>13.5</v>
      </c>
      <c r="AE280">
        <v>13.37</v>
      </c>
      <c r="AF280">
        <v>15</v>
      </c>
      <c r="AG280">
        <v>15.43</v>
      </c>
      <c r="AH280">
        <v>19.93</v>
      </c>
      <c r="AI280">
        <v>19.63</v>
      </c>
      <c r="AJ280" s="2">
        <f t="shared" si="42"/>
        <v>4.2</v>
      </c>
      <c r="AK280" s="3">
        <f t="shared" si="43"/>
        <v>0.272197018794556</v>
      </c>
      <c r="AL280">
        <v>18.36</v>
      </c>
      <c r="AM280">
        <v>17.9</v>
      </c>
      <c r="AN280" s="3">
        <f t="shared" si="44"/>
        <v>-0.280784805054098</v>
      </c>
    </row>
    <row r="281" spans="1:40">
      <c r="A281">
        <v>123079</v>
      </c>
      <c r="B281" t="s">
        <v>603</v>
      </c>
      <c r="C281" s="4">
        <v>44166</v>
      </c>
      <c r="D281">
        <v>370772</v>
      </c>
      <c r="E281">
        <v>300772</v>
      </c>
      <c r="F281" t="s">
        <v>604</v>
      </c>
      <c r="G281">
        <v>0.0021538626</v>
      </c>
      <c r="H281" s="4">
        <v>44190</v>
      </c>
      <c r="I281" t="s">
        <v>40</v>
      </c>
      <c r="J281" s="4">
        <v>44064</v>
      </c>
      <c r="K281" s="5">
        <v>44138</v>
      </c>
      <c r="L281">
        <v>102</v>
      </c>
      <c r="M281">
        <v>28</v>
      </c>
      <c r="N281">
        <v>8.77</v>
      </c>
      <c r="O281">
        <v>8.78</v>
      </c>
      <c r="P281">
        <v>9.38</v>
      </c>
      <c r="Q281">
        <v>9.3</v>
      </c>
      <c r="R281">
        <v>8.94</v>
      </c>
      <c r="S281">
        <v>9.27</v>
      </c>
      <c r="T281" s="2">
        <f t="shared" si="36"/>
        <v>-0.0300000000000011</v>
      </c>
      <c r="U281" s="3">
        <f t="shared" si="37"/>
        <v>-0.00322580645161303</v>
      </c>
      <c r="V281">
        <v>9.16</v>
      </c>
      <c r="W281">
        <v>9.2</v>
      </c>
      <c r="X281" s="2">
        <f t="shared" si="38"/>
        <v>-0.100000000000001</v>
      </c>
      <c r="Y281" s="3">
        <f t="shared" si="39"/>
        <v>-0.0107526881720432</v>
      </c>
      <c r="Z281" s="2">
        <f t="shared" si="40"/>
        <v>-0.0700000000000003</v>
      </c>
      <c r="AA281" s="3">
        <f t="shared" si="41"/>
        <v>-0.00755124056094933</v>
      </c>
      <c r="AB281">
        <v>10</v>
      </c>
      <c r="AC281">
        <v>10.06</v>
      </c>
      <c r="AD281">
        <v>14.71</v>
      </c>
      <c r="AE281">
        <v>14.45</v>
      </c>
      <c r="AF281">
        <v>17.71</v>
      </c>
      <c r="AG281">
        <v>17.96</v>
      </c>
      <c r="AH281">
        <v>19.7</v>
      </c>
      <c r="AI281">
        <v>20.05</v>
      </c>
      <c r="AJ281" s="2">
        <f t="shared" si="42"/>
        <v>2.09</v>
      </c>
      <c r="AK281" s="3">
        <f t="shared" si="43"/>
        <v>0.116369710467706</v>
      </c>
      <c r="AL281">
        <v>18.26</v>
      </c>
      <c r="AM281">
        <v>18.04</v>
      </c>
      <c r="AN281" s="3">
        <f t="shared" si="44"/>
        <v>-0.127122398639749</v>
      </c>
    </row>
    <row r="282" spans="1:40">
      <c r="A282">
        <v>123078</v>
      </c>
      <c r="B282" t="s">
        <v>605</v>
      </c>
      <c r="C282" s="4">
        <v>44162</v>
      </c>
      <c r="D282">
        <v>370398</v>
      </c>
      <c r="E282">
        <v>300398</v>
      </c>
      <c r="F282" t="s">
        <v>606</v>
      </c>
      <c r="G282">
        <v>0.0071449443</v>
      </c>
      <c r="H282" s="4">
        <v>44181</v>
      </c>
      <c r="I282" t="s">
        <v>55</v>
      </c>
      <c r="J282" s="4">
        <v>44042</v>
      </c>
      <c r="K282" s="5">
        <v>44099</v>
      </c>
      <c r="L282">
        <v>120</v>
      </c>
      <c r="M282">
        <v>63</v>
      </c>
      <c r="N282">
        <v>23.81</v>
      </c>
      <c r="O282">
        <v>23.18</v>
      </c>
      <c r="P282">
        <v>21.57</v>
      </c>
      <c r="Q282">
        <v>20.6</v>
      </c>
      <c r="R282">
        <v>18.62</v>
      </c>
      <c r="S282">
        <v>18.34</v>
      </c>
      <c r="T282" s="2">
        <f t="shared" si="36"/>
        <v>-2.26</v>
      </c>
      <c r="U282" s="3">
        <f t="shared" si="37"/>
        <v>-0.109708737864078</v>
      </c>
      <c r="V282">
        <v>17.97</v>
      </c>
      <c r="W282">
        <v>17.91</v>
      </c>
      <c r="X282" s="2">
        <f t="shared" si="38"/>
        <v>-2.69</v>
      </c>
      <c r="Y282" s="3">
        <f t="shared" si="39"/>
        <v>-0.130582524271845</v>
      </c>
      <c r="Z282" s="2">
        <f t="shared" si="40"/>
        <v>-0.43</v>
      </c>
      <c r="AA282" s="3">
        <f t="shared" si="41"/>
        <v>-0.0234460196292257</v>
      </c>
      <c r="AB282">
        <v>17.81</v>
      </c>
      <c r="AC282">
        <v>17.07</v>
      </c>
      <c r="AD282">
        <v>13.5</v>
      </c>
      <c r="AE282">
        <v>13.37</v>
      </c>
      <c r="AF282">
        <v>15.2</v>
      </c>
      <c r="AG282">
        <v>15.19</v>
      </c>
      <c r="AH282">
        <v>20</v>
      </c>
      <c r="AI282">
        <v>19.7</v>
      </c>
      <c r="AJ282" s="2">
        <f t="shared" si="42"/>
        <v>4.51</v>
      </c>
      <c r="AK282" s="3">
        <f t="shared" si="43"/>
        <v>0.296905859117841</v>
      </c>
      <c r="AL282">
        <v>18.8</v>
      </c>
      <c r="AM282">
        <v>19.01</v>
      </c>
      <c r="AN282" s="3">
        <f t="shared" si="44"/>
        <v>-0.427488383389685</v>
      </c>
    </row>
    <row r="283" spans="1:40">
      <c r="A283">
        <v>123077</v>
      </c>
      <c r="B283" t="s">
        <v>607</v>
      </c>
      <c r="C283" s="4">
        <v>44158</v>
      </c>
      <c r="D283">
        <v>370170</v>
      </c>
      <c r="E283">
        <v>300170</v>
      </c>
      <c r="F283" t="s">
        <v>608</v>
      </c>
      <c r="G283">
        <v>0.0060069821</v>
      </c>
      <c r="H283" s="4">
        <v>44180</v>
      </c>
      <c r="I283" t="s">
        <v>40</v>
      </c>
      <c r="J283" s="4">
        <v>44098</v>
      </c>
      <c r="K283" s="5">
        <v>44140</v>
      </c>
      <c r="L283">
        <v>60</v>
      </c>
      <c r="M283">
        <v>18</v>
      </c>
      <c r="N283">
        <v>10.14</v>
      </c>
      <c r="O283">
        <v>9.68</v>
      </c>
      <c r="P283">
        <v>9.24</v>
      </c>
      <c r="Q283">
        <v>9.3</v>
      </c>
      <c r="R283">
        <v>9.31</v>
      </c>
      <c r="S283">
        <v>9.32</v>
      </c>
      <c r="T283" s="2">
        <f t="shared" si="36"/>
        <v>0.0199999999999996</v>
      </c>
      <c r="U283" s="3">
        <f t="shared" si="37"/>
        <v>0.00215053763440856</v>
      </c>
      <c r="V283">
        <v>9.21</v>
      </c>
      <c r="W283">
        <v>9.14</v>
      </c>
      <c r="X283" s="2">
        <f t="shared" si="38"/>
        <v>-0.16</v>
      </c>
      <c r="Y283" s="3">
        <f t="shared" si="39"/>
        <v>-0.0172043010752688</v>
      </c>
      <c r="Z283" s="2">
        <f t="shared" si="40"/>
        <v>-0.18</v>
      </c>
      <c r="AA283" s="3">
        <f t="shared" si="41"/>
        <v>-0.01931330472103</v>
      </c>
      <c r="AB283">
        <v>8.75</v>
      </c>
      <c r="AC283">
        <v>8.66</v>
      </c>
      <c r="AD283">
        <v>15.59</v>
      </c>
      <c r="AE283">
        <v>15.12</v>
      </c>
      <c r="AF283">
        <v>18.37</v>
      </c>
      <c r="AG283">
        <v>17.7</v>
      </c>
      <c r="AH283">
        <v>18.85</v>
      </c>
      <c r="AI283">
        <v>19.62</v>
      </c>
      <c r="AJ283" s="2">
        <f t="shared" si="42"/>
        <v>1.92</v>
      </c>
      <c r="AK283" s="3">
        <f t="shared" si="43"/>
        <v>0.108474576271187</v>
      </c>
      <c r="AL283">
        <v>18.8</v>
      </c>
      <c r="AM283">
        <v>18.74</v>
      </c>
      <c r="AN283" s="3">
        <f t="shared" si="44"/>
        <v>-0.125678877346455</v>
      </c>
    </row>
    <row r="284" spans="1:40">
      <c r="A284">
        <v>123076</v>
      </c>
      <c r="B284" t="s">
        <v>609</v>
      </c>
      <c r="C284" s="4">
        <v>44154</v>
      </c>
      <c r="D284">
        <v>370429</v>
      </c>
      <c r="E284">
        <v>300429</v>
      </c>
      <c r="F284" t="s">
        <v>610</v>
      </c>
      <c r="G284">
        <v>0.003900825</v>
      </c>
      <c r="H284" s="4">
        <v>44169</v>
      </c>
      <c r="I284" t="s">
        <v>55</v>
      </c>
      <c r="J284" s="4">
        <v>44098</v>
      </c>
      <c r="K284" s="5">
        <v>44137</v>
      </c>
      <c r="L284">
        <v>56</v>
      </c>
      <c r="M284">
        <v>17</v>
      </c>
      <c r="N284">
        <v>18.57</v>
      </c>
      <c r="O284">
        <v>18.26</v>
      </c>
      <c r="P284">
        <v>17.17</v>
      </c>
      <c r="Q284">
        <v>17.48</v>
      </c>
      <c r="R284">
        <v>19.2</v>
      </c>
      <c r="S284">
        <v>19.22</v>
      </c>
      <c r="T284" s="2">
        <f t="shared" si="36"/>
        <v>1.74</v>
      </c>
      <c r="U284" s="3">
        <f t="shared" si="37"/>
        <v>0.0995423340961097</v>
      </c>
      <c r="V284">
        <v>18.62</v>
      </c>
      <c r="W284">
        <v>17.71</v>
      </c>
      <c r="X284" s="2">
        <f t="shared" si="38"/>
        <v>0.23</v>
      </c>
      <c r="Y284" s="3">
        <f t="shared" si="39"/>
        <v>0.0131578947368421</v>
      </c>
      <c r="Z284" s="2">
        <f t="shared" si="40"/>
        <v>-1.51</v>
      </c>
      <c r="AA284" s="3">
        <f t="shared" si="41"/>
        <v>-0.078563995837669</v>
      </c>
      <c r="AB284">
        <v>18.72</v>
      </c>
      <c r="AC284">
        <v>18.87</v>
      </c>
      <c r="AD284">
        <v>15.59</v>
      </c>
      <c r="AE284">
        <v>15.12</v>
      </c>
      <c r="AF284">
        <v>17.65</v>
      </c>
      <c r="AG284">
        <v>17.63</v>
      </c>
      <c r="AH284">
        <v>18.59</v>
      </c>
      <c r="AI284">
        <v>18.85</v>
      </c>
      <c r="AJ284" s="2">
        <f t="shared" si="42"/>
        <v>1.22</v>
      </c>
      <c r="AK284" s="3">
        <f t="shared" si="43"/>
        <v>0.0692002268859899</v>
      </c>
      <c r="AL284">
        <v>19.47</v>
      </c>
      <c r="AM284">
        <v>19.3</v>
      </c>
      <c r="AN284" s="3">
        <f t="shared" si="44"/>
        <v>-0.0560423321491478</v>
      </c>
    </row>
    <row r="285" spans="1:40">
      <c r="A285">
        <v>123075</v>
      </c>
      <c r="B285" t="s">
        <v>611</v>
      </c>
      <c r="C285" s="4">
        <v>44137</v>
      </c>
      <c r="D285">
        <v>370580</v>
      </c>
      <c r="E285">
        <v>300580</v>
      </c>
      <c r="F285" t="s">
        <v>612</v>
      </c>
      <c r="G285">
        <v>0.0013333329</v>
      </c>
      <c r="H285" s="4">
        <v>44158</v>
      </c>
      <c r="I285" t="s">
        <v>55</v>
      </c>
      <c r="J285" s="4">
        <v>44070</v>
      </c>
      <c r="K285" s="5">
        <v>44121</v>
      </c>
      <c r="L285">
        <v>67</v>
      </c>
      <c r="M285">
        <v>16</v>
      </c>
      <c r="N285">
        <v>9.68</v>
      </c>
      <c r="O285">
        <v>9.79</v>
      </c>
      <c r="P285">
        <v>9.72</v>
      </c>
      <c r="Q285">
        <v>9.58</v>
      </c>
      <c r="R285">
        <v>10.88</v>
      </c>
      <c r="S285">
        <v>11.11</v>
      </c>
      <c r="T285" s="2">
        <f t="shared" si="36"/>
        <v>1.53</v>
      </c>
      <c r="U285" s="3">
        <f t="shared" si="37"/>
        <v>0.159707724425887</v>
      </c>
      <c r="V285">
        <v>10.76</v>
      </c>
      <c r="W285">
        <v>12.47</v>
      </c>
      <c r="X285" s="2">
        <f t="shared" si="38"/>
        <v>2.89</v>
      </c>
      <c r="Y285" s="3">
        <f t="shared" si="39"/>
        <v>0.301670146137787</v>
      </c>
      <c r="Z285" s="2">
        <f t="shared" si="40"/>
        <v>1.36</v>
      </c>
      <c r="AA285" s="3">
        <f t="shared" si="41"/>
        <v>0.122412241224123</v>
      </c>
      <c r="AB285">
        <v>11.68</v>
      </c>
      <c r="AC285">
        <v>11.68</v>
      </c>
      <c r="AD285">
        <v>14.4</v>
      </c>
      <c r="AE285">
        <v>14.46</v>
      </c>
      <c r="AF285">
        <v>17.3</v>
      </c>
      <c r="AG285">
        <v>17.48</v>
      </c>
      <c r="AH285">
        <v>17.65</v>
      </c>
      <c r="AI285">
        <v>17.63</v>
      </c>
      <c r="AJ285" s="2">
        <f t="shared" si="42"/>
        <v>0.149999999999999</v>
      </c>
      <c r="AK285" s="3">
        <f t="shared" si="43"/>
        <v>0.00858123569794042</v>
      </c>
      <c r="AL285">
        <v>18.85</v>
      </c>
      <c r="AM285">
        <v>19.62</v>
      </c>
      <c r="AN285" s="3">
        <f t="shared" si="44"/>
        <v>0.293088910439847</v>
      </c>
    </row>
    <row r="286" spans="1:40">
      <c r="A286">
        <v>123074</v>
      </c>
      <c r="B286" t="s">
        <v>613</v>
      </c>
      <c r="C286" s="4">
        <v>44133</v>
      </c>
      <c r="D286">
        <v>370752</v>
      </c>
      <c r="E286">
        <v>300752</v>
      </c>
      <c r="F286" t="s">
        <v>614</v>
      </c>
      <c r="G286">
        <v>0.001213147</v>
      </c>
      <c r="H286" s="4">
        <v>44151</v>
      </c>
      <c r="I286" t="s">
        <v>55</v>
      </c>
      <c r="J286" s="4">
        <v>44070</v>
      </c>
      <c r="K286" s="5">
        <v>44116</v>
      </c>
      <c r="L286">
        <v>63</v>
      </c>
      <c r="M286">
        <v>17</v>
      </c>
      <c r="N286">
        <v>15.77</v>
      </c>
      <c r="O286">
        <v>16.38</v>
      </c>
      <c r="P286">
        <v>18.19</v>
      </c>
      <c r="Q286">
        <v>18.48</v>
      </c>
      <c r="R286">
        <v>18.53</v>
      </c>
      <c r="S286">
        <v>18.67</v>
      </c>
      <c r="T286" s="2">
        <f t="shared" si="36"/>
        <v>0.190000000000001</v>
      </c>
      <c r="U286" s="3">
        <f t="shared" si="37"/>
        <v>0.0102813852813853</v>
      </c>
      <c r="V286">
        <v>17.76</v>
      </c>
      <c r="W286">
        <v>17.83</v>
      </c>
      <c r="X286" s="2">
        <f t="shared" si="38"/>
        <v>-0.650000000000002</v>
      </c>
      <c r="Y286" s="3">
        <f t="shared" si="39"/>
        <v>-0.0351731601731603</v>
      </c>
      <c r="Z286" s="2">
        <f t="shared" si="40"/>
        <v>-0.840000000000003</v>
      </c>
      <c r="AA286" s="3">
        <f t="shared" si="41"/>
        <v>-0.0449919657204072</v>
      </c>
      <c r="AB286">
        <v>18.89</v>
      </c>
      <c r="AC286">
        <v>18.57</v>
      </c>
      <c r="AD286">
        <v>14.4</v>
      </c>
      <c r="AE286">
        <v>14.46</v>
      </c>
      <c r="AF286">
        <v>15.22</v>
      </c>
      <c r="AG286">
        <v>15.9</v>
      </c>
      <c r="AH286">
        <v>17.54</v>
      </c>
      <c r="AI286">
        <v>17.77</v>
      </c>
      <c r="AJ286" s="2">
        <f t="shared" si="42"/>
        <v>1.87</v>
      </c>
      <c r="AK286" s="3">
        <f t="shared" si="43"/>
        <v>0.117610062893082</v>
      </c>
      <c r="AL286">
        <v>17.08</v>
      </c>
      <c r="AM286">
        <v>17.37</v>
      </c>
      <c r="AN286" s="3">
        <f t="shared" si="44"/>
        <v>-0.152783223066242</v>
      </c>
    </row>
    <row r="287" spans="1:40">
      <c r="A287">
        <v>123073</v>
      </c>
      <c r="B287" t="s">
        <v>615</v>
      </c>
      <c r="C287" s="4">
        <v>44130</v>
      </c>
      <c r="D287">
        <v>370636</v>
      </c>
      <c r="E287">
        <v>300636</v>
      </c>
      <c r="F287" t="s">
        <v>616</v>
      </c>
      <c r="G287">
        <v>0.0019355294</v>
      </c>
      <c r="H287" s="4">
        <v>44151</v>
      </c>
      <c r="I287" t="s">
        <v>50</v>
      </c>
      <c r="J287" s="4">
        <v>44057</v>
      </c>
      <c r="K287" s="5">
        <v>44098</v>
      </c>
      <c r="L287">
        <v>73</v>
      </c>
      <c r="M287">
        <v>32</v>
      </c>
      <c r="N287">
        <v>13.15</v>
      </c>
      <c r="O287">
        <v>13.59</v>
      </c>
      <c r="P287">
        <v>14.48</v>
      </c>
      <c r="Q287">
        <v>14.04</v>
      </c>
      <c r="R287">
        <v>14.71</v>
      </c>
      <c r="S287">
        <v>14.88</v>
      </c>
      <c r="T287" s="2">
        <f t="shared" si="36"/>
        <v>0.840000000000002</v>
      </c>
      <c r="U287" s="3">
        <f t="shared" si="37"/>
        <v>0.0598290598290599</v>
      </c>
      <c r="V287">
        <v>14.4</v>
      </c>
      <c r="W287">
        <v>14.34</v>
      </c>
      <c r="X287" s="2">
        <f t="shared" si="38"/>
        <v>0.300000000000001</v>
      </c>
      <c r="Y287" s="3">
        <f t="shared" si="39"/>
        <v>0.0213675213675214</v>
      </c>
      <c r="Z287" s="2">
        <f t="shared" si="40"/>
        <v>-0.540000000000001</v>
      </c>
      <c r="AA287" s="3">
        <f t="shared" si="41"/>
        <v>-0.0362903225806452</v>
      </c>
      <c r="AB287">
        <v>12.38</v>
      </c>
      <c r="AC287">
        <v>12.36</v>
      </c>
      <c r="AD287">
        <v>14.1</v>
      </c>
      <c r="AE287">
        <v>14.47</v>
      </c>
      <c r="AF287">
        <v>15.59</v>
      </c>
      <c r="AG287">
        <v>15.12</v>
      </c>
      <c r="AH287">
        <v>18.2</v>
      </c>
      <c r="AI287">
        <v>17.7</v>
      </c>
      <c r="AJ287" s="2">
        <f t="shared" si="42"/>
        <v>2.58</v>
      </c>
      <c r="AK287" s="3">
        <f t="shared" si="43"/>
        <v>0.170634920634921</v>
      </c>
      <c r="AL287">
        <v>17.08</v>
      </c>
      <c r="AM287">
        <v>17.37</v>
      </c>
      <c r="AN287" s="3">
        <f t="shared" si="44"/>
        <v>-0.149267399267399</v>
      </c>
    </row>
    <row r="288" spans="1:40">
      <c r="A288">
        <v>123071</v>
      </c>
      <c r="B288" t="s">
        <v>617</v>
      </c>
      <c r="C288" s="4">
        <v>44125</v>
      </c>
      <c r="D288">
        <v>370569</v>
      </c>
      <c r="E288">
        <v>300569</v>
      </c>
      <c r="F288" t="s">
        <v>618</v>
      </c>
      <c r="G288">
        <v>0.0025323626</v>
      </c>
      <c r="H288" s="4">
        <v>44160</v>
      </c>
      <c r="I288" t="s">
        <v>55</v>
      </c>
      <c r="J288" s="4">
        <v>44026</v>
      </c>
      <c r="K288" s="5">
        <v>44102</v>
      </c>
      <c r="L288">
        <v>99</v>
      </c>
      <c r="M288">
        <v>23</v>
      </c>
      <c r="N288">
        <v>5.63</v>
      </c>
      <c r="O288">
        <v>5.65</v>
      </c>
      <c r="P288">
        <v>10.01</v>
      </c>
      <c r="Q288">
        <v>10.06</v>
      </c>
      <c r="R288">
        <v>10.89</v>
      </c>
      <c r="S288">
        <v>11.04</v>
      </c>
      <c r="T288" s="2">
        <f t="shared" si="36"/>
        <v>0.979999999999999</v>
      </c>
      <c r="U288" s="3">
        <f t="shared" si="37"/>
        <v>0.0974155069582504</v>
      </c>
      <c r="V288">
        <v>11.1</v>
      </c>
      <c r="W288">
        <v>10.39</v>
      </c>
      <c r="X288" s="2">
        <f t="shared" si="38"/>
        <v>0.33</v>
      </c>
      <c r="Y288" s="3">
        <f t="shared" si="39"/>
        <v>0.0328031809145129</v>
      </c>
      <c r="Z288" s="2">
        <f t="shared" si="40"/>
        <v>-0.649999999999999</v>
      </c>
      <c r="AA288" s="3">
        <f t="shared" si="41"/>
        <v>-0.0588768115942028</v>
      </c>
      <c r="AB288">
        <v>10.29</v>
      </c>
      <c r="AC288">
        <v>9.7</v>
      </c>
      <c r="AD288">
        <v>14.9</v>
      </c>
      <c r="AE288">
        <v>14.68</v>
      </c>
      <c r="AF288">
        <v>15.19</v>
      </c>
      <c r="AG288">
        <v>15.31</v>
      </c>
      <c r="AH288">
        <v>17.64</v>
      </c>
      <c r="AI288">
        <v>17.91</v>
      </c>
      <c r="AJ288" s="2">
        <f t="shared" si="42"/>
        <v>2.6</v>
      </c>
      <c r="AK288" s="3">
        <f t="shared" si="43"/>
        <v>0.169823644676682</v>
      </c>
      <c r="AL288">
        <v>19.48</v>
      </c>
      <c r="AM288">
        <v>19.06</v>
      </c>
      <c r="AN288" s="3">
        <f t="shared" si="44"/>
        <v>-0.137020463762169</v>
      </c>
    </row>
    <row r="289" spans="1:40">
      <c r="A289">
        <v>123072</v>
      </c>
      <c r="B289" t="s">
        <v>619</v>
      </c>
      <c r="C289" s="4">
        <v>44125</v>
      </c>
      <c r="D289">
        <v>370729</v>
      </c>
      <c r="E289">
        <v>300729</v>
      </c>
      <c r="F289" t="s">
        <v>620</v>
      </c>
      <c r="G289">
        <v>0.0001860645</v>
      </c>
      <c r="H289" s="4">
        <v>44145</v>
      </c>
      <c r="I289" t="s">
        <v>50</v>
      </c>
      <c r="J289" s="4">
        <v>44029</v>
      </c>
      <c r="K289" s="5">
        <v>44077</v>
      </c>
      <c r="L289">
        <v>96</v>
      </c>
      <c r="M289">
        <v>48</v>
      </c>
      <c r="N289">
        <v>15.78</v>
      </c>
      <c r="O289">
        <v>15.15</v>
      </c>
      <c r="P289">
        <v>27.57</v>
      </c>
      <c r="Q289">
        <v>27.53</v>
      </c>
      <c r="R289">
        <v>42.38</v>
      </c>
      <c r="S289">
        <v>43.49</v>
      </c>
      <c r="T289" s="2">
        <f t="shared" si="36"/>
        <v>15.96</v>
      </c>
      <c r="U289" s="3">
        <f t="shared" si="37"/>
        <v>0.579731202324737</v>
      </c>
      <c r="V289">
        <v>43.47</v>
      </c>
      <c r="W289">
        <v>41.91</v>
      </c>
      <c r="X289" s="2">
        <f t="shared" si="38"/>
        <v>14.38</v>
      </c>
      <c r="Y289" s="3">
        <f t="shared" si="39"/>
        <v>0.522339266254994</v>
      </c>
      <c r="Z289" s="2">
        <f t="shared" si="40"/>
        <v>-1.58000000000001</v>
      </c>
      <c r="AA289" s="3">
        <f t="shared" si="41"/>
        <v>-0.036330190848471</v>
      </c>
      <c r="AB289">
        <v>35.19</v>
      </c>
      <c r="AC289">
        <v>33.19</v>
      </c>
      <c r="AD289">
        <v>14.17</v>
      </c>
      <c r="AE289">
        <v>14.14</v>
      </c>
      <c r="AF289">
        <v>15.32</v>
      </c>
      <c r="AG289">
        <v>14.9</v>
      </c>
      <c r="AH289">
        <v>17.64</v>
      </c>
      <c r="AI289">
        <v>17.91</v>
      </c>
      <c r="AJ289" s="2">
        <f t="shared" si="42"/>
        <v>3.01</v>
      </c>
      <c r="AK289" s="3">
        <f t="shared" si="43"/>
        <v>0.202013422818792</v>
      </c>
      <c r="AL289">
        <v>18</v>
      </c>
      <c r="AM289">
        <v>18.11</v>
      </c>
      <c r="AN289" s="3">
        <f t="shared" si="44"/>
        <v>0.320325843436202</v>
      </c>
    </row>
    <row r="290" spans="1:40">
      <c r="A290">
        <v>123070</v>
      </c>
      <c r="B290" t="s">
        <v>621</v>
      </c>
      <c r="C290" s="4">
        <v>44124</v>
      </c>
      <c r="D290">
        <v>370438</v>
      </c>
      <c r="E290">
        <v>300438</v>
      </c>
      <c r="F290" t="s">
        <v>622</v>
      </c>
      <c r="G290">
        <v>0.002757234</v>
      </c>
      <c r="H290" s="4">
        <v>44141</v>
      </c>
      <c r="I290" t="s">
        <v>40</v>
      </c>
      <c r="J290" s="4">
        <v>44042</v>
      </c>
      <c r="K290" s="5">
        <v>44082</v>
      </c>
      <c r="L290">
        <v>82</v>
      </c>
      <c r="M290">
        <v>42</v>
      </c>
      <c r="N290">
        <v>18.66</v>
      </c>
      <c r="O290">
        <v>18.07</v>
      </c>
      <c r="P290">
        <v>16.37</v>
      </c>
      <c r="Q290">
        <v>16.58</v>
      </c>
      <c r="R290">
        <v>19.15</v>
      </c>
      <c r="S290">
        <v>18.39</v>
      </c>
      <c r="T290" s="2">
        <f t="shared" si="36"/>
        <v>1.81</v>
      </c>
      <c r="U290" s="3">
        <f t="shared" si="37"/>
        <v>0.109167671893848</v>
      </c>
      <c r="V290">
        <v>18.45</v>
      </c>
      <c r="W290">
        <v>18.92</v>
      </c>
      <c r="X290" s="2">
        <f t="shared" si="38"/>
        <v>2.34</v>
      </c>
      <c r="Y290" s="3">
        <f t="shared" si="39"/>
        <v>0.141133896260555</v>
      </c>
      <c r="Z290" s="2">
        <f t="shared" si="40"/>
        <v>0.530000000000001</v>
      </c>
      <c r="AA290" s="3">
        <f t="shared" si="41"/>
        <v>0.0288200108754759</v>
      </c>
      <c r="AB290">
        <v>22.65</v>
      </c>
      <c r="AC290">
        <v>21.33</v>
      </c>
      <c r="AD290">
        <v>13.5</v>
      </c>
      <c r="AE290">
        <v>13.37</v>
      </c>
      <c r="AF290">
        <v>15</v>
      </c>
      <c r="AG290">
        <v>15.43</v>
      </c>
      <c r="AH290">
        <v>17.48</v>
      </c>
      <c r="AI290">
        <v>17.54</v>
      </c>
      <c r="AJ290" s="2">
        <f t="shared" si="42"/>
        <v>2.11</v>
      </c>
      <c r="AK290" s="3">
        <f t="shared" si="43"/>
        <v>0.136746597537265</v>
      </c>
      <c r="AL290">
        <v>17.71</v>
      </c>
      <c r="AM290">
        <v>17.64</v>
      </c>
      <c r="AN290" s="3">
        <f t="shared" si="44"/>
        <v>0.00438729872329008</v>
      </c>
    </row>
    <row r="291" spans="1:40">
      <c r="A291">
        <v>123069</v>
      </c>
      <c r="B291" t="s">
        <v>623</v>
      </c>
      <c r="C291" s="4">
        <v>44120</v>
      </c>
      <c r="D291">
        <v>370505</v>
      </c>
      <c r="E291">
        <v>300505</v>
      </c>
      <c r="F291" t="s">
        <v>624</v>
      </c>
      <c r="G291">
        <v>0.0010466397</v>
      </c>
      <c r="H291" s="4">
        <v>44140</v>
      </c>
      <c r="I291" t="s">
        <v>55</v>
      </c>
      <c r="J291" s="4">
        <v>44049</v>
      </c>
      <c r="K291" s="5">
        <v>44098</v>
      </c>
      <c r="L291">
        <v>71</v>
      </c>
      <c r="M291">
        <v>22</v>
      </c>
      <c r="N291">
        <v>11.65</v>
      </c>
      <c r="O291">
        <v>11.95</v>
      </c>
      <c r="P291">
        <v>12.23</v>
      </c>
      <c r="Q291">
        <v>12.2</v>
      </c>
      <c r="R291">
        <v>12.33</v>
      </c>
      <c r="S291">
        <v>12.65</v>
      </c>
      <c r="T291" s="2">
        <f t="shared" si="36"/>
        <v>0.450000000000001</v>
      </c>
      <c r="U291" s="3">
        <f t="shared" si="37"/>
        <v>0.0368852459016394</v>
      </c>
      <c r="V291">
        <v>12.39</v>
      </c>
      <c r="W291">
        <v>12.04</v>
      </c>
      <c r="X291" s="2">
        <f t="shared" si="38"/>
        <v>-0.16</v>
      </c>
      <c r="Y291" s="3">
        <f t="shared" si="39"/>
        <v>-0.0131147540983607</v>
      </c>
      <c r="Z291" s="2">
        <f t="shared" si="40"/>
        <v>-0.610000000000001</v>
      </c>
      <c r="AA291" s="3">
        <f t="shared" si="41"/>
        <v>-0.0482213438735179</v>
      </c>
      <c r="AB291">
        <v>13.43</v>
      </c>
      <c r="AC291">
        <v>13.53</v>
      </c>
      <c r="AD291">
        <v>13.82</v>
      </c>
      <c r="AE291">
        <v>13.9</v>
      </c>
      <c r="AF291">
        <v>15.59</v>
      </c>
      <c r="AG291">
        <v>15.12</v>
      </c>
      <c r="AH291">
        <v>16.56</v>
      </c>
      <c r="AI291">
        <v>17.1</v>
      </c>
      <c r="AJ291" s="2">
        <f t="shared" si="42"/>
        <v>1.98</v>
      </c>
      <c r="AK291" s="3">
        <f t="shared" si="43"/>
        <v>0.130952380952381</v>
      </c>
      <c r="AL291">
        <v>18.37</v>
      </c>
      <c r="AM291">
        <v>17.7</v>
      </c>
      <c r="AN291" s="3">
        <f t="shared" si="44"/>
        <v>-0.144067135050742</v>
      </c>
    </row>
    <row r="292" spans="1:40">
      <c r="A292">
        <v>123068</v>
      </c>
      <c r="B292" t="s">
        <v>625</v>
      </c>
      <c r="C292" s="4">
        <v>44119</v>
      </c>
      <c r="D292">
        <v>370657</v>
      </c>
      <c r="E292">
        <v>300657</v>
      </c>
      <c r="F292" t="s">
        <v>626</v>
      </c>
      <c r="G292">
        <v>0.0021791225</v>
      </c>
      <c r="H292" s="4">
        <v>44139</v>
      </c>
      <c r="I292" t="s">
        <v>55</v>
      </c>
      <c r="J292" s="4">
        <v>44036</v>
      </c>
      <c r="K292" s="5">
        <v>44077</v>
      </c>
      <c r="L292">
        <v>83</v>
      </c>
      <c r="M292">
        <v>42</v>
      </c>
      <c r="N292">
        <v>21.95</v>
      </c>
      <c r="O292">
        <v>20.24</v>
      </c>
      <c r="P292">
        <v>16.86</v>
      </c>
      <c r="Q292">
        <v>16.18</v>
      </c>
      <c r="R292">
        <v>15.23</v>
      </c>
      <c r="S292">
        <v>15.08</v>
      </c>
      <c r="T292" s="2">
        <f t="shared" si="36"/>
        <v>-1.1</v>
      </c>
      <c r="U292" s="3">
        <f t="shared" si="37"/>
        <v>-0.0679851668726823</v>
      </c>
      <c r="V292">
        <v>14.87</v>
      </c>
      <c r="W292">
        <v>14.48</v>
      </c>
      <c r="X292" s="2">
        <f t="shared" si="38"/>
        <v>-1.7</v>
      </c>
      <c r="Y292" s="3">
        <f t="shared" si="39"/>
        <v>-0.105067985166873</v>
      </c>
      <c r="Z292" s="2">
        <f t="shared" si="40"/>
        <v>-0.6</v>
      </c>
      <c r="AA292" s="3">
        <f t="shared" si="41"/>
        <v>-0.039787798408488</v>
      </c>
      <c r="AB292">
        <v>14.53</v>
      </c>
      <c r="AC292">
        <v>14.53</v>
      </c>
      <c r="AD292">
        <v>13.97</v>
      </c>
      <c r="AE292">
        <v>13.5</v>
      </c>
      <c r="AF292">
        <v>15.32</v>
      </c>
      <c r="AG292">
        <v>14.9</v>
      </c>
      <c r="AH292">
        <v>16.2</v>
      </c>
      <c r="AI292">
        <v>16.56</v>
      </c>
      <c r="AJ292" s="2">
        <f t="shared" si="42"/>
        <v>1.66</v>
      </c>
      <c r="AK292" s="3">
        <f t="shared" si="43"/>
        <v>0.111409395973154</v>
      </c>
      <c r="AL292">
        <v>18.35</v>
      </c>
      <c r="AM292">
        <v>18.32</v>
      </c>
      <c r="AN292" s="3">
        <f t="shared" si="44"/>
        <v>-0.216477381140027</v>
      </c>
    </row>
    <row r="293" spans="1:40">
      <c r="A293">
        <v>123067</v>
      </c>
      <c r="B293" t="s">
        <v>627</v>
      </c>
      <c r="C293" s="4">
        <v>44091</v>
      </c>
      <c r="D293">
        <v>370382</v>
      </c>
      <c r="E293">
        <v>300382</v>
      </c>
      <c r="F293" t="s">
        <v>628</v>
      </c>
      <c r="G293">
        <v>0.0036756041</v>
      </c>
      <c r="H293" s="4">
        <v>44119</v>
      </c>
      <c r="I293" t="s">
        <v>55</v>
      </c>
      <c r="J293" s="4">
        <v>44039</v>
      </c>
      <c r="K293" s="5">
        <v>44077</v>
      </c>
      <c r="L293">
        <v>52</v>
      </c>
      <c r="M293">
        <v>14</v>
      </c>
      <c r="N293">
        <v>8.87</v>
      </c>
      <c r="O293">
        <v>8.44</v>
      </c>
      <c r="P293">
        <v>8.54</v>
      </c>
      <c r="Q293">
        <v>8.68</v>
      </c>
      <c r="R293">
        <v>9.54</v>
      </c>
      <c r="S293">
        <v>8.94</v>
      </c>
      <c r="T293" s="2">
        <f t="shared" si="36"/>
        <v>0.26</v>
      </c>
      <c r="U293" s="3">
        <f t="shared" si="37"/>
        <v>0.0299539170506912</v>
      </c>
      <c r="V293">
        <v>8.63</v>
      </c>
      <c r="W293">
        <v>8.84</v>
      </c>
      <c r="X293" s="2">
        <f t="shared" si="38"/>
        <v>0.16</v>
      </c>
      <c r="Y293" s="3">
        <f t="shared" si="39"/>
        <v>0.0184331797235023</v>
      </c>
      <c r="Z293" s="2">
        <f t="shared" si="40"/>
        <v>-0.0999999999999996</v>
      </c>
      <c r="AA293" s="3">
        <f t="shared" si="41"/>
        <v>-0.0111856823266219</v>
      </c>
      <c r="AB293">
        <v>9.34</v>
      </c>
      <c r="AC293">
        <v>9.13</v>
      </c>
      <c r="AD293">
        <v>13.67</v>
      </c>
      <c r="AE293">
        <v>13.24</v>
      </c>
      <c r="AF293">
        <v>15.32</v>
      </c>
      <c r="AG293">
        <v>14.9</v>
      </c>
      <c r="AH293">
        <v>15.54</v>
      </c>
      <c r="AI293">
        <v>15.57</v>
      </c>
      <c r="AJ293" s="2">
        <f t="shared" si="42"/>
        <v>0.67</v>
      </c>
      <c r="AK293" s="3">
        <f t="shared" si="43"/>
        <v>0.0449664429530201</v>
      </c>
      <c r="AL293">
        <v>16.2</v>
      </c>
      <c r="AM293">
        <v>16.56</v>
      </c>
      <c r="AN293" s="3">
        <f t="shared" si="44"/>
        <v>-0.0265332632295178</v>
      </c>
    </row>
    <row r="294" spans="1:40">
      <c r="A294">
        <v>123066</v>
      </c>
      <c r="B294" t="s">
        <v>629</v>
      </c>
      <c r="C294" s="4">
        <v>44090</v>
      </c>
      <c r="D294">
        <v>370687</v>
      </c>
      <c r="E294">
        <v>300687</v>
      </c>
      <c r="F294" t="s">
        <v>630</v>
      </c>
      <c r="G294">
        <v>0.0006229113</v>
      </c>
      <c r="H294" s="4">
        <v>44119</v>
      </c>
      <c r="I294" t="s">
        <v>50</v>
      </c>
      <c r="J294" s="4">
        <v>44039</v>
      </c>
      <c r="K294" s="5">
        <v>44065</v>
      </c>
      <c r="L294">
        <v>51</v>
      </c>
      <c r="M294">
        <v>25</v>
      </c>
      <c r="N294">
        <v>12.1</v>
      </c>
      <c r="O294">
        <v>12.1</v>
      </c>
      <c r="P294">
        <v>12.99</v>
      </c>
      <c r="Q294">
        <v>13</v>
      </c>
      <c r="R294">
        <v>13.48</v>
      </c>
      <c r="S294">
        <v>16.13</v>
      </c>
      <c r="T294" s="2">
        <f t="shared" si="36"/>
        <v>3.13</v>
      </c>
      <c r="U294" s="3">
        <f t="shared" si="37"/>
        <v>0.240769230769231</v>
      </c>
      <c r="V294">
        <v>15.9</v>
      </c>
      <c r="W294">
        <v>15.47</v>
      </c>
      <c r="X294" s="2">
        <f t="shared" si="38"/>
        <v>2.47</v>
      </c>
      <c r="Y294" s="3">
        <f t="shared" si="39"/>
        <v>0.19</v>
      </c>
      <c r="Z294" s="2">
        <f t="shared" si="40"/>
        <v>-0.659999999999998</v>
      </c>
      <c r="AA294" s="3">
        <f t="shared" si="41"/>
        <v>-0.0409175449473031</v>
      </c>
      <c r="AB294">
        <v>16.7</v>
      </c>
      <c r="AC294">
        <v>16.21</v>
      </c>
      <c r="AD294">
        <v>13.67</v>
      </c>
      <c r="AE294">
        <v>13.24</v>
      </c>
      <c r="AF294">
        <v>14.5</v>
      </c>
      <c r="AG294">
        <v>14.46</v>
      </c>
      <c r="AH294">
        <v>15.32</v>
      </c>
      <c r="AI294">
        <v>15.44</v>
      </c>
      <c r="AJ294" s="2">
        <f t="shared" si="42"/>
        <v>0.979999999999999</v>
      </c>
      <c r="AK294" s="3">
        <f t="shared" si="43"/>
        <v>0.0677731673582295</v>
      </c>
      <c r="AL294">
        <v>16.2</v>
      </c>
      <c r="AM294">
        <v>16.56</v>
      </c>
      <c r="AN294" s="3">
        <f t="shared" si="44"/>
        <v>0.122226832641771</v>
      </c>
    </row>
    <row r="295" spans="1:40">
      <c r="A295">
        <v>123065</v>
      </c>
      <c r="B295" t="s">
        <v>631</v>
      </c>
      <c r="C295" s="4">
        <v>44078</v>
      </c>
      <c r="D295">
        <v>370246</v>
      </c>
      <c r="E295">
        <v>300246</v>
      </c>
      <c r="F295" t="s">
        <v>632</v>
      </c>
      <c r="G295">
        <v>0.000719054</v>
      </c>
      <c r="H295" s="4">
        <v>44098</v>
      </c>
      <c r="I295" t="s">
        <v>55</v>
      </c>
      <c r="J295" s="4">
        <v>44036</v>
      </c>
      <c r="K295" s="4">
        <v>44064</v>
      </c>
      <c r="L295">
        <v>42</v>
      </c>
      <c r="M295">
        <v>14</v>
      </c>
      <c r="N295">
        <v>25.1</v>
      </c>
      <c r="O295">
        <v>23.79</v>
      </c>
      <c r="P295">
        <v>24.33</v>
      </c>
      <c r="Q295">
        <v>24.27</v>
      </c>
      <c r="R295">
        <v>27.13</v>
      </c>
      <c r="S295">
        <v>26.43</v>
      </c>
      <c r="T295" s="2">
        <f t="shared" si="36"/>
        <v>2.16</v>
      </c>
      <c r="U295" s="3">
        <f t="shared" si="37"/>
        <v>0.0889987639060569</v>
      </c>
      <c r="V295">
        <v>25.21</v>
      </c>
      <c r="W295">
        <v>25.69</v>
      </c>
      <c r="X295" s="2">
        <f t="shared" si="38"/>
        <v>1.42</v>
      </c>
      <c r="Y295" s="3">
        <f t="shared" si="39"/>
        <v>0.0585084466419449</v>
      </c>
      <c r="Z295" s="2">
        <f t="shared" si="40"/>
        <v>-0.739999999999998</v>
      </c>
      <c r="AA295" s="3">
        <f t="shared" si="41"/>
        <v>-0.0279984865682935</v>
      </c>
      <c r="AB295">
        <v>24.82</v>
      </c>
      <c r="AC295">
        <v>23.3</v>
      </c>
      <c r="AD295">
        <v>13.97</v>
      </c>
      <c r="AE295">
        <v>13.5</v>
      </c>
      <c r="AF295">
        <v>14.71</v>
      </c>
      <c r="AG295">
        <v>14.45</v>
      </c>
      <c r="AH295">
        <v>14.73</v>
      </c>
      <c r="AI295">
        <v>14.96</v>
      </c>
      <c r="AJ295" s="2">
        <f t="shared" si="42"/>
        <v>0.510000000000002</v>
      </c>
      <c r="AK295" s="3">
        <f t="shared" si="43"/>
        <v>0.0352941176470589</v>
      </c>
      <c r="AL295">
        <v>15.59</v>
      </c>
      <c r="AM295">
        <v>15.12</v>
      </c>
      <c r="AN295" s="3">
        <f t="shared" si="44"/>
        <v>0.0232143289948859</v>
      </c>
    </row>
    <row r="296" spans="1:40">
      <c r="A296">
        <v>123064</v>
      </c>
      <c r="B296" t="s">
        <v>633</v>
      </c>
      <c r="C296" s="4">
        <v>44075</v>
      </c>
      <c r="D296">
        <v>370482</v>
      </c>
      <c r="E296">
        <v>300482</v>
      </c>
      <c r="F296" t="s">
        <v>634</v>
      </c>
      <c r="G296">
        <v>0.0026141902</v>
      </c>
      <c r="H296" s="4">
        <v>44097</v>
      </c>
      <c r="I296" t="s">
        <v>40</v>
      </c>
      <c r="J296" s="4">
        <v>44039</v>
      </c>
      <c r="K296" s="5">
        <v>44064</v>
      </c>
      <c r="L296">
        <v>36</v>
      </c>
      <c r="M296">
        <v>11</v>
      </c>
      <c r="N296">
        <v>69.93</v>
      </c>
      <c r="O296">
        <v>71.26</v>
      </c>
      <c r="P296">
        <v>66.93</v>
      </c>
      <c r="Q296">
        <v>68.02</v>
      </c>
      <c r="R296">
        <v>73.17</v>
      </c>
      <c r="S296">
        <v>74.02</v>
      </c>
      <c r="T296" s="2">
        <f t="shared" si="36"/>
        <v>6</v>
      </c>
      <c r="U296" s="3">
        <f t="shared" si="37"/>
        <v>0.0882093501911203</v>
      </c>
      <c r="V296">
        <v>74.13</v>
      </c>
      <c r="W296">
        <v>75.8</v>
      </c>
      <c r="X296" s="2">
        <f t="shared" si="38"/>
        <v>7.78</v>
      </c>
      <c r="Y296" s="3">
        <f t="shared" si="39"/>
        <v>0.114378124081153</v>
      </c>
      <c r="Z296" s="2">
        <f t="shared" si="40"/>
        <v>1.78</v>
      </c>
      <c r="AA296" s="3">
        <f t="shared" si="41"/>
        <v>0.0240475547149419</v>
      </c>
      <c r="AB296">
        <v>63.34</v>
      </c>
      <c r="AC296">
        <v>64.22</v>
      </c>
      <c r="AD296">
        <v>13.67</v>
      </c>
      <c r="AE296">
        <v>13.24</v>
      </c>
      <c r="AF296">
        <v>14.71</v>
      </c>
      <c r="AG296">
        <v>14.45</v>
      </c>
      <c r="AH296">
        <v>14.96</v>
      </c>
      <c r="AI296">
        <v>15.14</v>
      </c>
      <c r="AJ296" s="2">
        <f t="shared" si="42"/>
        <v>0.690000000000001</v>
      </c>
      <c r="AK296" s="3">
        <f t="shared" si="43"/>
        <v>0.0477508650519032</v>
      </c>
      <c r="AL296">
        <v>15.59</v>
      </c>
      <c r="AM296">
        <v>15.63</v>
      </c>
      <c r="AN296" s="3">
        <f t="shared" si="44"/>
        <v>0.0666272590292494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可转债股票价格数据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华</cp:lastModifiedBy>
  <dcterms:created xsi:type="dcterms:W3CDTF">2025-08-13T05:51:23Z</dcterms:created>
  <dcterms:modified xsi:type="dcterms:W3CDTF">2025-08-15T02:58:34Z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A82CE148A8494AF595EAA5A3F6A074E0_13</vt:lpwstr>
  </property>
  <property fmtid="{D5CDD505-2E9C-101B-9397-08002B2CF9AE}" pid="3" name="KSOProductBuildVer">
    <vt:lpwstr>2052-12.1.0.21915</vt:lpwstr>
  </property>
</Properties>
</file>